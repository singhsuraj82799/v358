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</sheets>
  <definedNames>
    <definedName name="sales">Sheet1!$V$1:$V$126</definedName>
    <definedName name="target">Sheet1!$W:$W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<sst xmlns="http://schemas.openxmlformats.org/spreadsheetml/2006/main" count="2173" uniqueCount="1226">
  <si>
    <t>Emp_ID</t>
  </si>
  <si>
    <t>Employee_Name</t>
  </si>
  <si>
    <t>lenght of Emp-name</t>
  </si>
  <si>
    <t>Department</t>
  </si>
  <si>
    <t>Helper cols</t>
  </si>
  <si>
    <t>Left</t>
  </si>
  <si>
    <t>Right</t>
  </si>
  <si>
    <t>Column3</t>
  </si>
  <si>
    <t>Column4</t>
  </si>
  <si>
    <t>City</t>
  </si>
  <si>
    <t>New city</t>
  </si>
  <si>
    <t>Joining_Date</t>
  </si>
  <si>
    <t>Day</t>
  </si>
  <si>
    <t>Left2</t>
  </si>
  <si>
    <t>Right2</t>
  </si>
  <si>
    <t>Month</t>
  </si>
  <si>
    <t>Year</t>
  </si>
  <si>
    <t>Login_Time</t>
  </si>
  <si>
    <t>Hour</t>
  </si>
  <si>
    <t>Minute</t>
  </si>
  <si>
    <t>Second</t>
  </si>
  <si>
    <t>Monthly_Sales</t>
  </si>
  <si>
    <t>Target</t>
  </si>
  <si>
    <t>Column1</t>
  </si>
  <si>
    <t>Column5</t>
  </si>
  <si>
    <t>Column6</t>
  </si>
  <si>
    <t>Customer_Feedback</t>
  </si>
  <si>
    <t>Upper</t>
  </si>
  <si>
    <t>Lower</t>
  </si>
  <si>
    <t>Propar</t>
  </si>
  <si>
    <t>Questions</t>
  </si>
  <si>
    <t>Answer</t>
  </si>
  <si>
    <t>"+91-8208309401</t>
  </si>
  <si>
    <t>E1231</t>
  </si>
  <si>
    <t>Neha Chopra</t>
  </si>
  <si>
    <t>Finance</t>
  </si>
  <si>
    <t>Ahmedabad</t>
  </si>
  <si>
    <t>25-Jul-2021</t>
  </si>
  <si>
    <t>10:49:08</t>
  </si>
  <si>
    <t>detailed analysis</t>
  </si>
  <si>
    <t>Current Date</t>
  </si>
  <si>
    <t>"+3-23692442</t>
  </si>
  <si>
    <t>E1288</t>
  </si>
  <si>
    <t>Vikram Nair</t>
  </si>
  <si>
    <t>Marketing</t>
  </si>
  <si>
    <t>Bangalore</t>
  </si>
  <si>
    <t>27-Jul-2023</t>
  </si>
  <si>
    <t>08:08:19</t>
  </si>
  <si>
    <t>creative ideas</t>
  </si>
  <si>
    <t>Current Date &amp; Time</t>
  </si>
  <si>
    <t>"+441-4724924234</t>
  </si>
  <si>
    <t>E1082</t>
  </si>
  <si>
    <t>Priya Patel</t>
  </si>
  <si>
    <t>Delhi</t>
  </si>
  <si>
    <t>30-Jul-2024</t>
  </si>
  <si>
    <t>09:06:55</t>
  </si>
  <si>
    <t xml:space="preserve">   helpful attitude   </t>
  </si>
  <si>
    <t>Current Time</t>
  </si>
  <si>
    <t>E1081</t>
  </si>
  <si>
    <t>Anjali Singh</t>
  </si>
  <si>
    <t>HR</t>
  </si>
  <si>
    <t>Chennai</t>
  </si>
  <si>
    <t>11-Apr-2022</t>
  </si>
  <si>
    <t>09:11:19</t>
  </si>
  <si>
    <t>needs improvement</t>
  </si>
  <si>
    <t>Arthimatic  Functions</t>
  </si>
  <si>
    <t>Total Monthly Sales</t>
  </si>
  <si>
    <t>E1261</t>
  </si>
  <si>
    <t>Tanya Mishra</t>
  </si>
  <si>
    <t>04-Mar-2022</t>
  </si>
  <si>
    <t>09:19:58</t>
  </si>
  <si>
    <t>great support</t>
  </si>
  <si>
    <t>sum</t>
  </si>
  <si>
    <t>Average Monthly Sales</t>
  </si>
  <si>
    <t>E1180</t>
  </si>
  <si>
    <t>Yash Jain</t>
  </si>
  <si>
    <t>Pune</t>
  </si>
  <si>
    <t>16-Aug-2021</t>
  </si>
  <si>
    <t>09:38:34</t>
  </si>
  <si>
    <t>excellent leadership</t>
  </si>
  <si>
    <t>Averege</t>
  </si>
  <si>
    <t>Function Purpose Example</t>
  </si>
  <si>
    <t>Count of  Employees</t>
  </si>
  <si>
    <t>E1131</t>
  </si>
  <si>
    <t>Isha Kumar</t>
  </si>
  <si>
    <t>24-Dec-2021</t>
  </si>
  <si>
    <t>08:42:55</t>
  </si>
  <si>
    <t>excellent service</t>
  </si>
  <si>
    <t>count</t>
  </si>
  <si>
    <t>SUM() Total values =SUM(A2:A10)</t>
  </si>
  <si>
    <t>Count Numeric Sales Values</t>
  </si>
  <si>
    <t>E1002</t>
  </si>
  <si>
    <t>Nisha Patel</t>
  </si>
  <si>
    <t>Sales</t>
  </si>
  <si>
    <t>24-Mar-2022</t>
  </si>
  <si>
    <t>08:32:38</t>
  </si>
  <si>
    <t>fast delivery</t>
  </si>
  <si>
    <t>count A</t>
  </si>
  <si>
    <t>AVERAGE() Mean value =AVERAGE(A2:A10)</t>
  </si>
  <si>
    <t>Highest Sales</t>
  </si>
  <si>
    <t>E1061</t>
  </si>
  <si>
    <t>Aditya Chopra</t>
  </si>
  <si>
    <t>26-Mar-2022</t>
  </si>
  <si>
    <t>09:27:31</t>
  </si>
  <si>
    <t>Totale Text</t>
  </si>
  <si>
    <t>COUNT() Count numbers =COUNT(A2:A10)</t>
  </si>
  <si>
    <t>Lowest Sales</t>
  </si>
  <si>
    <t>E1252</t>
  </si>
  <si>
    <t>Tanya Chopra</t>
  </si>
  <si>
    <t>27-Feb-2022</t>
  </si>
  <si>
    <t>08:06:38</t>
  </si>
  <si>
    <t>max</t>
  </si>
  <si>
    <t>COUNTA() Count non-empty cells =COUNTA(A2:A10)</t>
  </si>
  <si>
    <t>Square Root of Sales</t>
  </si>
  <si>
    <t>E1233</t>
  </si>
  <si>
    <t>Manish Nair</t>
  </si>
  <si>
    <t>06-May-2023</t>
  </si>
  <si>
    <t>08:59:58</t>
  </si>
  <si>
    <t>customer focused</t>
  </si>
  <si>
    <t>power</t>
  </si>
  <si>
    <t>MAX() Highest value =MAX(A2:A10)</t>
  </si>
  <si>
    <t>Sales Squared</t>
  </si>
  <si>
    <t>E1260</t>
  </si>
  <si>
    <t>Ritika Mehta</t>
  </si>
  <si>
    <t>12-Feb-2023</t>
  </si>
  <si>
    <t>10:38:38</t>
  </si>
  <si>
    <t>accurate reports</t>
  </si>
  <si>
    <t>min</t>
  </si>
  <si>
    <t>MIN() Lowest value =MIN(A2:A10)</t>
  </si>
  <si>
    <t>E1031</t>
  </si>
  <si>
    <t>Rahul Nair</t>
  </si>
  <si>
    <t>12-Mar-2024</t>
  </si>
  <si>
    <t>08:37:38</t>
  </si>
  <si>
    <t>SQRT() Square root =SQRT(A2)</t>
  </si>
  <si>
    <t>E1276</t>
  </si>
  <si>
    <t>Aakash Patel</t>
  </si>
  <si>
    <t>18-Nov-2024</t>
  </si>
  <si>
    <t>10:30:17</t>
  </si>
  <si>
    <t>good teamwork</t>
  </si>
  <si>
    <t>Date And Time Fuctions</t>
  </si>
  <si>
    <t>POWER() Exponent =POWER(A2,2)</t>
  </si>
  <si>
    <t>E1179</t>
  </si>
  <si>
    <t>Komal Jain</t>
  </si>
  <si>
    <t>14-Aug-2022</t>
  </si>
  <si>
    <t>08:19:07</t>
  </si>
  <si>
    <t>Now</t>
  </si>
  <si>
    <t>E1213</t>
  </si>
  <si>
    <t>Amit Verma</t>
  </si>
  <si>
    <t>09-May-2022</t>
  </si>
  <si>
    <t>08:37:22</t>
  </si>
  <si>
    <t>Tuday</t>
  </si>
  <si>
    <t>E1146</t>
  </si>
  <si>
    <t>Komal Iyer</t>
  </si>
  <si>
    <t>Mumbai</t>
  </si>
  <si>
    <t>15-Nov-2021</t>
  </si>
  <si>
    <t>08:48:39</t>
  </si>
  <si>
    <t>E1021</t>
  </si>
  <si>
    <t>Amit Mishra</t>
  </si>
  <si>
    <t>15-Jan-2021</t>
  </si>
  <si>
    <t>08:45:40</t>
  </si>
  <si>
    <t>good communication</t>
  </si>
  <si>
    <t>E1232</t>
  </si>
  <si>
    <t>Yash Agarwal</t>
  </si>
  <si>
    <t>12-Aug-2022</t>
  </si>
  <si>
    <t>09:18:41</t>
  </si>
  <si>
    <t xml:space="preserve">   good teamwork   </t>
  </si>
  <si>
    <t>E1024</t>
  </si>
  <si>
    <t>Nisha Chopra</t>
  </si>
  <si>
    <t>11-Oct-2024</t>
  </si>
  <si>
    <t>10:41:06</t>
  </si>
  <si>
    <t>E1161</t>
  </si>
  <si>
    <t>Madhuri Mishra</t>
  </si>
  <si>
    <t>Hyderabad</t>
  </si>
  <si>
    <t>24-May-2024</t>
  </si>
  <si>
    <t>09:32:09</t>
  </si>
  <si>
    <t>E1239</t>
  </si>
  <si>
    <t>Manish Mishra</t>
  </si>
  <si>
    <t>31-Aug-2024</t>
  </si>
  <si>
    <t>09:44:15</t>
  </si>
  <si>
    <t>helpful attitude</t>
  </si>
  <si>
    <t>E1059</t>
  </si>
  <si>
    <t>Karan Verma</t>
  </si>
  <si>
    <t>Kolkata</t>
  </si>
  <si>
    <t>09-Nov-2022</t>
  </si>
  <si>
    <t>10:29:26</t>
  </si>
  <si>
    <t xml:space="preserve">   positive attitude   </t>
  </si>
  <si>
    <t>E1144</t>
  </si>
  <si>
    <t>Rohan Reddy</t>
  </si>
  <si>
    <t>21-Oct-2021</t>
  </si>
  <si>
    <t>10:42:25</t>
  </si>
  <si>
    <t>E1268</t>
  </si>
  <si>
    <t>Ritika Agarwal</t>
  </si>
  <si>
    <t>10-Dec-2023</t>
  </si>
  <si>
    <t>08:53:54</t>
  </si>
  <si>
    <t>E1154</t>
  </si>
  <si>
    <t>Rahul Bansal</t>
  </si>
  <si>
    <t>30-Mar-2022</t>
  </si>
  <si>
    <t>09:49:10</t>
  </si>
  <si>
    <t>E1057</t>
  </si>
  <si>
    <t>07-Jul-2024</t>
  </si>
  <si>
    <t>08:17:28</t>
  </si>
  <si>
    <t>E1151</t>
  </si>
  <si>
    <t>Varun Reddy</t>
  </si>
  <si>
    <t>28-Mar-2021</t>
  </si>
  <si>
    <t>09:01:29</t>
  </si>
  <si>
    <t>Monthly Sales</t>
  </si>
  <si>
    <t>E1242</t>
  </si>
  <si>
    <t>25-Oct-2024</t>
  </si>
  <si>
    <t>10:55:50</t>
  </si>
  <si>
    <t>E1200</t>
  </si>
  <si>
    <t>Meera Goyal</t>
  </si>
  <si>
    <t>04-Feb-2024</t>
  </si>
  <si>
    <t>08:39:56</t>
  </si>
  <si>
    <t>E1012</t>
  </si>
  <si>
    <t>Manish Chopra</t>
  </si>
  <si>
    <t>08:32:31</t>
  </si>
  <si>
    <t>E1023</t>
  </si>
  <si>
    <t>Arjun Mishra</t>
  </si>
  <si>
    <t>27-Aug-2023</t>
  </si>
  <si>
    <t>09:12:06</t>
  </si>
  <si>
    <t xml:space="preserve">   creative ideas   </t>
  </si>
  <si>
    <t>E1300</t>
  </si>
  <si>
    <t>Anjali Iyer</t>
  </si>
  <si>
    <t>04-Dec-2023</t>
  </si>
  <si>
    <t>09:22:30</t>
  </si>
  <si>
    <t>E1127</t>
  </si>
  <si>
    <t>Priya Reddy</t>
  </si>
  <si>
    <t>30-Jun-2023</t>
  </si>
  <si>
    <t>08:54:23</t>
  </si>
  <si>
    <t>strong presentation</t>
  </si>
  <si>
    <t>Totale Profit</t>
  </si>
  <si>
    <t>E1001</t>
  </si>
  <si>
    <t>Yash Singh</t>
  </si>
  <si>
    <t>17-May-2022</t>
  </si>
  <si>
    <t>08:08:47</t>
  </si>
  <si>
    <t>E1234</t>
  </si>
  <si>
    <t>Kavita Joshi</t>
  </si>
  <si>
    <t>19-Jan-2021</t>
  </si>
  <si>
    <t>09:36:38</t>
  </si>
  <si>
    <t>E1042</t>
  </si>
  <si>
    <t>Sneha Iyer</t>
  </si>
  <si>
    <t>01-Jul-2022</t>
  </si>
  <si>
    <t>08:50:44</t>
  </si>
  <si>
    <t>positive attitude</t>
  </si>
  <si>
    <t>E1195</t>
  </si>
  <si>
    <t>Arjun Saxena</t>
  </si>
  <si>
    <t>06-Oct-2022</t>
  </si>
  <si>
    <t>10:17:15</t>
  </si>
  <si>
    <t>Monthly Sales &gt; 90,000</t>
  </si>
  <si>
    <t>E1083</t>
  </si>
  <si>
    <t>Kavita Malhotra</t>
  </si>
  <si>
    <t>16-Apr-2021</t>
  </si>
  <si>
    <t>09:55:30</t>
  </si>
  <si>
    <t>E1299</t>
  </si>
  <si>
    <t>Meera Sharma</t>
  </si>
  <si>
    <t>29-Aug-2022</t>
  </si>
  <si>
    <t>09:58:05</t>
  </si>
  <si>
    <t>E1124</t>
  </si>
  <si>
    <t>Shreya Nair</t>
  </si>
  <si>
    <t>06-Dec-2024</t>
  </si>
  <si>
    <t>09:41:26</t>
  </si>
  <si>
    <t>E1187</t>
  </si>
  <si>
    <t>Priya Mehta</t>
  </si>
  <si>
    <t>08-Apr-2021</t>
  </si>
  <si>
    <t>10:21:17</t>
  </si>
  <si>
    <t>E1204</t>
  </si>
  <si>
    <t>Aakash Gupta</t>
  </si>
  <si>
    <t>07-Feb-2022</t>
  </si>
  <si>
    <t>10:35:17</t>
  </si>
  <si>
    <t>E1125</t>
  </si>
  <si>
    <t>Priya Gupta</t>
  </si>
  <si>
    <t>19-Jul-2021</t>
  </si>
  <si>
    <t>08:56:34</t>
  </si>
  <si>
    <t>E1277</t>
  </si>
  <si>
    <t>Madhuri Shah</t>
  </si>
  <si>
    <t>07-Oct-2022</t>
  </si>
  <si>
    <t>08:13:37</t>
  </si>
  <si>
    <t>E1101</t>
  </si>
  <si>
    <t>Siddharth Shah</t>
  </si>
  <si>
    <t>26-Aug-2023</t>
  </si>
  <si>
    <t>08:29:35</t>
  </si>
  <si>
    <t>E1135</t>
  </si>
  <si>
    <t>Nidhi Singh</t>
  </si>
  <si>
    <t>31-May-2021</t>
  </si>
  <si>
    <t>08:20:38</t>
  </si>
  <si>
    <t>quick response</t>
  </si>
  <si>
    <t>E1089</t>
  </si>
  <si>
    <t>24-Aug-2021</t>
  </si>
  <si>
    <t>10:14:41</t>
  </si>
  <si>
    <t>E1138</t>
  </si>
  <si>
    <t>Nisha Singh</t>
  </si>
  <si>
    <t>03-Oct-2022</t>
  </si>
  <si>
    <t>10:16:23</t>
  </si>
  <si>
    <t>E1016</t>
  </si>
  <si>
    <t>Sneha Saxena</t>
  </si>
  <si>
    <t>01-Aug-2024</t>
  </si>
  <si>
    <t>10:38:12</t>
  </si>
  <si>
    <t>E1169</t>
  </si>
  <si>
    <t>Harsh Goyal</t>
  </si>
  <si>
    <t>19-Jun-2024</t>
  </si>
  <si>
    <t>08:38:24</t>
  </si>
  <si>
    <t>E1145</t>
  </si>
  <si>
    <t>Yash Sharma</t>
  </si>
  <si>
    <t>10-Feb-2023</t>
  </si>
  <si>
    <t>09:29:21</t>
  </si>
  <si>
    <t>E1267</t>
  </si>
  <si>
    <t>Harsh Agarwal</t>
  </si>
  <si>
    <t>11-Dec-2021</t>
  </si>
  <si>
    <t>10:50:22</t>
  </si>
  <si>
    <t>E1041</t>
  </si>
  <si>
    <t>30-Apr-2022</t>
  </si>
  <si>
    <t>08:51:51</t>
  </si>
  <si>
    <t>E1074</t>
  </si>
  <si>
    <t>Deepak Mishra</t>
  </si>
  <si>
    <t>28-Feb-2021</t>
  </si>
  <si>
    <t>09:54:20</t>
  </si>
  <si>
    <t>E1237</t>
  </si>
  <si>
    <t>Shreya Bansal</t>
  </si>
  <si>
    <t>27-Jun-2021</t>
  </si>
  <si>
    <t>09:42:06</t>
  </si>
  <si>
    <t>E1030</t>
  </si>
  <si>
    <t>Priya Mishra</t>
  </si>
  <si>
    <t>27-Apr-2021</t>
  </si>
  <si>
    <t>10:05:54</t>
  </si>
  <si>
    <t>E1117</t>
  </si>
  <si>
    <t>Shreya Agarwal</t>
  </si>
  <si>
    <t>28-May-2024</t>
  </si>
  <si>
    <t>09:14:40</t>
  </si>
  <si>
    <t>E1079</t>
  </si>
  <si>
    <t>Siddharth Malhotra</t>
  </si>
  <si>
    <t>30-May-2022</t>
  </si>
  <si>
    <t>08:07:46</t>
  </si>
  <si>
    <t>E1217</t>
  </si>
  <si>
    <t>Neha Bansal</t>
  </si>
  <si>
    <t>17-Feb-2024</t>
  </si>
  <si>
    <t>09:48:09</t>
  </si>
  <si>
    <t>E1243</t>
  </si>
  <si>
    <t>Aakash Reddy</t>
  </si>
  <si>
    <t>07-May-2021</t>
  </si>
  <si>
    <t>10:57:32</t>
  </si>
  <si>
    <t>E1224</t>
  </si>
  <si>
    <t>Siddharth Mehta</t>
  </si>
  <si>
    <t>08-May-2021</t>
  </si>
  <si>
    <t>10:08:33</t>
  </si>
  <si>
    <t>E1010</t>
  </si>
  <si>
    <t>Rohan Patel</t>
  </si>
  <si>
    <t>09-Oct-2022</t>
  </si>
  <si>
    <t>09:17:04</t>
  </si>
  <si>
    <t>E1141</t>
  </si>
  <si>
    <t>Madhuri Patel</t>
  </si>
  <si>
    <t>22-Dec-2022</t>
  </si>
  <si>
    <t>08:36:32</t>
  </si>
  <si>
    <t>E1196</t>
  </si>
  <si>
    <t>Sneha Agarwal</t>
  </si>
  <si>
    <t>21-Jun-2022</t>
  </si>
  <si>
    <t>09:45:28</t>
  </si>
  <si>
    <t>E1253</t>
  </si>
  <si>
    <t>Nidhi Patel</t>
  </si>
  <si>
    <t>04-Apr-2023</t>
  </si>
  <si>
    <t>09:14:34</t>
  </si>
  <si>
    <t>E1269</t>
  </si>
  <si>
    <t>Amit Chopra</t>
  </si>
  <si>
    <t>20-May-2021</t>
  </si>
  <si>
    <t>10:09:00</t>
  </si>
  <si>
    <t>E1148</t>
  </si>
  <si>
    <t>16-Dec-2023</t>
  </si>
  <si>
    <t>10:19:02</t>
  </si>
  <si>
    <t>E1020</t>
  </si>
  <si>
    <t>Anjali Bansal</t>
  </si>
  <si>
    <t>26-Nov-2023</t>
  </si>
  <si>
    <t>09:07:15</t>
  </si>
  <si>
    <t>E1226</t>
  </si>
  <si>
    <t>Harsh Shah</t>
  </si>
  <si>
    <t>20-May-2022</t>
  </si>
  <si>
    <t>09:35:19</t>
  </si>
  <si>
    <t>E1230</t>
  </si>
  <si>
    <t>Neha Jain</t>
  </si>
  <si>
    <t>14-Apr-2021</t>
  </si>
  <si>
    <t>10:57:33</t>
  </si>
  <si>
    <t>E1150</t>
  </si>
  <si>
    <t>Amit Agarwal</t>
  </si>
  <si>
    <t>22-Sep-2021</t>
  </si>
  <si>
    <t>09:34:45</t>
  </si>
  <si>
    <t>E1088</t>
  </si>
  <si>
    <t>Priya Nair</t>
  </si>
  <si>
    <t>10-Dec-2024</t>
  </si>
  <si>
    <t>09:04:43</t>
  </si>
  <si>
    <t>E1199</t>
  </si>
  <si>
    <t>Siddharth Joshi</t>
  </si>
  <si>
    <t>06-Sep-2021</t>
  </si>
  <si>
    <t>08:50:08</t>
  </si>
  <si>
    <t>E1032</t>
  </si>
  <si>
    <t>Nidhi Mishra</t>
  </si>
  <si>
    <t>23-Feb-2022</t>
  </si>
  <si>
    <t>10:45:20</t>
  </si>
  <si>
    <t>E1052</t>
  </si>
  <si>
    <t>Varun Nair</t>
  </si>
  <si>
    <t>12-Feb-2022</t>
  </si>
  <si>
    <t>08:01:02</t>
  </si>
  <si>
    <t>E1084</t>
  </si>
  <si>
    <t>Kavita Verma</t>
  </si>
  <si>
    <t>02-Nov-2021</t>
  </si>
  <si>
    <t>10:19:05</t>
  </si>
  <si>
    <t>E1040</t>
  </si>
  <si>
    <t>Arjun Patel</t>
  </si>
  <si>
    <t>23-Mar-2021</t>
  </si>
  <si>
    <t>09:13:43</t>
  </si>
  <si>
    <t>E1113</t>
  </si>
  <si>
    <t>03-Aug-2023</t>
  </si>
  <si>
    <t>10:16:29</t>
  </si>
  <si>
    <t>E1063</t>
  </si>
  <si>
    <t>Manish Sharma</t>
  </si>
  <si>
    <t>05-Oct-2021</t>
  </si>
  <si>
    <t>09:11:03</t>
  </si>
  <si>
    <t>E1263</t>
  </si>
  <si>
    <t>Rohan Gupta</t>
  </si>
  <si>
    <t>29-Dec-2023</t>
  </si>
  <si>
    <t>10:22:19</t>
  </si>
  <si>
    <t>E1015</t>
  </si>
  <si>
    <t>Anjali Chopra</t>
  </si>
  <si>
    <t>07-Jan-2021</t>
  </si>
  <si>
    <t>10:56:46</t>
  </si>
  <si>
    <t>E1045</t>
  </si>
  <si>
    <t>Nidhi Goyal</t>
  </si>
  <si>
    <t>25-Aug-2021</t>
  </si>
  <si>
    <t>09:11:37</t>
  </si>
  <si>
    <t>E1238</t>
  </si>
  <si>
    <t>Rohan Nair</t>
  </si>
  <si>
    <t>25-Feb-2023</t>
  </si>
  <si>
    <t>08:28:48</t>
  </si>
  <si>
    <t>E1286</t>
  </si>
  <si>
    <t>Aditya Goyal</t>
  </si>
  <si>
    <t>04-Nov-2024</t>
  </si>
  <si>
    <t>09:10:08</t>
  </si>
  <si>
    <t>E1229</t>
  </si>
  <si>
    <t>Madhuri Malhotra</t>
  </si>
  <si>
    <t>15-Mar-2022</t>
  </si>
  <si>
    <t>08:52:34</t>
  </si>
  <si>
    <t>E1093</t>
  </si>
  <si>
    <t>Nidhi Shah</t>
  </si>
  <si>
    <t>22-Aug-2023</t>
  </si>
  <si>
    <t>10:41:28</t>
  </si>
  <si>
    <t>E1142</t>
  </si>
  <si>
    <t>Kavita Nair</t>
  </si>
  <si>
    <t>14-Feb-2024</t>
  </si>
  <si>
    <t>09:07:48</t>
  </si>
  <si>
    <t>E1216</t>
  </si>
  <si>
    <t>Ritika Gupta</t>
  </si>
  <si>
    <t>30-Oct-2023</t>
  </si>
  <si>
    <t>09:48:35</t>
  </si>
  <si>
    <t>E1164</t>
  </si>
  <si>
    <t>Yash Iyer</t>
  </si>
  <si>
    <t>13-Jul-2021</t>
  </si>
  <si>
    <t>10:43:24</t>
  </si>
  <si>
    <t xml:space="preserve">   fast delivery   </t>
  </si>
  <si>
    <t>E1109</t>
  </si>
  <si>
    <t>Rohan Agarwal</t>
  </si>
  <si>
    <t>26-Apr-2022</t>
  </si>
  <si>
    <t>10:43:58</t>
  </si>
  <si>
    <t>E1228</t>
  </si>
  <si>
    <t>Neha Mishra</t>
  </si>
  <si>
    <t>08-Dec-2022</t>
  </si>
  <si>
    <t>08:18:02</t>
  </si>
  <si>
    <t>E1149</t>
  </si>
  <si>
    <t>Priya Sharma</t>
  </si>
  <si>
    <t>09-Mar-2022</t>
  </si>
  <si>
    <t>08:48:16</t>
  </si>
  <si>
    <t>E1292</t>
  </si>
  <si>
    <t>Ritika Joshi</t>
  </si>
  <si>
    <t>21-Dec-2024</t>
  </si>
  <si>
    <t>08:28:51</t>
  </si>
  <si>
    <t>E1290</t>
  </si>
  <si>
    <t>Rohan Jain</t>
  </si>
  <si>
    <t>08:25:20</t>
  </si>
  <si>
    <t>E1236</t>
  </si>
  <si>
    <t>Sneha Malhotra</t>
  </si>
  <si>
    <t>29-Jan-2021</t>
  </si>
  <si>
    <t>10:21:50</t>
  </si>
  <si>
    <t>E1240</t>
  </si>
  <si>
    <t>Anjali Joshi</t>
  </si>
  <si>
    <t>14-Nov-2024</t>
  </si>
  <si>
    <t>08:40:58</t>
  </si>
  <si>
    <t>E1114</t>
  </si>
  <si>
    <t>Tanya Malhotra</t>
  </si>
  <si>
    <t>01-Jun-2021</t>
  </si>
  <si>
    <t>09:22:37</t>
  </si>
  <si>
    <t>E1198</t>
  </si>
  <si>
    <t>Tanya Iyer</t>
  </si>
  <si>
    <t>01-Feb-2024</t>
  </si>
  <si>
    <t>10:18:57</t>
  </si>
  <si>
    <t>E1158</t>
  </si>
  <si>
    <t>09:28:40</t>
  </si>
  <si>
    <t>E1167</t>
  </si>
  <si>
    <t>08-Nov-2023</t>
  </si>
  <si>
    <t>09:01:23</t>
  </si>
  <si>
    <t>E1176</t>
  </si>
  <si>
    <t>17-Jun-2021</t>
  </si>
  <si>
    <t>09:14:01</t>
  </si>
  <si>
    <t>E1104</t>
  </si>
  <si>
    <t>05-Feb-2024</t>
  </si>
  <si>
    <t>10:24:29</t>
  </si>
  <si>
    <t>E1152</t>
  </si>
  <si>
    <t>Nisha Mishra</t>
  </si>
  <si>
    <t>16-Aug-2022</t>
  </si>
  <si>
    <t>08:25:01</t>
  </si>
  <si>
    <t>E1047</t>
  </si>
  <si>
    <t>Priya Chopra</t>
  </si>
  <si>
    <t>16-Jan-2023</t>
  </si>
  <si>
    <t>09:04:42</t>
  </si>
  <si>
    <t>E1004</t>
  </si>
  <si>
    <t>Tanya Joshi</t>
  </si>
  <si>
    <t>24-Jul-2022</t>
  </si>
  <si>
    <t>08:13:48</t>
  </si>
  <si>
    <t>E1163</t>
  </si>
  <si>
    <t>Shreya Joshi</t>
  </si>
  <si>
    <t>03-Aug-2022</t>
  </si>
  <si>
    <t>09:26:49</t>
  </si>
  <si>
    <t>E1120</t>
  </si>
  <si>
    <t>Aakash Shah</t>
  </si>
  <si>
    <t>14-Sep-2023</t>
  </si>
  <si>
    <t>09:47:55</t>
  </si>
  <si>
    <t>E1225</t>
  </si>
  <si>
    <t>Kavita Saxena</t>
  </si>
  <si>
    <t>21-Dec-2021</t>
  </si>
  <si>
    <t>09:58:34</t>
  </si>
  <si>
    <t>E1165</t>
  </si>
  <si>
    <t>Isha Jain</t>
  </si>
  <si>
    <t>16-Jun-2021</t>
  </si>
  <si>
    <t>10:42:09</t>
  </si>
  <si>
    <t>E1044</t>
  </si>
  <si>
    <t>Amit Mehta</t>
  </si>
  <si>
    <t>25-Jul-2022</t>
  </si>
  <si>
    <t>08:49:17</t>
  </si>
  <si>
    <t>E1191</t>
  </si>
  <si>
    <t>10:55:58</t>
  </si>
  <si>
    <t>E1183</t>
  </si>
  <si>
    <t>Isha Agarwal</t>
  </si>
  <si>
    <t>04-Feb-2023</t>
  </si>
  <si>
    <t>09:47:01</t>
  </si>
  <si>
    <t>E1283</t>
  </si>
  <si>
    <t>Suresh Iyer</t>
  </si>
  <si>
    <t>07-Jul-2021</t>
  </si>
  <si>
    <t>08:19:28</t>
  </si>
  <si>
    <t xml:space="preserve">   good communication   </t>
  </si>
  <si>
    <t>E1006</t>
  </si>
  <si>
    <t>11-Jul-2024</t>
  </si>
  <si>
    <t>10:56:55</t>
  </si>
  <si>
    <t>E1017</t>
  </si>
  <si>
    <t>Sneha Goyal</t>
  </si>
  <si>
    <t>28-Sep-2023</t>
  </si>
  <si>
    <t>08:07:59</t>
  </si>
  <si>
    <t>E1118</t>
  </si>
  <si>
    <t>Harsh Kumar</t>
  </si>
  <si>
    <t>25-Sep-2022</t>
  </si>
  <si>
    <t>09:02:37</t>
  </si>
  <si>
    <t>E1159</t>
  </si>
  <si>
    <t>04-Aug-2023</t>
  </si>
  <si>
    <t>09:02:03</t>
  </si>
  <si>
    <t>E1034</t>
  </si>
  <si>
    <t>16-Dec-2022</t>
  </si>
  <si>
    <t>08:56:15</t>
  </si>
  <si>
    <t>E1264</t>
  </si>
  <si>
    <t>Aditya Agarwal</t>
  </si>
  <si>
    <t>20-Aug-2023</t>
  </si>
  <si>
    <t>09:58:13</t>
  </si>
  <si>
    <t>E1173</t>
  </si>
  <si>
    <t>Sneha Mehta</t>
  </si>
  <si>
    <t>17-Apr-2021</t>
  </si>
  <si>
    <t>10:30:55</t>
  </si>
  <si>
    <t>E1241</t>
  </si>
  <si>
    <t>Pooja Nair</t>
  </si>
  <si>
    <t>10-Nov-2021</t>
  </si>
  <si>
    <t>09:47:38</t>
  </si>
  <si>
    <t>E1281</t>
  </si>
  <si>
    <t>16-Jan-2022</t>
  </si>
  <si>
    <t>10:37:42</t>
  </si>
  <si>
    <t>E1007</t>
  </si>
  <si>
    <t>Rahul Patel</t>
  </si>
  <si>
    <t>13-Jun-2021</t>
  </si>
  <si>
    <t>08:55:06</t>
  </si>
  <si>
    <t>E1115</t>
  </si>
  <si>
    <t>Vikram Malhotra</t>
  </si>
  <si>
    <t>27-Feb-2023</t>
  </si>
  <si>
    <t>09:06:15</t>
  </si>
  <si>
    <t>E1046</t>
  </si>
  <si>
    <t>Shreya Chopra</t>
  </si>
  <si>
    <t>13-Jun-2023</t>
  </si>
  <si>
    <t>10:32:07</t>
  </si>
  <si>
    <t>E1285</t>
  </si>
  <si>
    <t>Rahul Reddy</t>
  </si>
  <si>
    <t>28-Feb-2023</t>
  </si>
  <si>
    <t>08:18:26</t>
  </si>
  <si>
    <t>E1121</t>
  </si>
  <si>
    <t>Rahul Kumar</t>
  </si>
  <si>
    <t>16-Feb-2024</t>
  </si>
  <si>
    <t>09:05:50</t>
  </si>
  <si>
    <t>E1262</t>
  </si>
  <si>
    <t>Karan Singh</t>
  </si>
  <si>
    <t>25-Nov-2024</t>
  </si>
  <si>
    <t>10:45:13</t>
  </si>
  <si>
    <t>E1027</t>
  </si>
  <si>
    <t>Madhuri Nair</t>
  </si>
  <si>
    <t>22-Sep-2023</t>
  </si>
  <si>
    <t>09:13:55</t>
  </si>
  <si>
    <t>E1099</t>
  </si>
  <si>
    <t>Amit Jain</t>
  </si>
  <si>
    <t>29-Sep-2022</t>
  </si>
  <si>
    <t>10:00:35</t>
  </si>
  <si>
    <t>E1284</t>
  </si>
  <si>
    <t>Arjun Verma</t>
  </si>
  <si>
    <t>09-Jul-2023</t>
  </si>
  <si>
    <t>10:35:32</t>
  </si>
  <si>
    <t>E1247</t>
  </si>
  <si>
    <t>Nisha Reddy</t>
  </si>
  <si>
    <t>22-May-2021</t>
  </si>
  <si>
    <t>09:02:18</t>
  </si>
  <si>
    <t>E1270</t>
  </si>
  <si>
    <t>Meera Patel</t>
  </si>
  <si>
    <t>02-Feb-2021</t>
  </si>
  <si>
    <t>08:34:35</t>
  </si>
  <si>
    <t>E1175</t>
  </si>
  <si>
    <t>Varun Chopra</t>
  </si>
  <si>
    <t>13-Jul-2023</t>
  </si>
  <si>
    <t>09:59:01</t>
  </si>
  <si>
    <t>E1258</t>
  </si>
  <si>
    <t>Isha Nair</t>
  </si>
  <si>
    <t>07-Aug-2023</t>
  </si>
  <si>
    <t>08:35:26</t>
  </si>
  <si>
    <t>E1223</t>
  </si>
  <si>
    <t>26-Jan-2022</t>
  </si>
  <si>
    <t>08:28:20</t>
  </si>
  <si>
    <t>E1064</t>
  </si>
  <si>
    <t>Karan Malhotra</t>
  </si>
  <si>
    <t>16-Feb-2023</t>
  </si>
  <si>
    <t>09:48:53</t>
  </si>
  <si>
    <t>E1025</t>
  </si>
  <si>
    <t>Rohan Singh</t>
  </si>
  <si>
    <t>25-Jan-2022</t>
  </si>
  <si>
    <t>10:28:08</t>
  </si>
  <si>
    <t>E1037</t>
  </si>
  <si>
    <t>Rohan Mehta</t>
  </si>
  <si>
    <t>08:05:40</t>
  </si>
  <si>
    <t>E1214</t>
  </si>
  <si>
    <t>Kavita Jain</t>
  </si>
  <si>
    <t>05-Jan-2024</t>
  </si>
  <si>
    <t>08:54:06</t>
  </si>
  <si>
    <t>E1091</t>
  </si>
  <si>
    <t>Neha Malhotra</t>
  </si>
  <si>
    <t>12-Jul-2022</t>
  </si>
  <si>
    <t>10:34:31</t>
  </si>
  <si>
    <t>E1098</t>
  </si>
  <si>
    <t>Deepak Patel</t>
  </si>
  <si>
    <t>30-Jan-2024</t>
  </si>
  <si>
    <t>08:59:18</t>
  </si>
  <si>
    <t>E1162</t>
  </si>
  <si>
    <t>22-Mar-2021</t>
  </si>
  <si>
    <t>08:45:28</t>
  </si>
  <si>
    <t>E1208</t>
  </si>
  <si>
    <t>Pooja Bansal</t>
  </si>
  <si>
    <t>30-May-2021</t>
  </si>
  <si>
    <t>10:03:10</t>
  </si>
  <si>
    <t>E1194</t>
  </si>
  <si>
    <t>Suresh Mishra</t>
  </si>
  <si>
    <t>22-Oct-2024</t>
  </si>
  <si>
    <t>09:23:23</t>
  </si>
  <si>
    <t>E1190</t>
  </si>
  <si>
    <t>03-Nov-2022</t>
  </si>
  <si>
    <t>10:18:19</t>
  </si>
  <si>
    <t>E1210</t>
  </si>
  <si>
    <t>Arjun Reddy</t>
  </si>
  <si>
    <t>11-May-2022</t>
  </si>
  <si>
    <t>09:07:17</t>
  </si>
  <si>
    <t>E1259</t>
  </si>
  <si>
    <t>Suresh Nair</t>
  </si>
  <si>
    <t>08-Nov-2022</t>
  </si>
  <si>
    <t>10:05:59</t>
  </si>
  <si>
    <t>E1280</t>
  </si>
  <si>
    <t>Shreya Jain</t>
  </si>
  <si>
    <t>02-Mar-2021</t>
  </si>
  <si>
    <t>10:17:50</t>
  </si>
  <si>
    <t>E1073</t>
  </si>
  <si>
    <t>Komal Mishra</t>
  </si>
  <si>
    <t>18-May-2022</t>
  </si>
  <si>
    <t>08:17:56</t>
  </si>
  <si>
    <t>E1133</t>
  </si>
  <si>
    <t>Neha Verma</t>
  </si>
  <si>
    <t>12-Jan-2023</t>
  </si>
  <si>
    <t>10:37:06</t>
  </si>
  <si>
    <t>E1185</t>
  </si>
  <si>
    <t>Harsh Malhotra</t>
  </si>
  <si>
    <t>04-Oct-2021</t>
  </si>
  <si>
    <t>08:45:49</t>
  </si>
  <si>
    <t>E1072</t>
  </si>
  <si>
    <t>Arjun Chopra</t>
  </si>
  <si>
    <t>15-Jun-2024</t>
  </si>
  <si>
    <t>10:49:30</t>
  </si>
  <si>
    <t>E1177</t>
  </si>
  <si>
    <t>Siddharth Iyer</t>
  </si>
  <si>
    <t>20-Mar-2021</t>
  </si>
  <si>
    <t>09:58:53</t>
  </si>
  <si>
    <t>E1105</t>
  </si>
  <si>
    <t>Pooja Mishra</t>
  </si>
  <si>
    <t>22-Apr-2023</t>
  </si>
  <si>
    <t>08:20:47</t>
  </si>
  <si>
    <t>E1066</t>
  </si>
  <si>
    <t>Amit Nair</t>
  </si>
  <si>
    <t>26-Jun-2024</t>
  </si>
  <si>
    <t>08:15:08</t>
  </si>
  <si>
    <t>E1218</t>
  </si>
  <si>
    <t>08-Oct-2021</t>
  </si>
  <si>
    <t>10:21:51</t>
  </si>
  <si>
    <t>E1274</t>
  </si>
  <si>
    <t>Nidhi Verma</t>
  </si>
  <si>
    <t>11-Apr-2023</t>
  </si>
  <si>
    <t>09:24:35</t>
  </si>
  <si>
    <t>E1287</t>
  </si>
  <si>
    <t>Kavita Kumar</t>
  </si>
  <si>
    <t>10-Jun-2023</t>
  </si>
  <si>
    <t>09:26:19</t>
  </si>
  <si>
    <t>E1022</t>
  </si>
  <si>
    <t>Aditya Patel</t>
  </si>
  <si>
    <t>19-Nov-2023</t>
  </si>
  <si>
    <t>08:17:42</t>
  </si>
  <si>
    <t>E1244</t>
  </si>
  <si>
    <t>Rohan Saxena</t>
  </si>
  <si>
    <t>08:45:37</t>
  </si>
  <si>
    <t>E1126</t>
  </si>
  <si>
    <t>30-Apr-2023</t>
  </si>
  <si>
    <t>10:06:53</t>
  </si>
  <si>
    <t>E1188</t>
  </si>
  <si>
    <t>Aditya Bansal</t>
  </si>
  <si>
    <t>26-Nov-2022</t>
  </si>
  <si>
    <t>08:31:44</t>
  </si>
  <si>
    <t>E1212</t>
  </si>
  <si>
    <t>Rohan Mishra</t>
  </si>
  <si>
    <t>23-Nov-2021</t>
  </si>
  <si>
    <t>09:32:29</t>
  </si>
  <si>
    <t>E1266</t>
  </si>
  <si>
    <t>Arjun Mehta</t>
  </si>
  <si>
    <t>17-Feb-2023</t>
  </si>
  <si>
    <t>10:53:15</t>
  </si>
  <si>
    <t>E1172</t>
  </si>
  <si>
    <t>Varun Mehta</t>
  </si>
  <si>
    <t>09:49:24</t>
  </si>
  <si>
    <t>E1136</t>
  </si>
  <si>
    <t>Vikram Jain</t>
  </si>
  <si>
    <t>08-May-2024</t>
  </si>
  <si>
    <t>10:18:29</t>
  </si>
  <si>
    <t>E1182</t>
  </si>
  <si>
    <t>14-Dec-2023</t>
  </si>
  <si>
    <t>10:32:50</t>
  </si>
  <si>
    <t>E1147</t>
  </si>
  <si>
    <t>Deepak Chopra</t>
  </si>
  <si>
    <t>29-Apr-2023</t>
  </si>
  <si>
    <t>09:13:48</t>
  </si>
  <si>
    <t>E1051</t>
  </si>
  <si>
    <t>Deepak Malhotra</t>
  </si>
  <si>
    <t>14-Dec-2021</t>
  </si>
  <si>
    <t>10:05:18</t>
  </si>
  <si>
    <t>E1111</t>
  </si>
  <si>
    <t>07-Feb-2023</t>
  </si>
  <si>
    <t>09:09:15</t>
  </si>
  <si>
    <t>E1250</t>
  </si>
  <si>
    <t>Amit Sharma</t>
  </si>
  <si>
    <t>10:34:27</t>
  </si>
  <si>
    <t>E1294</t>
  </si>
  <si>
    <t>Nisha Bansal</t>
  </si>
  <si>
    <t>09-May-2024</t>
  </si>
  <si>
    <t>09:37:25</t>
  </si>
  <si>
    <t>E1257</t>
  </si>
  <si>
    <t>Siddharth Chopra</t>
  </si>
  <si>
    <t>07-Sep-2022</t>
  </si>
  <si>
    <t>09:11:48</t>
  </si>
  <si>
    <t>E1019</t>
  </si>
  <si>
    <t>Nidhi Agarwal</t>
  </si>
  <si>
    <t>17-Dec-2023</t>
  </si>
  <si>
    <t>10:27:13</t>
  </si>
  <si>
    <t>E1119</t>
  </si>
  <si>
    <t>Madhuri Gupta</t>
  </si>
  <si>
    <t>26-Dec-2021</t>
  </si>
  <si>
    <t>08:08:50</t>
  </si>
  <si>
    <t xml:space="preserve">   strong presentation   </t>
  </si>
  <si>
    <t>E1278</t>
  </si>
  <si>
    <t>Rahul Gupta</t>
  </si>
  <si>
    <t>06-Mar-2024</t>
  </si>
  <si>
    <t>09:43:57</t>
  </si>
  <si>
    <t>E1026</t>
  </si>
  <si>
    <t>Deepak Nair</t>
  </si>
  <si>
    <t>02-Feb-2024</t>
  </si>
  <si>
    <t>08:03:41</t>
  </si>
  <si>
    <t>E1075</t>
  </si>
  <si>
    <t>Meera Shah</t>
  </si>
  <si>
    <t>05-May-2024</t>
  </si>
  <si>
    <t>10:56:17</t>
  </si>
  <si>
    <t>E1123</t>
  </si>
  <si>
    <t>Yash Reddy</t>
  </si>
  <si>
    <t>24-Aug-2023</t>
  </si>
  <si>
    <t>E1215</t>
  </si>
  <si>
    <t>Vikram Reddy</t>
  </si>
  <si>
    <t>03-Apr-2021</t>
  </si>
  <si>
    <t>09:03:36</t>
  </si>
  <si>
    <t>E1033</t>
  </si>
  <si>
    <t>Arjun Gupta</t>
  </si>
  <si>
    <t>29-May-2021</t>
  </si>
  <si>
    <t>08:29:39</t>
  </si>
  <si>
    <t>E1291</t>
  </si>
  <si>
    <t>Tanya Nair</t>
  </si>
  <si>
    <t>29-Jul-2022</t>
  </si>
  <si>
    <t>09:23:07</t>
  </si>
  <si>
    <t>E1245</t>
  </si>
  <si>
    <t>Aakash Malhotra</t>
  </si>
  <si>
    <t>28-Sep-2021</t>
  </si>
  <si>
    <t>10:26:29</t>
  </si>
  <si>
    <t>E1129</t>
  </si>
  <si>
    <t>Nidhi Mehta</t>
  </si>
  <si>
    <t>15-Nov-2022</t>
  </si>
  <si>
    <t>E1275</t>
  </si>
  <si>
    <t>Amit Joshi</t>
  </si>
  <si>
    <t>08-Jun-2023</t>
  </si>
  <si>
    <t>10:50:21</t>
  </si>
  <si>
    <t>E1090</t>
  </si>
  <si>
    <t>22-Sep-2022</t>
  </si>
  <si>
    <t>10:47:52</t>
  </si>
  <si>
    <t>E1181</t>
  </si>
  <si>
    <t>Pooja Kumar</t>
  </si>
  <si>
    <t>04-Jan-2021</t>
  </si>
  <si>
    <t>10:22:15</t>
  </si>
  <si>
    <t>E1068</t>
  </si>
  <si>
    <t>Varun Joshi</t>
  </si>
  <si>
    <t>31-Mar-2024</t>
  </si>
  <si>
    <t>08:59:19</t>
  </si>
  <si>
    <t>E1206</t>
  </si>
  <si>
    <t>08:41:49</t>
  </si>
  <si>
    <t>E1246</t>
  </si>
  <si>
    <t>Deepak Gupta</t>
  </si>
  <si>
    <t>06-Jun-2022</t>
  </si>
  <si>
    <t>08:47:13</t>
  </si>
  <si>
    <t>E1221</t>
  </si>
  <si>
    <t>Manish Gupta</t>
  </si>
  <si>
    <t>28-Jun-2022</t>
  </si>
  <si>
    <t>10:50:49</t>
  </si>
  <si>
    <t>E1039</t>
  </si>
  <si>
    <t>Amit Singh</t>
  </si>
  <si>
    <t>23-Jan-2024</t>
  </si>
  <si>
    <t>08:53:23</t>
  </si>
  <si>
    <t>E1265</t>
  </si>
  <si>
    <t>03-Feb-2021</t>
  </si>
  <si>
    <t>09:35:59</t>
  </si>
  <si>
    <t xml:space="preserve">   needs improvement   </t>
  </si>
  <si>
    <t>E1122</t>
  </si>
  <si>
    <t>Ritika Singh</t>
  </si>
  <si>
    <t>09-Oct-2024</t>
  </si>
  <si>
    <t>10:43:16</t>
  </si>
  <si>
    <t>E1085</t>
  </si>
  <si>
    <t>Harsh Chopra</t>
  </si>
  <si>
    <t>12-Jul-2023</t>
  </si>
  <si>
    <t>09:19:55</t>
  </si>
  <si>
    <t>E1153</t>
  </si>
  <si>
    <t>Shreya Malhotra</t>
  </si>
  <si>
    <t>14-Jun-2023</t>
  </si>
  <si>
    <t>08:15:27</t>
  </si>
  <si>
    <t>E1255</t>
  </si>
  <si>
    <t>Anjali Kumar</t>
  </si>
  <si>
    <t>08-Sep-2022</t>
  </si>
  <si>
    <t>09:03:35</t>
  </si>
  <si>
    <t>E1087</t>
  </si>
  <si>
    <t>Pooja Joshi</t>
  </si>
  <si>
    <t>06-Jan-2021</t>
  </si>
  <si>
    <t>09:28:44</t>
  </si>
  <si>
    <t>E1013</t>
  </si>
  <si>
    <t>Neha Kumar</t>
  </si>
  <si>
    <t>06-May-2024</t>
  </si>
  <si>
    <t>08:24:24</t>
  </si>
  <si>
    <t>E1036</t>
  </si>
  <si>
    <t>Arjun Shah</t>
  </si>
  <si>
    <t>08-Feb-2024</t>
  </si>
  <si>
    <t>08:17:18</t>
  </si>
  <si>
    <t>E1050</t>
  </si>
  <si>
    <t>Ritika Sharma</t>
  </si>
  <si>
    <t>07-Mar-2022</t>
  </si>
  <si>
    <t>09:50:37</t>
  </si>
  <si>
    <t>E1049</t>
  </si>
  <si>
    <t>19-Oct-2024</t>
  </si>
  <si>
    <t>10:57:11</t>
  </si>
  <si>
    <t>E1219</t>
  </si>
  <si>
    <t>Arjun Jain</t>
  </si>
  <si>
    <t>09-Jun-2024</t>
  </si>
  <si>
    <t>09:10:25</t>
  </si>
  <si>
    <t xml:space="preserve">   excellent leadership   </t>
  </si>
  <si>
    <t>E1112</t>
  </si>
  <si>
    <t>Nidhi Joshi</t>
  </si>
  <si>
    <t>11-Jun-2021</t>
  </si>
  <si>
    <t>10:55:24</t>
  </si>
  <si>
    <t>E1097</t>
  </si>
  <si>
    <t>Isha Goyal</t>
  </si>
  <si>
    <t>22-Apr-2021</t>
  </si>
  <si>
    <t>08:33:23</t>
  </si>
  <si>
    <t>E1157</t>
  </si>
  <si>
    <t>26-Oct-2024</t>
  </si>
  <si>
    <t>10:41:40</t>
  </si>
  <si>
    <t>E1009</t>
  </si>
  <si>
    <t>Yash Joshi</t>
  </si>
  <si>
    <t>05-Aug-2023</t>
  </si>
  <si>
    <t>09:17:59</t>
  </si>
  <si>
    <t>E1207</t>
  </si>
  <si>
    <t>Karan Mishra</t>
  </si>
  <si>
    <t>17-Oct-2023</t>
  </si>
  <si>
    <t>10:34:18</t>
  </si>
  <si>
    <t>E1201</t>
  </si>
  <si>
    <t>Suresh Agarwal</t>
  </si>
  <si>
    <t>23-Mar-2024</t>
  </si>
  <si>
    <t>08:08:20</t>
  </si>
  <si>
    <t>E1296</t>
  </si>
  <si>
    <t>Harsh Nair</t>
  </si>
  <si>
    <t>18-Aug-2024</t>
  </si>
  <si>
    <t>10:02:36</t>
  </si>
  <si>
    <t>E1193</t>
  </si>
  <si>
    <t>16-Sep-2021</t>
  </si>
  <si>
    <t>08:15:49</t>
  </si>
  <si>
    <t>E1070</t>
  </si>
  <si>
    <t>Manish Patel</t>
  </si>
  <si>
    <t>16-Sep-2024</t>
  </si>
  <si>
    <t>09:04:32</t>
  </si>
  <si>
    <t>E1293</t>
  </si>
  <si>
    <t>Isha Chopra</t>
  </si>
  <si>
    <t>21-Jul-2024</t>
  </si>
  <si>
    <t>09:15:16</t>
  </si>
  <si>
    <t>E1086</t>
  </si>
  <si>
    <t>Manish Jain</t>
  </si>
  <si>
    <t>02-Mar-2022</t>
  </si>
  <si>
    <t>10:13:16</t>
  </si>
  <si>
    <t>E1035</t>
  </si>
  <si>
    <t>Deepak Goyal</t>
  </si>
  <si>
    <t>29-Sep-2024</t>
  </si>
  <si>
    <t>10:19:59</t>
  </si>
  <si>
    <t xml:space="preserve">   great support   </t>
  </si>
  <si>
    <t>E1055</t>
  </si>
  <si>
    <t>Priya Goyal</t>
  </si>
  <si>
    <t>24-Jul-2023</t>
  </si>
  <si>
    <t>08:51:29</t>
  </si>
  <si>
    <t>E1094</t>
  </si>
  <si>
    <t>Nisha Agarwal</t>
  </si>
  <si>
    <t>14-Dec-2022</t>
  </si>
  <si>
    <t>09:21:20</t>
  </si>
  <si>
    <t>E1220</t>
  </si>
  <si>
    <t>31-Aug-2023</t>
  </si>
  <si>
    <t>08:23:21</t>
  </si>
  <si>
    <t>E1192</t>
  </si>
  <si>
    <t>Yash Patel</t>
  </si>
  <si>
    <t>15-Jan-2023</t>
  </si>
  <si>
    <t>10:51:47</t>
  </si>
  <si>
    <t>E1298</t>
  </si>
  <si>
    <t>06-Feb-2023</t>
  </si>
  <si>
    <t>09:29:49</t>
  </si>
  <si>
    <t>E1248</t>
  </si>
  <si>
    <t>08-Jul-2023</t>
  </si>
  <si>
    <t>09:24:05</t>
  </si>
  <si>
    <t>E1116</t>
  </si>
  <si>
    <t>Anjali Gupta</t>
  </si>
  <si>
    <t>17-Jul-2022</t>
  </si>
  <si>
    <t>08:36:55</t>
  </si>
  <si>
    <t>E1076</t>
  </si>
  <si>
    <t>10:48:15</t>
  </si>
  <si>
    <t>E1077</t>
  </si>
  <si>
    <t>Siddharth Agarwal</t>
  </si>
  <si>
    <t>10-Jul-2021</t>
  </si>
  <si>
    <t>09:14:25</t>
  </si>
  <si>
    <t>E1058</t>
  </si>
  <si>
    <t>Vikram Iyer</t>
  </si>
  <si>
    <t>11-Oct-2021</t>
  </si>
  <si>
    <t>08:14:24</t>
  </si>
  <si>
    <t>E1053</t>
  </si>
  <si>
    <t>Isha Verma</t>
  </si>
  <si>
    <t>13-Jul-2024</t>
  </si>
  <si>
    <t>10:12:45</t>
  </si>
  <si>
    <t>E1048</t>
  </si>
  <si>
    <t>Isha Singh</t>
  </si>
  <si>
    <t>27-Sep-2024</t>
  </si>
  <si>
    <t>09:20:25</t>
  </si>
  <si>
    <t>E1273</t>
  </si>
  <si>
    <t>Tanya Bansal</t>
  </si>
  <si>
    <t>12-Apr-2023</t>
  </si>
  <si>
    <t>09:36:15</t>
  </si>
  <si>
    <t>E1008</t>
  </si>
  <si>
    <t>29-Dec-2022</t>
  </si>
  <si>
    <t>08:42:17</t>
  </si>
  <si>
    <t xml:space="preserve"> </t>
  </si>
  <si>
    <t>E1038</t>
  </si>
  <si>
    <t>Amit Iyer</t>
  </si>
  <si>
    <t>27-Nov-2021</t>
  </si>
  <si>
    <t>10:28:35</t>
  </si>
  <si>
    <t>E1203</t>
  </si>
  <si>
    <t>15-Sep-2022</t>
  </si>
  <si>
    <t>08:10:20</t>
  </si>
  <si>
    <t>E1282</t>
  </si>
  <si>
    <t>Shreya Gupta</t>
  </si>
  <si>
    <t>18-Jun-2021</t>
  </si>
  <si>
    <t>09:09:24</t>
  </si>
  <si>
    <t>E1100</t>
  </si>
  <si>
    <t>Varun Singh</t>
  </si>
  <si>
    <t>19-Aug-2024</t>
  </si>
  <si>
    <t>08:31:59</t>
  </si>
  <si>
    <t>E1067</t>
  </si>
  <si>
    <t>10-Dec-2021</t>
  </si>
  <si>
    <t>10:38:47</t>
  </si>
  <si>
    <t>E1170</t>
  </si>
  <si>
    <t>Varun Jain</t>
  </si>
  <si>
    <t>31-Mar-2021</t>
  </si>
  <si>
    <t>09:23:43</t>
  </si>
  <si>
    <t>E1080</t>
  </si>
  <si>
    <t>Komal Goyal</t>
  </si>
  <si>
    <t>20-Mar-2022</t>
  </si>
  <si>
    <t>E1249</t>
  </si>
  <si>
    <t>Isha Reddy</t>
  </si>
  <si>
    <t>06-Jan-2024</t>
  </si>
  <si>
    <t>09:33:08</t>
  </si>
  <si>
    <t>E1005</t>
  </si>
  <si>
    <t>Suresh Singh</t>
  </si>
  <si>
    <t>21-May-2024</t>
  </si>
  <si>
    <t>09:51:02</t>
  </si>
  <si>
    <t>E1028</t>
  </si>
  <si>
    <t>Suresh Sharma</t>
  </si>
  <si>
    <t>21-Jul-2023</t>
  </si>
  <si>
    <t>09:27:44</t>
  </si>
  <si>
    <t>E1132</t>
  </si>
  <si>
    <t>Meera Nair</t>
  </si>
  <si>
    <t>23-Dec-2021</t>
  </si>
  <si>
    <t>09:03:08</t>
  </si>
  <si>
    <t>E1056</t>
  </si>
  <si>
    <t>Shreya Iyer</t>
  </si>
  <si>
    <t>28-Jan-2024</t>
  </si>
  <si>
    <t>09:57:10</t>
  </si>
  <si>
    <t>E1011</t>
  </si>
  <si>
    <t>20-Oct-2021</t>
  </si>
  <si>
    <t>09:08:15</t>
  </si>
  <si>
    <t>E1078</t>
  </si>
  <si>
    <t>10:22:27</t>
  </si>
  <si>
    <t>E1297</t>
  </si>
  <si>
    <t>Rohan Chopra</t>
  </si>
  <si>
    <t>21-Jul-2021</t>
  </si>
  <si>
    <t>09:14:32</t>
  </si>
  <si>
    <t>E1029</t>
  </si>
  <si>
    <t>Karan Gupta</t>
  </si>
  <si>
    <t>01-Apr-2024</t>
  </si>
  <si>
    <t>10:34:03</t>
  </si>
  <si>
    <t>E1140</t>
  </si>
  <si>
    <t>09:55:42</t>
  </si>
  <si>
    <t>E1060</t>
  </si>
  <si>
    <t>04-Sep-2023</t>
  </si>
  <si>
    <t>08:22:19</t>
  </si>
  <si>
    <t>E1156</t>
  </si>
  <si>
    <t>22-Dec-2021</t>
  </si>
  <si>
    <t>10:09:48</t>
  </si>
  <si>
    <t>E1095</t>
  </si>
  <si>
    <t>10:25:52</t>
  </si>
  <si>
    <t>E1143</t>
  </si>
  <si>
    <t>Nisha Goyal</t>
  </si>
  <si>
    <t>01-Mar-2021</t>
  </si>
  <si>
    <t>08:17:44</t>
  </si>
  <si>
    <t>E1018</t>
  </si>
  <si>
    <t>23-Sep-2023</t>
  </si>
  <si>
    <t>08:48:34</t>
  </si>
  <si>
    <t>E1202</t>
  </si>
  <si>
    <t>Deepak Saxena</t>
  </si>
  <si>
    <t>10:37:11</t>
  </si>
  <si>
    <t>E1014</t>
  </si>
  <si>
    <t>Vikram Goyal</t>
  </si>
  <si>
    <t>28-Oct-2024</t>
  </si>
  <si>
    <t>10:48:17</t>
  </si>
  <si>
    <t>E1222</t>
  </si>
  <si>
    <t>10:46:39</t>
  </si>
  <si>
    <t xml:space="preserve">   quick response   </t>
  </si>
  <si>
    <t>E1065</t>
  </si>
  <si>
    <t>Rahul Agarwal</t>
  </si>
  <si>
    <t>18-Dec-2022</t>
  </si>
  <si>
    <t>08:41:04</t>
  </si>
  <si>
    <t>E1171</t>
  </si>
  <si>
    <t>30-Dec-2023</t>
  </si>
  <si>
    <t>08:19:51</t>
  </si>
  <si>
    <t>E1256</t>
  </si>
  <si>
    <t>Nidhi Chopra</t>
  </si>
  <si>
    <t>07-Dec-2022</t>
  </si>
  <si>
    <t>10:42:24</t>
  </si>
  <si>
    <t>E1102</t>
  </si>
  <si>
    <t>Madhuri Jain</t>
  </si>
  <si>
    <t>20-Jul-2022</t>
  </si>
  <si>
    <t>09:21:59</t>
  </si>
  <si>
    <t>E1130</t>
  </si>
  <si>
    <t>Varun Goyal</t>
  </si>
  <si>
    <t>23-Apr-2022</t>
  </si>
  <si>
    <t>09:49:09</t>
  </si>
  <si>
    <t>E1166</t>
  </si>
  <si>
    <t>Siddharth Bansal</t>
  </si>
  <si>
    <t>27-Sep-2022</t>
  </si>
  <si>
    <t>10:24:41</t>
  </si>
  <si>
    <t>E1043</t>
  </si>
  <si>
    <t>Priya Agarwal</t>
  </si>
  <si>
    <t>01-Aug-2023</t>
  </si>
  <si>
    <t>09:19:52</t>
  </si>
  <si>
    <t>E1227</t>
  </si>
  <si>
    <t>Anjali Mehta</t>
  </si>
  <si>
    <t>10-Sep-2023</t>
  </si>
  <si>
    <t>E1054</t>
  </si>
  <si>
    <t>07-Aug-2021</t>
  </si>
  <si>
    <t>09:14:11</t>
  </si>
  <si>
    <t>E1271</t>
  </si>
  <si>
    <t>26-Oct-2023</t>
  </si>
  <si>
    <t>10:43:27</t>
  </si>
  <si>
    <t>E1235</t>
  </si>
  <si>
    <t>09:17:12</t>
  </si>
  <si>
    <t>E1139</t>
  </si>
  <si>
    <t>Rahul Verma</t>
  </si>
  <si>
    <t>17-Jul-2021</t>
  </si>
  <si>
    <t>10:47:23</t>
  </si>
  <si>
    <t>E1184</t>
  </si>
  <si>
    <t>Pooja Singh</t>
  </si>
  <si>
    <t>01-Apr-2021</t>
  </si>
  <si>
    <t>09:34:21</t>
  </si>
  <si>
    <t>E1155</t>
  </si>
  <si>
    <t>Neha Saxena</t>
  </si>
  <si>
    <t>21-Dec-2022</t>
  </si>
  <si>
    <t>10:52:41</t>
  </si>
  <si>
    <t>E1272</t>
  </si>
  <si>
    <t>Madhuri Singh</t>
  </si>
  <si>
    <t>29-Jan-2022</t>
  </si>
  <si>
    <t>10:33:16</t>
  </si>
  <si>
    <t>E1186</t>
  </si>
  <si>
    <t>Karan Patel</t>
  </si>
  <si>
    <t>09:32:25</t>
  </si>
  <si>
    <t>E1254</t>
  </si>
  <si>
    <t>28-Mar-2024</t>
  </si>
  <si>
    <t>10:49:43</t>
  </si>
  <si>
    <t>E1189</t>
  </si>
  <si>
    <t>Tanya Saxena</t>
  </si>
  <si>
    <t>20-May-2023</t>
  </si>
  <si>
    <t>08:27:38</t>
  </si>
  <si>
    <t>E1289</t>
  </si>
  <si>
    <t>21-Jun-2023</t>
  </si>
  <si>
    <t>09:27:52</t>
  </si>
  <si>
    <t>E1128</t>
  </si>
  <si>
    <t>Aditya Reddy</t>
  </si>
  <si>
    <t>08:07:54</t>
  </si>
  <si>
    <t>E1096</t>
  </si>
  <si>
    <t>Rahul Iyer</t>
  </si>
  <si>
    <t>26-Aug-2021</t>
  </si>
  <si>
    <t>09:55:32</t>
  </si>
  <si>
    <t>E1137</t>
  </si>
  <si>
    <t>Tanya Singh</t>
  </si>
  <si>
    <t>14-Jul-2023</t>
  </si>
  <si>
    <t>08:26:21</t>
  </si>
  <si>
    <t>E1071</t>
  </si>
  <si>
    <t>07-Jun-2023</t>
  </si>
  <si>
    <t>09:40:57</t>
  </si>
  <si>
    <t>E1178</t>
  </si>
  <si>
    <t>12-Jun-2021</t>
  </si>
  <si>
    <t>08:16:13</t>
  </si>
  <si>
    <t>E1092</t>
  </si>
  <si>
    <t>22-Feb-2021</t>
  </si>
  <si>
    <t>08:14:43</t>
  </si>
  <si>
    <t>E1279</t>
  </si>
  <si>
    <t>20-Apr-2021</t>
  </si>
  <si>
    <t>08:27:14</t>
  </si>
  <si>
    <t>E1168</t>
  </si>
  <si>
    <t>09-Oct-2021</t>
  </si>
  <si>
    <t>08:04:18</t>
  </si>
  <si>
    <t>E1134</t>
  </si>
  <si>
    <t>Shreya Patel</t>
  </si>
  <si>
    <t>10-Aug-2024</t>
  </si>
  <si>
    <t>08:03:30</t>
  </si>
  <si>
    <t>E1069</t>
  </si>
  <si>
    <t>28-Jul-2021</t>
  </si>
  <si>
    <t>10:49:19</t>
  </si>
  <si>
    <t>E1108</t>
  </si>
  <si>
    <t>Kavita Shah</t>
  </si>
  <si>
    <t>23-Aug-2024</t>
  </si>
  <si>
    <t>08:54:21</t>
  </si>
  <si>
    <t>E1209</t>
  </si>
  <si>
    <t>Deepak Mehta</t>
  </si>
  <si>
    <t>10:20:46</t>
  </si>
  <si>
    <t>E1103</t>
  </si>
  <si>
    <t>Varun Sharma</t>
  </si>
  <si>
    <t>17-Apr-2024</t>
  </si>
  <si>
    <t>10:42:31</t>
  </si>
  <si>
    <t>E1003</t>
  </si>
  <si>
    <t>Yash Goyal</t>
  </si>
  <si>
    <t>10:17:51</t>
  </si>
  <si>
    <t>E1106</t>
  </si>
  <si>
    <t>Nidhi Kumar</t>
  </si>
  <si>
    <t>10:37:21</t>
  </si>
  <si>
    <t>E1107</t>
  </si>
  <si>
    <t>Isha Malhotra</t>
  </si>
  <si>
    <t>01-Feb-2021</t>
  </si>
  <si>
    <t>10:09:26</t>
  </si>
  <si>
    <t>E1251</t>
  </si>
  <si>
    <t>14-Nov-2021</t>
  </si>
  <si>
    <t>09:12:59</t>
  </si>
  <si>
    <t>E1160</t>
  </si>
  <si>
    <t>Yash Verma</t>
  </si>
  <si>
    <t>03-Apr-2024</t>
  </si>
  <si>
    <t>10:50:47</t>
  </si>
  <si>
    <t>E1197</t>
  </si>
  <si>
    <t>Madhuri Agarwal</t>
  </si>
  <si>
    <t>08:28:11</t>
  </si>
  <si>
    <t>E1205</t>
  </si>
  <si>
    <t>Ritika Verma</t>
  </si>
  <si>
    <t>17-Dec-2021</t>
  </si>
  <si>
    <t>10:39:46</t>
  </si>
  <si>
    <t>E1211</t>
  </si>
  <si>
    <t>Neha Patel</t>
  </si>
  <si>
    <t>14-Jun-2024</t>
  </si>
  <si>
    <t>09:15:55</t>
  </si>
  <si>
    <t>E1110</t>
  </si>
  <si>
    <t>Rahul Chopra</t>
  </si>
  <si>
    <t>28-Jun-2023</t>
  </si>
  <si>
    <t>08:44:19</t>
  </si>
  <si>
    <t>E1174</t>
  </si>
  <si>
    <t>Isha Saxena</t>
  </si>
  <si>
    <t>21-Jun-2021</t>
  </si>
  <si>
    <t>E1062</t>
  </si>
  <si>
    <t>Nidhi Bansal</t>
  </si>
  <si>
    <t>19-Sep-2021</t>
  </si>
  <si>
    <t>10:34:01</t>
  </si>
  <si>
    <t>E1295</t>
  </si>
  <si>
    <t>Madhuri Chopra</t>
  </si>
  <si>
    <t>07-Dec-2024</t>
  </si>
  <si>
    <t>10:38:40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</si>
</sst>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  <numFmt numFmtId="181" formatCode="dd/mm/yyyy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u/>
      <sz val="12"/>
      <color rgb="FFFF0000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SimSun"/>
      <charset val="134"/>
    </font>
    <font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0" fillId="0" borderId="2" xfId="0" applyFont="1" applyBorder="1"/>
    <xf numFmtId="0" fontId="0" fillId="0" borderId="2" xfId="0" applyNumberFormat="1" applyFont="1" applyBorder="1"/>
    <xf numFmtId="0" fontId="0" fillId="0" borderId="3" xfId="0" applyNumberFormat="1" applyFont="1" applyBorder="1" applyAlignment="1"/>
    <xf numFmtId="0" fontId="0" fillId="0" borderId="0" xfId="0" applyNumberFormat="1" applyFont="1" applyAlignment="1"/>
    <xf numFmtId="0" fontId="3" fillId="0" borderId="1" xfId="0" applyFont="1" applyBorder="1"/>
    <xf numFmtId="0" fontId="0" fillId="0" borderId="3" xfId="0" applyFont="1" applyBorder="1"/>
    <xf numFmtId="0" fontId="0" fillId="0" borderId="3" xfId="0" applyNumberFormat="1" applyFont="1" applyBorder="1"/>
    <xf numFmtId="0" fontId="4" fillId="0" borderId="1" xfId="0" applyFont="1" applyBorder="1"/>
    <xf numFmtId="0" fontId="0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80" fontId="0" fillId="0" borderId="0" xfId="0" applyNumberFormat="1" applyFont="1" applyAlignment="1"/>
    <xf numFmtId="181" fontId="0" fillId="0" borderId="0" xfId="0" applyNumberFormat="1" applyFont="1" applyAlignment="1"/>
    <xf numFmtId="0" fontId="6" fillId="3" borderId="3" xfId="0" applyFont="1" applyFill="1" applyBorder="1" applyAlignment="1">
      <alignment horizontal="center"/>
    </xf>
    <xf numFmtId="0" fontId="0" fillId="0" borderId="3" xfId="0" applyFont="1" applyBorder="1" applyAlignment="1"/>
    <xf numFmtId="0" fontId="5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7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PivotStylePreset2_Accent1" table="0" count="10" xr9:uid="{267968C8-6FFD-4C36-ACC1-9EA1FD1885CA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D301" totalsRowShown="0">
  <autoFilter xmlns:etc="http://www.wps.cn/officeDocument/2017/etCustomData" ref="A1:AD301" etc:filterBottomFollowUsedRange="0"/>
  <sortState ref="A2:AD301">
    <sortCondition ref="Y1" descending="1"/>
  </sortState>
  <tableColumns count="30">
    <tableColumn id="1" name="Emp_ID" dataDxfId="0"/>
    <tableColumn id="2" name="Employee_Name" dataDxfId="1"/>
    <tableColumn id="19" name="lenght of Emp-name" dataDxfId="2">
      <calculatedColumnFormula>LEN(B2)</calculatedColumnFormula>
    </tableColumn>
    <tableColumn id="3" name="Department" dataDxfId="3"/>
    <tableColumn id="4" name="Helper cols" dataDxfId="4">
      <calculatedColumnFormula>_xlfn.CONCAT(B2,"(",A2,")"," - ",D2)</calculatedColumnFormula>
    </tableColumn>
    <tableColumn id="25" name="Left" dataDxfId="5">
      <calculatedColumnFormula>LEFT(E2,FIND("-",E2))</calculatedColumnFormula>
    </tableColumn>
    <tableColumn id="27" name="Right" dataDxfId="6">
      <calculatedColumnFormula>RIGHT(E2,LEN(E2)-FIND("-",E2)-1)</calculatedColumnFormula>
    </tableColumn>
    <tableColumn id="26" name="Column3" dataDxfId="7">
      <calculatedColumnFormula>FIND("-",F2)</calculatedColumnFormula>
    </tableColumn>
    <tableColumn id="28" name="Column4" dataDxfId="8">
      <calculatedColumnFormula>LEN(E2)-FIND("-",E2)</calculatedColumnFormula>
    </tableColumn>
    <tableColumn id="5" name="City" dataDxfId="9"/>
    <tableColumn id="29" name="New city" dataDxfId="10">
      <calculatedColumnFormula>SUBSTITUTE(J2,"a","@",1)</calculatedColumnFormula>
    </tableColumn>
    <tableColumn id="6" name="Joining_Date" dataDxfId="11"/>
    <tableColumn id="7" name="Day" dataDxfId="12">
      <calculatedColumnFormula>TEXT(L2,"dddd")</calculatedColumnFormula>
    </tableColumn>
    <tableColumn id="8" name="Left2" dataDxfId="13">
      <calculatedColumnFormula>LEFT(M2,3)</calculatedColumnFormula>
    </tableColumn>
    <tableColumn id="9" name="Right2" dataDxfId="14">
      <calculatedColumnFormula>RIGHT(M2,3)</calculatedColumnFormula>
    </tableColumn>
    <tableColumn id="10" name="Month" dataDxfId="15">
      <calculatedColumnFormula>MONTH(L2)</calculatedColumnFormula>
    </tableColumn>
    <tableColumn id="11" name="Year" dataDxfId="16">
      <calculatedColumnFormula>YEAR(L2)</calculatedColumnFormula>
    </tableColumn>
    <tableColumn id="12" name="Login_Time" dataDxfId="17"/>
    <tableColumn id="13" name="Hour" dataDxfId="18">
      <calculatedColumnFormula>HOUR(R2)</calculatedColumnFormula>
    </tableColumn>
    <tableColumn id="14" name="Minute" dataDxfId="19">
      <calculatedColumnFormula>MINUTE(R2)</calculatedColumnFormula>
    </tableColumn>
    <tableColumn id="15" name="Second" dataDxfId="20">
      <calculatedColumnFormula>SECOND(R2)</calculatedColumnFormula>
    </tableColumn>
    <tableColumn id="16" name="Monthly_Sales" dataDxfId="21"/>
    <tableColumn id="17" name="Target" dataDxfId="22"/>
    <tableColumn id="30" name="Column1" dataDxfId="23">
      <calculatedColumnFormula>IF(W2&gt;50000,"Highe Target","Low Target")</calculatedColumnFormula>
    </tableColumn>
    <tableColumn id="31" name="Column5" dataDxfId="24">
      <calculatedColumnFormula>IF(NOT(W2&lt;50000),"Highe target","Lower Target")</calculatedColumnFormula>
    </tableColumn>
    <tableColumn id="32" name="Column6" dataDxfId="25">
      <calculatedColumnFormula array="1">_xlfn.IFS(W2&lt;60000,"LOWERTarget",W2&lt;80000,"Medium Target",W2,"Highe Target")</calculatedColumnFormula>
    </tableColumn>
    <tableColumn id="18" name="Customer_Feedback" dataDxfId="26"/>
    <tableColumn id="20" name="Upper" dataDxfId="27">
      <calculatedColumnFormula>UPPER(AA2)</calculatedColumnFormula>
    </tableColumn>
    <tableColumn id="21" name="Lower" dataDxfId="28">
      <calculatedColumnFormula>LOWER(AA2)</calculatedColumnFormula>
    </tableColumn>
    <tableColumn id="22" name="Propar" dataDxfId="29">
      <calculatedColumnFormula>PROPER(AA2)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00"/>
  <sheetViews>
    <sheetView tabSelected="1" zoomScale="104" zoomScaleNormal="104" workbookViewId="0">
      <selection activeCell="AM2" sqref="AM2"/>
    </sheetView>
  </sheetViews>
  <sheetFormatPr defaultColWidth="14.4272727272727" defaultRowHeight="15" customHeight="1"/>
  <cols>
    <col min="1" max="1" width="8.09090909090909" customWidth="1"/>
    <col min="2" max="2" width="18.8181818181818" customWidth="1"/>
    <col min="3" max="3" width="18.0363636363636" customWidth="1"/>
    <col min="4" max="4" width="12.0909090909091" customWidth="1"/>
    <col min="5" max="5" width="36" customWidth="1"/>
    <col min="6" max="6" width="20.2" customWidth="1"/>
    <col min="7" max="10" width="12" customWidth="1"/>
    <col min="11" max="11" width="12.9090909090909" customWidth="1"/>
    <col min="12" max="12" width="12.8181818181818" customWidth="1"/>
    <col min="13" max="18" width="11.1818181818182" customWidth="1"/>
    <col min="19" max="22" width="14.3636363636364" customWidth="1"/>
    <col min="23" max="23" width="13.1272727272727" customWidth="1"/>
    <col min="24" max="27" width="23.3636363636364" customWidth="1"/>
    <col min="28" max="28" width="27.4545454545455" customWidth="1"/>
    <col min="29" max="29" width="23.3636363636364" customWidth="1"/>
    <col min="30" max="30" width="24.0909090909091" customWidth="1"/>
    <col min="31" max="31" width="11.6363636363636" customWidth="1"/>
    <col min="32" max="33" width="9" customWidth="1"/>
    <col min="34" max="34" width="10.8181818181818" customWidth="1"/>
    <col min="35" max="35" width="32.6181818181818" customWidth="1"/>
    <col min="36" max="44" width="9" customWidth="1"/>
    <col min="45" max="45" width="32.4545454545455" customWidth="1"/>
    <col min="46" max="46" width="8.54545454545454" customWidth="1"/>
    <col min="47" max="48" width="9" customWidth="1"/>
    <col min="49" max="49" width="16.8181818181818" customWidth="1"/>
  </cols>
  <sheetData>
    <row r="1" ht="14.25" customHeight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/>
      <c r="AF1"/>
      <c r="AS1" s="2" t="s">
        <v>30</v>
      </c>
      <c r="AT1" s="2" t="s">
        <v>31</v>
      </c>
      <c r="AW1" t="s">
        <v>32</v>
      </c>
      <c r="AX1" t="str">
        <f>LEFT(AW1,FIND("-",AW1)-1)</f>
        <v>"+91</v>
      </c>
      <c r="AY1" t="str">
        <f>RIGHT(AW1,LEN(AW1)-FIND("-",AW1))</f>
        <v>8208309401</v>
      </c>
    </row>
    <row r="2" ht="14.25" customHeight="1" spans="1:51">
      <c r="A2" s="3" t="s">
        <v>33</v>
      </c>
      <c r="B2" s="3" t="s">
        <v>34</v>
      </c>
      <c r="C2" s="4">
        <f>LEN(B2)</f>
        <v>11</v>
      </c>
      <c r="D2" s="3" t="s">
        <v>35</v>
      </c>
      <c r="E2" s="3" t="str">
        <f>_xlfn.CONCAT(B2,"(",A2,")"," - ",D2)</f>
        <v>Neha Chopra(E1231) - Finance</v>
      </c>
      <c r="F2" s="4" t="str">
        <f>LEFT(E2,FIND("-",E2))</f>
        <v>Neha Chopra(E1231) -</v>
      </c>
      <c r="G2" s="4" t="str">
        <f>RIGHT(E2,LEN(E2)-FIND("-",E2)-1)</f>
        <v>Finance</v>
      </c>
      <c r="H2" s="4">
        <f>FIND("-",E2)</f>
        <v>20</v>
      </c>
      <c r="I2" s="4">
        <f>LEN(E2)-FIND("-",E2)</f>
        <v>8</v>
      </c>
      <c r="J2" s="3" t="s">
        <v>36</v>
      </c>
      <c r="K2" s="4" t="str">
        <f>SUBSTITUTE(J2,"a","@",1)</f>
        <v>Ahmed@bad</v>
      </c>
      <c r="L2" s="3" t="s">
        <v>37</v>
      </c>
      <c r="M2" s="3" t="str">
        <f>TEXT(L2,"dddd")</f>
        <v>Sunday</v>
      </c>
      <c r="N2" s="3" t="str">
        <f>LEFT(M2,3)</f>
        <v>Sun</v>
      </c>
      <c r="O2" s="3" t="str">
        <f>RIGHT(M2,3)</f>
        <v>day</v>
      </c>
      <c r="P2" s="3">
        <f>MONTH(L2)</f>
        <v>7</v>
      </c>
      <c r="Q2" s="3">
        <f>YEAR(L2)</f>
        <v>2021</v>
      </c>
      <c r="R2" s="3" t="s">
        <v>38</v>
      </c>
      <c r="S2" s="3">
        <f>HOUR(R2)</f>
        <v>10</v>
      </c>
      <c r="T2" s="3">
        <f>MINUTE(R2)</f>
        <v>49</v>
      </c>
      <c r="U2" s="3">
        <f>SECOND(R2)</f>
        <v>8</v>
      </c>
      <c r="V2" s="3">
        <v>35689</v>
      </c>
      <c r="W2" s="3">
        <v>40339</v>
      </c>
      <c r="X2" s="4" t="str">
        <f>IF(W2&gt;50000,"Highe Target","Low Target")</f>
        <v>Low Target</v>
      </c>
      <c r="Y2" s="4" t="str">
        <f t="shared" ref="Y2:Y65" si="0">IF(NOT(W2&lt;50000),"Highe target","Lower Target")</f>
        <v>Lower Target</v>
      </c>
      <c r="Z2" s="4" t="str" cm="1">
        <f t="array" ref="Z2">_xlfn.IFS(W2&lt;60000,"LOWERTarget",W2&lt;80000,"Medium Target",W2,"Highe Target")</f>
        <v>LOWERTarget</v>
      </c>
      <c r="AA2" s="3" t="s">
        <v>39</v>
      </c>
      <c r="AB2" s="5" t="str">
        <f>UPPER(AA2)</f>
        <v>DETAILED ANALYSIS</v>
      </c>
      <c r="AC2" s="5" t="str">
        <f>LOWER(AA2)</f>
        <v>detailed analysis</v>
      </c>
      <c r="AD2" s="5" t="str">
        <f>PROPER(AA2)</f>
        <v>Detailed Analysis</v>
      </c>
      <c r="AF2" s="6"/>
      <c r="AS2" s="7" t="s">
        <v>40</v>
      </c>
      <c r="AT2" s="7"/>
      <c r="AW2" t="s">
        <v>41</v>
      </c>
      <c r="AX2" t="str">
        <f>LEFT(AW2,FIND("-",AW2)-1)</f>
        <v>"+3</v>
      </c>
      <c r="AY2" t="str">
        <f>RIGHT(AW2,LEN(AW2)-FIND("-",AW2))</f>
        <v>23692442</v>
      </c>
    </row>
    <row r="3" ht="14.25" customHeight="1" spans="1:51">
      <c r="A3" s="8" t="s">
        <v>42</v>
      </c>
      <c r="B3" s="8" t="s">
        <v>43</v>
      </c>
      <c r="C3" s="9">
        <f>LEN(B3)</f>
        <v>11</v>
      </c>
      <c r="D3" s="8" t="s">
        <v>44</v>
      </c>
      <c r="E3" s="8" t="str">
        <f>_xlfn.CONCAT(B3,"(",A3,")"," - ",D3)</f>
        <v>Vikram Nair(E1288) - Marketing</v>
      </c>
      <c r="F3" s="9" t="str">
        <f>LEFT(E3,FIND("-",E3))</f>
        <v>Vikram Nair(E1288) -</v>
      </c>
      <c r="G3" s="9" t="str">
        <f>RIGHT(E3,LEN(E3)-FIND("-",E3)-1)</f>
        <v>Marketing</v>
      </c>
      <c r="H3" s="9">
        <f>FIND("-",E3)</f>
        <v>20</v>
      </c>
      <c r="I3" s="9">
        <f>LEN(E3)-FIND("-",E3)</f>
        <v>10</v>
      </c>
      <c r="J3" s="8" t="s">
        <v>45</v>
      </c>
      <c r="K3" s="9" t="str">
        <f>SUBSTITUTE(J3,"a","@",1)</f>
        <v>B@ngalore</v>
      </c>
      <c r="L3" s="8" t="s">
        <v>46</v>
      </c>
      <c r="M3" s="8" t="str">
        <f>TEXT(L3,"dddd")</f>
        <v>Thursday</v>
      </c>
      <c r="N3" s="8" t="str">
        <f>LEFT(M3,3)</f>
        <v>Thu</v>
      </c>
      <c r="O3" s="8" t="str">
        <f>RIGHT(M3,3)</f>
        <v>day</v>
      </c>
      <c r="P3" s="8">
        <f>MONTH(L3)</f>
        <v>7</v>
      </c>
      <c r="Q3" s="8">
        <f>YEAR(L3)</f>
        <v>2023</v>
      </c>
      <c r="R3" s="8" t="s">
        <v>47</v>
      </c>
      <c r="S3" s="8">
        <f>HOUR(R3)</f>
        <v>8</v>
      </c>
      <c r="T3" s="8">
        <f>MINUTE(R3)</f>
        <v>8</v>
      </c>
      <c r="U3" s="8">
        <f>SECOND(R3)</f>
        <v>19</v>
      </c>
      <c r="V3" s="8">
        <v>51375</v>
      </c>
      <c r="W3" s="8">
        <v>40443</v>
      </c>
      <c r="X3" s="9" t="str">
        <f>IF(W3&gt;50000,"Highe Target","Low Target")</f>
        <v>Low Target</v>
      </c>
      <c r="Y3" s="9" t="str">
        <f t="shared" si="0"/>
        <v>Lower Target</v>
      </c>
      <c r="Z3" s="9" t="str" cm="1">
        <f t="array" ref="Z3">_xlfn.IFS(W3&lt;60000,"LOWERTarget",W3&lt;80000,"Medium Target",W3,"Highe Target")</f>
        <v>LOWERTarget</v>
      </c>
      <c r="AA3" s="8" t="s">
        <v>48</v>
      </c>
      <c r="AB3" s="5" t="str">
        <f>UPPER(AA3)</f>
        <v>CREATIVE IDEAS</v>
      </c>
      <c r="AC3" s="5" t="str">
        <f>LOWER(AA3)</f>
        <v>creative ideas</v>
      </c>
      <c r="AD3" s="5" t="str">
        <f>PROPER(AA3)</f>
        <v>Creative Ideas</v>
      </c>
      <c r="AF3" s="6"/>
      <c r="AS3" s="10" t="s">
        <v>49</v>
      </c>
      <c r="AT3" s="7"/>
      <c r="AW3" t="s">
        <v>50</v>
      </c>
      <c r="AX3" t="str">
        <f>LEFT(AW3,FIND("-",AW3)-1)</f>
        <v>"+441</v>
      </c>
      <c r="AY3" t="str">
        <f>RIGHT(AW3,LEN(AW3)-FIND("-",AW3))</f>
        <v>4724924234</v>
      </c>
    </row>
    <row r="4" ht="14.25" customHeight="1" spans="1:51">
      <c r="A4" s="8" t="s">
        <v>51</v>
      </c>
      <c r="B4" s="8" t="s">
        <v>52</v>
      </c>
      <c r="C4" s="9">
        <f>LEN(B4)</f>
        <v>11</v>
      </c>
      <c r="D4" s="8" t="s">
        <v>35</v>
      </c>
      <c r="E4" s="8" t="str">
        <f>_xlfn.CONCAT(B4,"(",A4,")"," - ",D4)</f>
        <v>Priya Patel(E1082) - Finance</v>
      </c>
      <c r="F4" s="9" t="str">
        <f>LEFT(E4,FIND("-",E4))</f>
        <v>Priya Patel(E1082) -</v>
      </c>
      <c r="G4" s="9" t="str">
        <f>RIGHT(E4,LEN(E4)-FIND("-",E4)-1)</f>
        <v>Finance</v>
      </c>
      <c r="H4" s="9">
        <f>FIND("-",E4)</f>
        <v>20</v>
      </c>
      <c r="I4" s="9">
        <f>LEN(E4)-FIND("-",E4)</f>
        <v>8</v>
      </c>
      <c r="J4" s="8" t="s">
        <v>53</v>
      </c>
      <c r="K4" s="9" t="str">
        <f>SUBSTITUTE(J4,"a","@",1)</f>
        <v>Delhi</v>
      </c>
      <c r="L4" s="8" t="s">
        <v>54</v>
      </c>
      <c r="M4" s="8" t="str">
        <f>TEXT(L4,"dddd")</f>
        <v>Tuesday</v>
      </c>
      <c r="N4" s="8" t="str">
        <f>LEFT(M4,3)</f>
        <v>Tue</v>
      </c>
      <c r="O4" s="8" t="str">
        <f>RIGHT(M4,3)</f>
        <v>day</v>
      </c>
      <c r="P4" s="8">
        <f>MONTH(L4)</f>
        <v>7</v>
      </c>
      <c r="Q4" s="8">
        <f>YEAR(L4)</f>
        <v>2024</v>
      </c>
      <c r="R4" s="8" t="s">
        <v>55</v>
      </c>
      <c r="S4" s="8">
        <f>HOUR(R4)</f>
        <v>9</v>
      </c>
      <c r="T4" s="8">
        <f>MINUTE(R4)</f>
        <v>6</v>
      </c>
      <c r="U4" s="8">
        <f>SECOND(R4)</f>
        <v>55</v>
      </c>
      <c r="V4" s="8">
        <v>44437</v>
      </c>
      <c r="W4" s="8">
        <v>40803</v>
      </c>
      <c r="X4" s="9" t="str">
        <f>IF(W4&gt;50000,"Highe Target","Low Target")</f>
        <v>Low Target</v>
      </c>
      <c r="Y4" s="9" t="str">
        <f t="shared" si="0"/>
        <v>Lower Target</v>
      </c>
      <c r="Z4" s="9" t="str" cm="1">
        <f t="array" ref="Z4">_xlfn.IFS(W4&lt;60000,"LOWERTarget",W4&lt;80000,"Medium Target",W4,"Highe Target")</f>
        <v>LOWERTarget</v>
      </c>
      <c r="AA4" s="8" t="s">
        <v>56</v>
      </c>
      <c r="AB4" s="5" t="str">
        <f>UPPER(AA4)</f>
        <v>   HELPFUL ATTITUDE   </v>
      </c>
      <c r="AC4" s="5" t="str">
        <f>LOWER(AA4)</f>
        <v>   helpful attitude   </v>
      </c>
      <c r="AD4" s="5" t="str">
        <f>PROPER(AA4)</f>
        <v>   Helpful Attitude   </v>
      </c>
      <c r="AF4" s="6"/>
      <c r="AS4" s="7" t="s">
        <v>57</v>
      </c>
      <c r="AT4" s="7"/>
    </row>
    <row r="5" ht="14.25" customHeight="1" spans="1:51">
      <c r="A5" s="8" t="s">
        <v>58</v>
      </c>
      <c r="B5" s="8" t="s">
        <v>59</v>
      </c>
      <c r="C5" s="9">
        <f>LEN(B5)</f>
        <v>12</v>
      </c>
      <c r="D5" s="8" t="s">
        <v>60</v>
      </c>
      <c r="E5" s="8" t="str">
        <f>_xlfn.CONCAT(B5,"(",A5,")"," - ",D5)</f>
        <v>Anjali Singh(E1081) - HR</v>
      </c>
      <c r="F5" s="9" t="str">
        <f>LEFT(E5,FIND("-",E5))</f>
        <v>Anjali Singh(E1081) -</v>
      </c>
      <c r="G5" s="9" t="str">
        <f>RIGHT(E5,LEN(E5)-FIND("-",E5)-1)</f>
        <v>HR</v>
      </c>
      <c r="H5" s="9">
        <f>FIND("-",E5)</f>
        <v>21</v>
      </c>
      <c r="I5" s="9">
        <f>LEN(E5)-FIND("-",E5)</f>
        <v>3</v>
      </c>
      <c r="J5" s="8" t="s">
        <v>61</v>
      </c>
      <c r="K5" s="9" t="str">
        <f>SUBSTITUTE(J5,"a","@",1)</f>
        <v>Chenn@i</v>
      </c>
      <c r="L5" s="8" t="s">
        <v>62</v>
      </c>
      <c r="M5" s="8" t="str">
        <f>TEXT(L5,"dddd")</f>
        <v>Monday</v>
      </c>
      <c r="N5" s="8" t="str">
        <f>LEFT(M5,3)</f>
        <v>Mon</v>
      </c>
      <c r="O5" s="8" t="str">
        <f>RIGHT(M5,3)</f>
        <v>day</v>
      </c>
      <c r="P5" s="8">
        <f>MONTH(L5)</f>
        <v>4</v>
      </c>
      <c r="Q5" s="8">
        <f>YEAR(L5)</f>
        <v>2022</v>
      </c>
      <c r="R5" s="8" t="s">
        <v>63</v>
      </c>
      <c r="S5" s="8">
        <f>HOUR(R5)</f>
        <v>9</v>
      </c>
      <c r="T5" s="8">
        <f>MINUTE(R5)</f>
        <v>11</v>
      </c>
      <c r="U5" s="8">
        <f>SECOND(R5)</f>
        <v>19</v>
      </c>
      <c r="V5" s="8">
        <v>34222</v>
      </c>
      <c r="W5" s="8">
        <v>40927</v>
      </c>
      <c r="X5" s="9" t="str">
        <f>IF(W5&gt;50000,"Highe Target","Low Target")</f>
        <v>Low Target</v>
      </c>
      <c r="Y5" s="9" t="str">
        <f t="shared" si="0"/>
        <v>Lower Target</v>
      </c>
      <c r="Z5" s="9" t="str" cm="1">
        <f t="array" ref="Z5">_xlfn.IFS(W5&lt;60000,"LOWERTarget",W5&lt;80000,"Medium Target",W5,"Highe Target")</f>
        <v>LOWERTarget</v>
      </c>
      <c r="AA5" s="8" t="s">
        <v>64</v>
      </c>
      <c r="AB5" s="5" t="str">
        <f>UPPER(AA5)</f>
        <v>NEEDS IMPROVEMENT</v>
      </c>
      <c r="AC5" s="5" t="str">
        <f>LOWER(AA5)</f>
        <v>needs improvement</v>
      </c>
      <c r="AD5" s="5" t="str">
        <f>PROPER(AA5)</f>
        <v>Needs Improvement</v>
      </c>
      <c r="AF5" s="6"/>
      <c r="AH5" s="11" t="s">
        <v>65</v>
      </c>
      <c r="AI5" s="11"/>
      <c r="AJ5" s="11"/>
      <c r="AS5" s="10" t="s">
        <v>66</v>
      </c>
      <c r="AT5" s="7"/>
    </row>
    <row r="6" ht="14.25" customHeight="1" spans="1:51">
      <c r="A6" s="8" t="s">
        <v>67</v>
      </c>
      <c r="B6" s="8" t="s">
        <v>68</v>
      </c>
      <c r="C6" s="9">
        <f>LEN(B6)</f>
        <v>12</v>
      </c>
      <c r="D6" s="8" t="s">
        <v>60</v>
      </c>
      <c r="E6" s="8" t="str">
        <f>_xlfn.CONCAT(B6,"(",A6,")"," - ",D6)</f>
        <v>Tanya Mishra(E1261) - HR</v>
      </c>
      <c r="F6" s="9" t="str">
        <f>LEFT(E6,FIND("-",E6))</f>
        <v>Tanya Mishra(E1261) -</v>
      </c>
      <c r="G6" s="9" t="str">
        <f>RIGHT(E6,LEN(E6)-FIND("-",E6)-1)</f>
        <v>HR</v>
      </c>
      <c r="H6" s="9">
        <f>FIND("-",E6)</f>
        <v>21</v>
      </c>
      <c r="I6" s="9">
        <f>LEN(E6)-FIND("-",E6)</f>
        <v>3</v>
      </c>
      <c r="J6" s="8" t="s">
        <v>36</v>
      </c>
      <c r="K6" s="9" t="str">
        <f>SUBSTITUTE(J6,"a","@",1)</f>
        <v>Ahmed@bad</v>
      </c>
      <c r="L6" s="8" t="s">
        <v>69</v>
      </c>
      <c r="M6" s="8" t="str">
        <f>TEXT(L6,"dddd")</f>
        <v>Friday</v>
      </c>
      <c r="N6" s="8" t="str">
        <f>LEFT(M6,3)</f>
        <v>Fri</v>
      </c>
      <c r="O6" s="8" t="str">
        <f>RIGHT(M6,3)</f>
        <v>day</v>
      </c>
      <c r="P6" s="8">
        <f>MONTH(L6)</f>
        <v>3</v>
      </c>
      <c r="Q6" s="8">
        <f>YEAR(L6)</f>
        <v>2022</v>
      </c>
      <c r="R6" s="8" t="s">
        <v>70</v>
      </c>
      <c r="S6" s="8">
        <f>HOUR(R6)</f>
        <v>9</v>
      </c>
      <c r="T6" s="8">
        <f>MINUTE(R6)</f>
        <v>19</v>
      </c>
      <c r="U6" s="8">
        <f>SECOND(R6)</f>
        <v>58</v>
      </c>
      <c r="V6" s="8">
        <v>39885</v>
      </c>
      <c r="W6" s="8">
        <v>41004</v>
      </c>
      <c r="X6" s="9" t="str">
        <f>IF(W6&gt;50000,"Highe Target","Low Target")</f>
        <v>Low Target</v>
      </c>
      <c r="Y6" s="9" t="str">
        <f t="shared" si="0"/>
        <v>Lower Target</v>
      </c>
      <c r="Z6" s="9" t="str" cm="1">
        <f t="array" ref="Z6">_xlfn.IFS(W6&lt;60000,"LOWERTarget",W6&lt;80000,"Medium Target",W6,"Highe Target")</f>
        <v>LOWERTarget</v>
      </c>
      <c r="AA6" s="8" t="s">
        <v>71</v>
      </c>
      <c r="AB6" s="5" t="str">
        <f>UPPER(AA6)</f>
        <v>GREAT SUPPORT</v>
      </c>
      <c r="AC6" s="5" t="str">
        <f>LOWER(AA6)</f>
        <v>great support</v>
      </c>
      <c r="AD6" s="5" t="str">
        <f>PROPER(AA6)</f>
        <v>Great Support</v>
      </c>
      <c r="AF6" s="6"/>
      <c r="AH6" t="s">
        <v>72</v>
      </c>
      <c r="AI6">
        <f>SUM(sales)</f>
        <v>6845568</v>
      </c>
      <c r="AS6" s="10" t="s">
        <v>73</v>
      </c>
      <c r="AT6" s="7"/>
    </row>
    <row r="7" ht="14.25" customHeight="1" spans="1:51">
      <c r="A7" s="8" t="s">
        <v>74</v>
      </c>
      <c r="B7" s="8" t="s">
        <v>75</v>
      </c>
      <c r="C7" s="9">
        <f>LEN(B7)</f>
        <v>9</v>
      </c>
      <c r="D7" s="8" t="s">
        <v>44</v>
      </c>
      <c r="E7" s="8" t="str">
        <f>_xlfn.CONCAT(B7,"(",A7,")"," - ",D7)</f>
        <v>Yash Jain(E1180) - Marketing</v>
      </c>
      <c r="F7" s="9" t="str">
        <f>LEFT(E7,FIND("-",E7))</f>
        <v>Yash Jain(E1180) -</v>
      </c>
      <c r="G7" s="9" t="str">
        <f>RIGHT(E7,LEN(E7)-FIND("-",E7)-1)</f>
        <v>Marketing</v>
      </c>
      <c r="H7" s="9">
        <f>FIND("-",E7)</f>
        <v>18</v>
      </c>
      <c r="I7" s="9">
        <f>LEN(E7)-FIND("-",E7)</f>
        <v>10</v>
      </c>
      <c r="J7" s="8" t="s">
        <v>76</v>
      </c>
      <c r="K7" s="9" t="str">
        <f>SUBSTITUTE(J7,"a","@",1)</f>
        <v>Pune</v>
      </c>
      <c r="L7" s="8" t="s">
        <v>77</v>
      </c>
      <c r="M7" s="8" t="str">
        <f>TEXT(L7,"dddd")</f>
        <v>Monday</v>
      </c>
      <c r="N7" s="8" t="str">
        <f>LEFT(M7,3)</f>
        <v>Mon</v>
      </c>
      <c r="O7" s="8" t="str">
        <f>RIGHT(M7,3)</f>
        <v>day</v>
      </c>
      <c r="P7" s="8">
        <f>MONTH(L7)</f>
        <v>8</v>
      </c>
      <c r="Q7" s="8">
        <f>YEAR(L7)</f>
        <v>2021</v>
      </c>
      <c r="R7" s="8" t="s">
        <v>78</v>
      </c>
      <c r="S7" s="8">
        <f>HOUR(R7)</f>
        <v>9</v>
      </c>
      <c r="T7" s="8">
        <f>MINUTE(R7)</f>
        <v>38</v>
      </c>
      <c r="U7" s="8">
        <f>SECOND(R7)</f>
        <v>34</v>
      </c>
      <c r="V7" s="8">
        <v>59852</v>
      </c>
      <c r="W7" s="8">
        <v>41077</v>
      </c>
      <c r="X7" s="9" t="str">
        <f>IF(W7&gt;50000,"Highe Target","Low Target")</f>
        <v>Low Target</v>
      </c>
      <c r="Y7" s="9" t="str">
        <f t="shared" si="0"/>
        <v>Lower Target</v>
      </c>
      <c r="Z7" s="9" t="str" cm="1">
        <f t="array" ref="Z7">_xlfn.IFS(W7&lt;60000,"LOWERTarget",W7&lt;80000,"Medium Target",W7,"Highe Target")</f>
        <v>LOWERTarget</v>
      </c>
      <c r="AA7" s="8" t="s">
        <v>79</v>
      </c>
      <c r="AB7" s="5" t="str">
        <f>UPPER(AA7)</f>
        <v>EXCELLENT LEADERSHIP</v>
      </c>
      <c r="AC7" s="5" t="str">
        <f>LOWER(AA7)</f>
        <v>excellent leadership</v>
      </c>
      <c r="AD7" s="5" t="str">
        <f>PROPER(AA7)</f>
        <v>Excellent Leadership</v>
      </c>
      <c r="AF7" s="6"/>
      <c r="AH7" t="s">
        <v>80</v>
      </c>
      <c r="AI7">
        <f>AVERAGE(sales)</f>
        <v>54764.544</v>
      </c>
      <c r="AN7" t="s">
        <v>81</v>
      </c>
      <c r="AS7" s="10" t="s">
        <v>82</v>
      </c>
      <c r="AT7" s="7"/>
    </row>
    <row r="8" ht="14.25" customHeight="1" spans="1:51">
      <c r="A8" s="8" t="s">
        <v>83</v>
      </c>
      <c r="B8" s="8" t="s">
        <v>84</v>
      </c>
      <c r="C8" s="9">
        <f>LEN(B8)</f>
        <v>10</v>
      </c>
      <c r="D8" s="8" t="s">
        <v>60</v>
      </c>
      <c r="E8" s="8" t="str">
        <f>_xlfn.CONCAT(B8,"(",A8,")"," - ",D8)</f>
        <v>Isha Kumar(E1131) - HR</v>
      </c>
      <c r="F8" s="9" t="str">
        <f>LEFT(E8,FIND("-",E8))</f>
        <v>Isha Kumar(E1131) -</v>
      </c>
      <c r="G8" s="9" t="str">
        <f>RIGHT(E8,LEN(E8)-FIND("-",E8)-1)</f>
        <v>HR</v>
      </c>
      <c r="H8" s="9">
        <f>FIND("-",E8)</f>
        <v>19</v>
      </c>
      <c r="I8" s="9">
        <f>LEN(E8)-FIND("-",E8)</f>
        <v>3</v>
      </c>
      <c r="J8" s="8" t="s">
        <v>61</v>
      </c>
      <c r="K8" s="9" t="str">
        <f>SUBSTITUTE(J8,"a","@",1)</f>
        <v>Chenn@i</v>
      </c>
      <c r="L8" s="8" t="s">
        <v>85</v>
      </c>
      <c r="M8" s="8" t="str">
        <f>TEXT(L8,"dddd")</f>
        <v>Friday</v>
      </c>
      <c r="N8" s="8" t="str">
        <f>LEFT(M8,3)</f>
        <v>Fri</v>
      </c>
      <c r="O8" s="8" t="str">
        <f>RIGHT(M8,3)</f>
        <v>day</v>
      </c>
      <c r="P8" s="8">
        <f>MONTH(L8)</f>
        <v>12</v>
      </c>
      <c r="Q8" s="8">
        <f>YEAR(L8)</f>
        <v>2021</v>
      </c>
      <c r="R8" s="8" t="s">
        <v>86</v>
      </c>
      <c r="S8" s="8">
        <f>HOUR(R8)</f>
        <v>8</v>
      </c>
      <c r="T8" s="8">
        <f>MINUTE(R8)</f>
        <v>42</v>
      </c>
      <c r="U8" s="8">
        <f>SECOND(R8)</f>
        <v>55</v>
      </c>
      <c r="V8" s="8">
        <v>35326</v>
      </c>
      <c r="W8" s="8">
        <v>41689</v>
      </c>
      <c r="X8" s="9" t="str">
        <f>IF(W8&gt;50000,"Highe Target","Low Target")</f>
        <v>Low Target</v>
      </c>
      <c r="Y8" s="9" t="str">
        <f t="shared" si="0"/>
        <v>Lower Target</v>
      </c>
      <c r="Z8" s="9" t="str" cm="1">
        <f t="array" ref="Z8">_xlfn.IFS(W8&lt;60000,"LOWERTarget",W8&lt;80000,"Medium Target",W8,"Highe Target")</f>
        <v>LOWERTarget</v>
      </c>
      <c r="AA8" s="8" t="s">
        <v>87</v>
      </c>
      <c r="AB8" s="5" t="str">
        <f>UPPER(AA8)</f>
        <v>EXCELLENT SERVICE</v>
      </c>
      <c r="AC8" s="5" t="str">
        <f>LOWER(AA8)</f>
        <v>excellent service</v>
      </c>
      <c r="AD8" s="5" t="str">
        <f>PROPER(AA8)</f>
        <v>Excellent Service</v>
      </c>
      <c r="AF8" s="6"/>
      <c r="AH8" t="s">
        <v>88</v>
      </c>
      <c r="AI8">
        <f>COUNT(A1:AA301)</f>
        <v>3000</v>
      </c>
      <c r="AN8" t="s">
        <v>89</v>
      </c>
      <c r="AS8" s="10" t="s">
        <v>90</v>
      </c>
      <c r="AT8" s="7"/>
    </row>
    <row r="9" ht="14.25" customHeight="1" spans="1:51">
      <c r="A9" s="8" t="s">
        <v>91</v>
      </c>
      <c r="B9" s="8" t="s">
        <v>92</v>
      </c>
      <c r="C9" s="9">
        <f>LEN(B9)</f>
        <v>11</v>
      </c>
      <c r="D9" s="8" t="s">
        <v>93</v>
      </c>
      <c r="E9" s="8" t="str">
        <f>_xlfn.CONCAT(B9,"(",A9,")"," - ",D9)</f>
        <v>Nisha Patel(E1002) - Sales</v>
      </c>
      <c r="F9" s="9" t="str">
        <f>LEFT(E9,FIND("-",E9))</f>
        <v>Nisha Patel(E1002) -</v>
      </c>
      <c r="G9" s="9" t="str">
        <f>RIGHT(E9,LEN(E9)-FIND("-",E9)-1)</f>
        <v>Sales</v>
      </c>
      <c r="H9" s="9">
        <f>FIND("-",E9)</f>
        <v>20</v>
      </c>
      <c r="I9" s="9">
        <f>LEN(E9)-FIND("-",E9)</f>
        <v>6</v>
      </c>
      <c r="J9" s="8" t="s">
        <v>76</v>
      </c>
      <c r="K9" s="9" t="str">
        <f>SUBSTITUTE(J9,"a","@",1)</f>
        <v>Pune</v>
      </c>
      <c r="L9" s="8" t="s">
        <v>94</v>
      </c>
      <c r="M9" s="8" t="str">
        <f>TEXT(L9,"dddd")</f>
        <v>Thursday</v>
      </c>
      <c r="N9" s="8" t="str">
        <f>LEFT(M9,3)</f>
        <v>Thu</v>
      </c>
      <c r="O9" s="8" t="str">
        <f>RIGHT(M9,3)</f>
        <v>day</v>
      </c>
      <c r="P9" s="8">
        <f>MONTH(L9)</f>
        <v>3</v>
      </c>
      <c r="Q9" s="8">
        <f>YEAR(L9)</f>
        <v>2022</v>
      </c>
      <c r="R9" s="8" t="s">
        <v>95</v>
      </c>
      <c r="S9" s="8">
        <f>HOUR(R9)</f>
        <v>8</v>
      </c>
      <c r="T9" s="8">
        <f>MINUTE(R9)</f>
        <v>32</v>
      </c>
      <c r="U9" s="8">
        <f>SECOND(R9)</f>
        <v>38</v>
      </c>
      <c r="V9" s="8">
        <v>39770</v>
      </c>
      <c r="W9" s="8">
        <v>41739</v>
      </c>
      <c r="X9" s="9" t="str">
        <f>IF(W9&gt;50000,"Highe Target","Low Target")</f>
        <v>Low Target</v>
      </c>
      <c r="Y9" s="9" t="str">
        <f t="shared" si="0"/>
        <v>Lower Target</v>
      </c>
      <c r="Z9" s="9" t="str" cm="1">
        <f t="array" ref="Z9">_xlfn.IFS(W9&lt;60000,"LOWERTarget",W9&lt;80000,"Medium Target",W9,"Highe Target")</f>
        <v>LOWERTarget</v>
      </c>
      <c r="AA9" s="8" t="s">
        <v>96</v>
      </c>
      <c r="AB9" s="5" t="str">
        <f>UPPER(AA9)</f>
        <v>FAST DELIVERY</v>
      </c>
      <c r="AC9" s="5" t="str">
        <f>LOWER(AA9)</f>
        <v>fast delivery</v>
      </c>
      <c r="AD9" s="5" t="str">
        <f>PROPER(AA9)</f>
        <v>Fast Delivery</v>
      </c>
      <c r="AF9" s="6"/>
      <c r="AH9" t="s">
        <v>97</v>
      </c>
      <c r="AI9">
        <f>COUNTA(A5:AA301)</f>
        <v>8019</v>
      </c>
      <c r="AN9" t="s">
        <v>98</v>
      </c>
      <c r="AS9" s="10" t="s">
        <v>99</v>
      </c>
      <c r="AT9" s="7"/>
    </row>
    <row r="10" ht="14.25" customHeight="1" spans="1:51">
      <c r="A10" s="8" t="s">
        <v>100</v>
      </c>
      <c r="B10" s="8" t="s">
        <v>101</v>
      </c>
      <c r="C10" s="9">
        <f>LEN(B10)</f>
        <v>13</v>
      </c>
      <c r="D10" s="8" t="s">
        <v>60</v>
      </c>
      <c r="E10" s="8" t="str">
        <f>_xlfn.CONCAT(B10,"(",A10,")"," - ",D10)</f>
        <v>Aditya Chopra(E1061) - HR</v>
      </c>
      <c r="F10" s="9" t="str">
        <f>LEFT(E10,FIND("-",E10))</f>
        <v>Aditya Chopra(E1061) -</v>
      </c>
      <c r="G10" s="9" t="str">
        <f>RIGHT(E10,LEN(E10)-FIND("-",E10)-1)</f>
        <v>HR</v>
      </c>
      <c r="H10" s="9">
        <f>FIND("-",E10)</f>
        <v>22</v>
      </c>
      <c r="I10" s="9">
        <f>LEN(E10)-FIND("-",E10)</f>
        <v>3</v>
      </c>
      <c r="J10" s="8" t="s">
        <v>36</v>
      </c>
      <c r="K10" s="9" t="str">
        <f>SUBSTITUTE(J10,"a","@",1)</f>
        <v>Ahmed@bad</v>
      </c>
      <c r="L10" s="8" t="s">
        <v>102</v>
      </c>
      <c r="M10" s="8" t="str">
        <f>TEXT(L10,"dddd")</f>
        <v>Saturday</v>
      </c>
      <c r="N10" s="8" t="str">
        <f>LEFT(M10,3)</f>
        <v>Sat</v>
      </c>
      <c r="O10" s="8" t="str">
        <f>RIGHT(M10,3)</f>
        <v>day</v>
      </c>
      <c r="P10" s="8">
        <f>MONTH(L10)</f>
        <v>3</v>
      </c>
      <c r="Q10" s="8">
        <f>YEAR(L10)</f>
        <v>2022</v>
      </c>
      <c r="R10" s="8" t="s">
        <v>103</v>
      </c>
      <c r="S10" s="8">
        <f>HOUR(R10)</f>
        <v>9</v>
      </c>
      <c r="T10" s="8">
        <f>MINUTE(R10)</f>
        <v>27</v>
      </c>
      <c r="U10" s="8">
        <f>SECOND(R10)</f>
        <v>31</v>
      </c>
      <c r="V10" s="8">
        <v>52386</v>
      </c>
      <c r="W10" s="8">
        <v>41902</v>
      </c>
      <c r="X10" s="9" t="str">
        <f>IF(W10&gt;50000,"Highe Target","Low Target")</f>
        <v>Low Target</v>
      </c>
      <c r="Y10" s="9" t="str">
        <f t="shared" si="0"/>
        <v>Lower Target</v>
      </c>
      <c r="Z10" s="9" t="str" cm="1">
        <f t="array" ref="Z10">_xlfn.IFS(W10&lt;60000,"LOWERTarget",W10&lt;80000,"Medium Target",W10,"Highe Target")</f>
        <v>LOWERTarget</v>
      </c>
      <c r="AA10" s="8" t="s">
        <v>48</v>
      </c>
      <c r="AB10" s="5" t="str">
        <f>UPPER(AA10)</f>
        <v>CREATIVE IDEAS</v>
      </c>
      <c r="AC10" s="5" t="str">
        <f>LOWER(AA10)</f>
        <v>creative ideas</v>
      </c>
      <c r="AD10" s="5" t="str">
        <f>PROPER(AA10)</f>
        <v>Creative Ideas</v>
      </c>
      <c r="AF10" s="6"/>
      <c r="AH10" t="s">
        <v>104</v>
      </c>
      <c r="AN10" t="s">
        <v>105</v>
      </c>
      <c r="AS10" s="10" t="s">
        <v>106</v>
      </c>
      <c r="AT10" s="7"/>
    </row>
    <row r="11" ht="14.25" customHeight="1" spans="1:51">
      <c r="A11" s="8" t="s">
        <v>107</v>
      </c>
      <c r="B11" s="8" t="s">
        <v>108</v>
      </c>
      <c r="C11" s="9">
        <f>LEN(B11)</f>
        <v>12</v>
      </c>
      <c r="D11" s="8" t="s">
        <v>93</v>
      </c>
      <c r="E11" s="8" t="str">
        <f>_xlfn.CONCAT(B11,"(",A11,")"," - ",D11)</f>
        <v>Tanya Chopra(E1252) - Sales</v>
      </c>
      <c r="F11" s="9" t="str">
        <f>LEFT(E11,FIND("-",E11))</f>
        <v>Tanya Chopra(E1252) -</v>
      </c>
      <c r="G11" s="9" t="str">
        <f>RIGHT(E11,LEN(E11)-FIND("-",E11)-1)</f>
        <v>Sales</v>
      </c>
      <c r="H11" s="9">
        <f>FIND("-",E11)</f>
        <v>21</v>
      </c>
      <c r="I11" s="9">
        <f>LEN(E11)-FIND("-",E11)</f>
        <v>6</v>
      </c>
      <c r="J11" s="8" t="s">
        <v>45</v>
      </c>
      <c r="K11" s="9" t="str">
        <f>SUBSTITUTE(J11,"a","@",1)</f>
        <v>B@ngalore</v>
      </c>
      <c r="L11" s="8" t="s">
        <v>109</v>
      </c>
      <c r="M11" s="8" t="str">
        <f>TEXT(L11,"dddd")</f>
        <v>Sunday</v>
      </c>
      <c r="N11" s="8" t="str">
        <f>LEFT(M11,3)</f>
        <v>Sun</v>
      </c>
      <c r="O11" s="8" t="str">
        <f>RIGHT(M11,3)</f>
        <v>day</v>
      </c>
      <c r="P11" s="8">
        <f>MONTH(L11)</f>
        <v>2</v>
      </c>
      <c r="Q11" s="8">
        <f>YEAR(L11)</f>
        <v>2022</v>
      </c>
      <c r="R11" s="8" t="s">
        <v>110</v>
      </c>
      <c r="S11" s="8">
        <f>HOUR(R11)</f>
        <v>8</v>
      </c>
      <c r="T11" s="8">
        <f>MINUTE(R11)</f>
        <v>6</v>
      </c>
      <c r="U11" s="8">
        <f>SECOND(R11)</f>
        <v>38</v>
      </c>
      <c r="V11" s="8">
        <v>56457</v>
      </c>
      <c r="W11" s="8">
        <v>42200</v>
      </c>
      <c r="X11" s="9" t="str">
        <f>IF(W11&gt;50000,"Highe Target","Low Target")</f>
        <v>Low Target</v>
      </c>
      <c r="Y11" s="9" t="str">
        <f t="shared" si="0"/>
        <v>Lower Target</v>
      </c>
      <c r="Z11" s="9" t="str" cm="1">
        <f t="array" ref="Z11">_xlfn.IFS(W11&lt;60000,"LOWERTarget",W11&lt;80000,"Medium Target",W11,"Highe Target")</f>
        <v>LOWERTarget</v>
      </c>
      <c r="AA11" s="8" t="s">
        <v>79</v>
      </c>
      <c r="AB11" s="5" t="str">
        <f>UPPER(AA11)</f>
        <v>EXCELLENT LEADERSHIP</v>
      </c>
      <c r="AC11" s="5" t="str">
        <f>LOWER(AA11)</f>
        <v>excellent leadership</v>
      </c>
      <c r="AD11" s="5" t="str">
        <f>PROPER(AA11)</f>
        <v>Excellent Leadership</v>
      </c>
      <c r="AF11" s="6"/>
      <c r="AH11" t="s">
        <v>111</v>
      </c>
      <c r="AI11">
        <f>MAX(V1:V301)</f>
        <v>117973</v>
      </c>
      <c r="AN11" t="s">
        <v>112</v>
      </c>
      <c r="AS11" s="10" t="s">
        <v>113</v>
      </c>
      <c r="AT11" s="7"/>
    </row>
    <row r="12" ht="14.25" customHeight="1" spans="1:51">
      <c r="A12" s="8" t="s">
        <v>114</v>
      </c>
      <c r="B12" s="8" t="s">
        <v>115</v>
      </c>
      <c r="C12" s="9">
        <f>LEN(B12)</f>
        <v>11</v>
      </c>
      <c r="D12" s="8" t="s">
        <v>93</v>
      </c>
      <c r="E12" s="8" t="str">
        <f>_xlfn.CONCAT(B12,"(",A12,")"," - ",D12)</f>
        <v>Manish Nair(E1233) - Sales</v>
      </c>
      <c r="F12" s="9" t="str">
        <f>LEFT(E12,FIND("-",E12))</f>
        <v>Manish Nair(E1233) -</v>
      </c>
      <c r="G12" s="9" t="str">
        <f>RIGHT(E12,LEN(E12)-FIND("-",E12)-1)</f>
        <v>Sales</v>
      </c>
      <c r="H12" s="9">
        <f>FIND("-",E12)</f>
        <v>20</v>
      </c>
      <c r="I12" s="9">
        <f>LEN(E12)-FIND("-",E12)</f>
        <v>6</v>
      </c>
      <c r="J12" s="8" t="s">
        <v>53</v>
      </c>
      <c r="K12" s="9" t="str">
        <f>SUBSTITUTE(J12,"a","@",1)</f>
        <v>Delhi</v>
      </c>
      <c r="L12" s="8" t="s">
        <v>116</v>
      </c>
      <c r="M12" s="8" t="str">
        <f>TEXT(L12,"dddd")</f>
        <v>Saturday</v>
      </c>
      <c r="N12" s="8" t="str">
        <f>LEFT(M12,3)</f>
        <v>Sat</v>
      </c>
      <c r="O12" s="8" t="str">
        <f>RIGHT(M12,3)</f>
        <v>day</v>
      </c>
      <c r="P12" s="8">
        <f>MONTH(L12)</f>
        <v>5</v>
      </c>
      <c r="Q12" s="8">
        <f>YEAR(L12)</f>
        <v>2023</v>
      </c>
      <c r="R12" s="8" t="s">
        <v>117</v>
      </c>
      <c r="S12" s="8">
        <f>HOUR(R12)</f>
        <v>8</v>
      </c>
      <c r="T12" s="8">
        <f>MINUTE(R12)</f>
        <v>59</v>
      </c>
      <c r="U12" s="8">
        <f>SECOND(R12)</f>
        <v>58</v>
      </c>
      <c r="V12" s="8">
        <v>53398</v>
      </c>
      <c r="W12" s="8">
        <v>42381</v>
      </c>
      <c r="X12" s="9" t="str">
        <f>IF(W12&gt;50000,"Highe Target","Low Target")</f>
        <v>Low Target</v>
      </c>
      <c r="Y12" s="9" t="str">
        <f t="shared" si="0"/>
        <v>Lower Target</v>
      </c>
      <c r="Z12" s="9" t="str" cm="1">
        <f t="array" ref="Z12">_xlfn.IFS(W12&lt;60000,"LOWERTarget",W12&lt;80000,"Medium Target",W12,"Highe Target")</f>
        <v>LOWERTarget</v>
      </c>
      <c r="AA12" s="8" t="s">
        <v>118</v>
      </c>
      <c r="AB12" s="5" t="str">
        <f>UPPER(AA12)</f>
        <v>CUSTOMER FOCUSED</v>
      </c>
      <c r="AC12" s="5" t="str">
        <f>LOWER(AA12)</f>
        <v>customer focused</v>
      </c>
      <c r="AD12" s="5" t="str">
        <f>PROPER(AA12)</f>
        <v>Customer Focused</v>
      </c>
      <c r="AF12" s="6"/>
      <c r="AH12" t="s">
        <v>119</v>
      </c>
      <c r="AN12" t="s">
        <v>120</v>
      </c>
      <c r="AS12" s="10" t="s">
        <v>121</v>
      </c>
      <c r="AT12" s="7"/>
    </row>
    <row r="13" ht="14.25" customHeight="1" spans="1:51">
      <c r="A13" s="8" t="s">
        <v>122</v>
      </c>
      <c r="B13" s="8" t="s">
        <v>123</v>
      </c>
      <c r="C13" s="9">
        <f>LEN(B13)</f>
        <v>12</v>
      </c>
      <c r="D13" s="8" t="s">
        <v>93</v>
      </c>
      <c r="E13" s="8" t="str">
        <f>_xlfn.CONCAT(B13,"(",A13,")"," - ",D13)</f>
        <v>Ritika Mehta(E1260) - Sales</v>
      </c>
      <c r="F13" s="9" t="str">
        <f>LEFT(E13,FIND("-",E13))</f>
        <v>Ritika Mehta(E1260) -</v>
      </c>
      <c r="G13" s="9" t="str">
        <f>RIGHT(E13,LEN(E13)-FIND("-",E13)-1)</f>
        <v>Sales</v>
      </c>
      <c r="H13" s="9">
        <f>FIND("-",E13)</f>
        <v>21</v>
      </c>
      <c r="I13" s="9">
        <f>LEN(E13)-FIND("-",E13)</f>
        <v>6</v>
      </c>
      <c r="J13" s="8" t="s">
        <v>61</v>
      </c>
      <c r="K13" s="9" t="str">
        <f>SUBSTITUTE(J13,"a","@",1)</f>
        <v>Chenn@i</v>
      </c>
      <c r="L13" s="8" t="s">
        <v>124</v>
      </c>
      <c r="M13" s="8" t="str">
        <f>TEXT(L13,"dddd")</f>
        <v>Sunday</v>
      </c>
      <c r="N13" s="8" t="str">
        <f>LEFT(M13,3)</f>
        <v>Sun</v>
      </c>
      <c r="O13" s="8" t="str">
        <f>RIGHT(M13,3)</f>
        <v>day</v>
      </c>
      <c r="P13" s="8">
        <f>MONTH(L13)</f>
        <v>2</v>
      </c>
      <c r="Q13" s="8">
        <f>YEAR(L13)</f>
        <v>2023</v>
      </c>
      <c r="R13" s="8" t="s">
        <v>125</v>
      </c>
      <c r="S13" s="8">
        <f>HOUR(R13)</f>
        <v>10</v>
      </c>
      <c r="T13" s="8">
        <f>MINUTE(R13)</f>
        <v>38</v>
      </c>
      <c r="U13" s="8">
        <f>SECOND(R13)</f>
        <v>38</v>
      </c>
      <c r="V13" s="8">
        <v>32360</v>
      </c>
      <c r="W13" s="8">
        <v>42591</v>
      </c>
      <c r="X13" s="9" t="str">
        <f>IF(W13&gt;50000,"Highe Target","Low Target")</f>
        <v>Low Target</v>
      </c>
      <c r="Y13" s="9" t="str">
        <f t="shared" si="0"/>
        <v>Lower Target</v>
      </c>
      <c r="Z13" s="9" t="str" cm="1">
        <f t="array" ref="Z13">_xlfn.IFS(W13&lt;60000,"LOWERTarget",W13&lt;80000,"Medium Target",W13,"Highe Target")</f>
        <v>LOWERTarget</v>
      </c>
      <c r="AA13" s="8" t="s">
        <v>126</v>
      </c>
      <c r="AB13" s="5" t="str">
        <f>UPPER(AA13)</f>
        <v>ACCURATE REPORTS</v>
      </c>
      <c r="AC13" s="5" t="str">
        <f>LOWER(AA13)</f>
        <v>accurate reports</v>
      </c>
      <c r="AD13" s="5" t="str">
        <f>PROPER(AA13)</f>
        <v>Accurate Reports</v>
      </c>
      <c r="AF13" s="6"/>
      <c r="AH13" t="s">
        <v>127</v>
      </c>
      <c r="AN13" t="s">
        <v>128</v>
      </c>
    </row>
    <row r="14" ht="14.25" customHeight="1" spans="1:51">
      <c r="A14" s="8" t="s">
        <v>129</v>
      </c>
      <c r="B14" s="8" t="s">
        <v>130</v>
      </c>
      <c r="C14" s="9">
        <f>LEN(B14)</f>
        <v>10</v>
      </c>
      <c r="D14" s="8" t="s">
        <v>44</v>
      </c>
      <c r="E14" s="8" t="str">
        <f>_xlfn.CONCAT(B14,"(",A14,")"," - ",D14)</f>
        <v>Rahul Nair(E1031) - Marketing</v>
      </c>
      <c r="F14" s="9" t="str">
        <f>LEFT(E14,FIND("-",E14))</f>
        <v>Rahul Nair(E1031) -</v>
      </c>
      <c r="G14" s="9" t="str">
        <f>RIGHT(E14,LEN(E14)-FIND("-",E14)-1)</f>
        <v>Marketing</v>
      </c>
      <c r="H14" s="9">
        <f>FIND("-",E14)</f>
        <v>19</v>
      </c>
      <c r="I14" s="9">
        <f>LEN(E14)-FIND("-",E14)</f>
        <v>10</v>
      </c>
      <c r="J14" s="8" t="s">
        <v>76</v>
      </c>
      <c r="K14" s="9" t="str">
        <f>SUBSTITUTE(J14,"a","@",1)</f>
        <v>Pune</v>
      </c>
      <c r="L14" s="8" t="s">
        <v>131</v>
      </c>
      <c r="M14" s="8" t="str">
        <f>TEXT(L14,"dddd")</f>
        <v>Tuesday</v>
      </c>
      <c r="N14" s="8" t="str">
        <f>LEFT(M14,3)</f>
        <v>Tue</v>
      </c>
      <c r="O14" s="8" t="str">
        <f>RIGHT(M14,3)</f>
        <v>day</v>
      </c>
      <c r="P14" s="8">
        <f>MONTH(L14)</f>
        <v>3</v>
      </c>
      <c r="Q14" s="8">
        <f>YEAR(L14)</f>
        <v>2024</v>
      </c>
      <c r="R14" s="8" t="s">
        <v>132</v>
      </c>
      <c r="S14" s="8">
        <f>HOUR(R14)</f>
        <v>8</v>
      </c>
      <c r="T14" s="8">
        <f>MINUTE(R14)</f>
        <v>37</v>
      </c>
      <c r="U14" s="8">
        <f>SECOND(R14)</f>
        <v>38</v>
      </c>
      <c r="V14" s="8">
        <v>32976</v>
      </c>
      <c r="W14" s="8">
        <v>42604</v>
      </c>
      <c r="X14" s="9" t="str">
        <f>IF(W14&gt;50000,"Highe Target","Low Target")</f>
        <v>Low Target</v>
      </c>
      <c r="Y14" s="9" t="str">
        <f t="shared" si="0"/>
        <v>Lower Target</v>
      </c>
      <c r="Z14" s="9" t="str" cm="1">
        <f t="array" ref="Z14">_xlfn.IFS(W14&lt;60000,"LOWERTarget",W14&lt;80000,"Medium Target",W14,"Highe Target")</f>
        <v>LOWERTarget</v>
      </c>
      <c r="AA14" s="8" t="s">
        <v>39</v>
      </c>
      <c r="AB14" s="5" t="str">
        <f>UPPER(AA14)</f>
        <v>DETAILED ANALYSIS</v>
      </c>
      <c r="AC14" s="5" t="str">
        <f>LOWER(AA14)</f>
        <v>detailed analysis</v>
      </c>
      <c r="AD14" s="5" t="str">
        <f>PROPER(AA14)</f>
        <v>Detailed Analysis</v>
      </c>
      <c r="AF14" s="6"/>
      <c r="AH14" t="s">
        <v>119</v>
      </c>
      <c r="AN14" t="s">
        <v>133</v>
      </c>
    </row>
    <row r="15" ht="14.25" customHeight="1" spans="1:51">
      <c r="A15" s="8" t="s">
        <v>134</v>
      </c>
      <c r="B15" s="8" t="s">
        <v>135</v>
      </c>
      <c r="C15" s="9">
        <f>LEN(B15)</f>
        <v>12</v>
      </c>
      <c r="D15" s="8" t="s">
        <v>60</v>
      </c>
      <c r="E15" s="8" t="str">
        <f>_xlfn.CONCAT(B15,"(",A15,")"," - ",D15)</f>
        <v>Aakash Patel(E1276) - HR</v>
      </c>
      <c r="F15" s="9" t="str">
        <f>LEFT(E15,FIND("-",E15))</f>
        <v>Aakash Patel(E1276) -</v>
      </c>
      <c r="G15" s="9" t="str">
        <f>RIGHT(E15,LEN(E15)-FIND("-",E15)-1)</f>
        <v>HR</v>
      </c>
      <c r="H15" s="9">
        <f>FIND("-",E15)</f>
        <v>21</v>
      </c>
      <c r="I15" s="9">
        <f>LEN(E15)-FIND("-",E15)</f>
        <v>3</v>
      </c>
      <c r="J15" s="8" t="s">
        <v>45</v>
      </c>
      <c r="K15" s="9" t="str">
        <f>SUBSTITUTE(J15,"a","@",1)</f>
        <v>B@ngalore</v>
      </c>
      <c r="L15" s="8" t="s">
        <v>136</v>
      </c>
      <c r="M15" s="8" t="str">
        <f>TEXT(L15,"dddd")</f>
        <v>Monday</v>
      </c>
      <c r="N15" s="8" t="str">
        <f>LEFT(M15,3)</f>
        <v>Mon</v>
      </c>
      <c r="O15" s="8" t="str">
        <f>RIGHT(M15,3)</f>
        <v>day</v>
      </c>
      <c r="P15" s="8">
        <f>MONTH(L15)</f>
        <v>11</v>
      </c>
      <c r="Q15" s="8">
        <f>YEAR(L15)</f>
        <v>2024</v>
      </c>
      <c r="R15" s="8" t="s">
        <v>137</v>
      </c>
      <c r="S15" s="8">
        <f>HOUR(R15)</f>
        <v>10</v>
      </c>
      <c r="T15" s="8">
        <f>MINUTE(R15)</f>
        <v>30</v>
      </c>
      <c r="U15" s="8">
        <f>SECOND(R15)</f>
        <v>17</v>
      </c>
      <c r="V15" s="8">
        <v>32923</v>
      </c>
      <c r="W15" s="8">
        <v>43051</v>
      </c>
      <c r="X15" s="9" t="str">
        <f>IF(W15&gt;50000,"Highe Target","Low Target")</f>
        <v>Low Target</v>
      </c>
      <c r="Y15" s="9" t="str">
        <f t="shared" si="0"/>
        <v>Lower Target</v>
      </c>
      <c r="Z15" s="9" t="str" cm="1">
        <f t="array" ref="Z15">_xlfn.IFS(W15&lt;60000,"LOWERTarget",W15&lt;80000,"Medium Target",W15,"Highe Target")</f>
        <v>LOWERTarget</v>
      </c>
      <c r="AA15" s="8" t="s">
        <v>138</v>
      </c>
      <c r="AB15" s="5" t="str">
        <f>UPPER(AA15)</f>
        <v>GOOD TEAMWORK</v>
      </c>
      <c r="AC15" s="5" t="str">
        <f>LOWER(AA15)</f>
        <v>good teamwork</v>
      </c>
      <c r="AD15" s="5" t="str">
        <f>PROPER(AA15)</f>
        <v>Good Teamwork</v>
      </c>
      <c r="AF15" s="6"/>
      <c r="AH15" s="12" t="s">
        <v>139</v>
      </c>
      <c r="AI15" s="12"/>
      <c r="AJ15" s="12"/>
      <c r="AN15" t="s">
        <v>140</v>
      </c>
    </row>
    <row r="16" ht="14.25" customHeight="1" spans="1:51">
      <c r="A16" s="8" t="s">
        <v>141</v>
      </c>
      <c r="B16" s="8" t="s">
        <v>142</v>
      </c>
      <c r="C16" s="9">
        <f>LEN(B16)</f>
        <v>10</v>
      </c>
      <c r="D16" s="8" t="s">
        <v>44</v>
      </c>
      <c r="E16" s="8" t="str">
        <f>_xlfn.CONCAT(B16,"(",A16,")"," - ",D16)</f>
        <v>Komal Jain(E1179) - Marketing</v>
      </c>
      <c r="F16" s="9" t="str">
        <f>LEFT(E16,FIND("-",E16))</f>
        <v>Komal Jain(E1179) -</v>
      </c>
      <c r="G16" s="9" t="str">
        <f>RIGHT(E16,LEN(E16)-FIND("-",E16)-1)</f>
        <v>Marketing</v>
      </c>
      <c r="H16" s="9">
        <f>FIND("-",E16)</f>
        <v>19</v>
      </c>
      <c r="I16" s="9">
        <f>LEN(E16)-FIND("-",E16)</f>
        <v>10</v>
      </c>
      <c r="J16" s="8" t="s">
        <v>76</v>
      </c>
      <c r="K16" s="9" t="str">
        <f>SUBSTITUTE(J16,"a","@",1)</f>
        <v>Pune</v>
      </c>
      <c r="L16" s="8" t="s">
        <v>143</v>
      </c>
      <c r="M16" s="8" t="str">
        <f>TEXT(L16,"dddd")</f>
        <v>Sunday</v>
      </c>
      <c r="N16" s="8" t="str">
        <f>LEFT(M16,3)</f>
        <v>Sun</v>
      </c>
      <c r="O16" s="8" t="str">
        <f>RIGHT(M16,3)</f>
        <v>day</v>
      </c>
      <c r="P16" s="8">
        <f>MONTH(L16)</f>
        <v>8</v>
      </c>
      <c r="Q16" s="8">
        <f>YEAR(L16)</f>
        <v>2022</v>
      </c>
      <c r="R16" s="8" t="s">
        <v>144</v>
      </c>
      <c r="S16" s="8">
        <f>HOUR(R16)</f>
        <v>8</v>
      </c>
      <c r="T16" s="8">
        <f>MINUTE(R16)</f>
        <v>19</v>
      </c>
      <c r="U16" s="8">
        <f>SECOND(R16)</f>
        <v>7</v>
      </c>
      <c r="V16" s="8">
        <v>43755</v>
      </c>
      <c r="W16" s="8">
        <v>43129</v>
      </c>
      <c r="X16" s="9" t="str">
        <f>IF(W16&gt;50000,"Highe Target","Low Target")</f>
        <v>Low Target</v>
      </c>
      <c r="Y16" s="9" t="str">
        <f t="shared" si="0"/>
        <v>Lower Target</v>
      </c>
      <c r="Z16" s="9" t="str" cm="1">
        <f t="array" ref="Z16">_xlfn.IFS(W16&lt;60000,"LOWERTarget",W16&lt;80000,"Medium Target",W16,"Highe Target")</f>
        <v>LOWERTarget</v>
      </c>
      <c r="AA16" s="8" t="s">
        <v>39</v>
      </c>
      <c r="AB16" s="5" t="str">
        <f>UPPER(AA16)</f>
        <v>DETAILED ANALYSIS</v>
      </c>
      <c r="AC16" s="5" t="str">
        <f>LOWER(AA16)</f>
        <v>detailed analysis</v>
      </c>
      <c r="AD16" s="5" t="str">
        <f>PROPER(AA16)</f>
        <v>Detailed Analysis</v>
      </c>
      <c r="AF16" s="6"/>
      <c r="AH16" t="s">
        <v>145</v>
      </c>
      <c r="AI16" s="13">
        <f ca="1">NOW()</f>
        <v>46244.5479513889</v>
      </c>
    </row>
    <row r="17" ht="14.25" customHeight="1" spans="1:35">
      <c r="A17" s="8" t="s">
        <v>146</v>
      </c>
      <c r="B17" s="8" t="s">
        <v>147</v>
      </c>
      <c r="C17" s="9">
        <f>LEN(B17)</f>
        <v>10</v>
      </c>
      <c r="D17" s="8" t="s">
        <v>44</v>
      </c>
      <c r="E17" s="8" t="str">
        <f>_xlfn.CONCAT(B17,"(",A17,")"," - ",D17)</f>
        <v>Amit Verma(E1213) - Marketing</v>
      </c>
      <c r="F17" s="9" t="str">
        <f>LEFT(E17,FIND("-",E17))</f>
        <v>Amit Verma(E1213) -</v>
      </c>
      <c r="G17" s="9" t="str">
        <f>RIGHT(E17,LEN(E17)-FIND("-",E17)-1)</f>
        <v>Marketing</v>
      </c>
      <c r="H17" s="9">
        <f>FIND("-",E17)</f>
        <v>19</v>
      </c>
      <c r="I17" s="9">
        <f>LEN(E17)-FIND("-",E17)</f>
        <v>10</v>
      </c>
      <c r="J17" s="8" t="s">
        <v>36</v>
      </c>
      <c r="K17" s="9" t="str">
        <f>SUBSTITUTE(J17,"a","@",1)</f>
        <v>Ahmed@bad</v>
      </c>
      <c r="L17" s="8" t="s">
        <v>148</v>
      </c>
      <c r="M17" s="8" t="str">
        <f>TEXT(L17,"dddd")</f>
        <v>Monday</v>
      </c>
      <c r="N17" s="8" t="str">
        <f>LEFT(M17,3)</f>
        <v>Mon</v>
      </c>
      <c r="O17" s="8" t="str">
        <f>RIGHT(M17,3)</f>
        <v>day</v>
      </c>
      <c r="P17" s="8">
        <f>MONTH(L17)</f>
        <v>5</v>
      </c>
      <c r="Q17" s="8">
        <f>YEAR(L17)</f>
        <v>2022</v>
      </c>
      <c r="R17" s="8" t="s">
        <v>149</v>
      </c>
      <c r="S17" s="8">
        <f>HOUR(R17)</f>
        <v>8</v>
      </c>
      <c r="T17" s="8">
        <f>MINUTE(R17)</f>
        <v>37</v>
      </c>
      <c r="U17" s="8">
        <f>SECOND(R17)</f>
        <v>22</v>
      </c>
      <c r="V17" s="8">
        <v>31500</v>
      </c>
      <c r="W17" s="8">
        <v>43188</v>
      </c>
      <c r="X17" s="9" t="str">
        <f>IF(W17&gt;50000,"Highe Target","Low Target")</f>
        <v>Low Target</v>
      </c>
      <c r="Y17" s="9" t="str">
        <f t="shared" si="0"/>
        <v>Lower Target</v>
      </c>
      <c r="Z17" s="9" t="str" cm="1">
        <f t="array" ref="Z17">_xlfn.IFS(W17&lt;60000,"LOWERTarget",W17&lt;80000,"Medium Target",W17,"Highe Target")</f>
        <v>LOWERTarget</v>
      </c>
      <c r="AA17" s="8" t="s">
        <v>64</v>
      </c>
      <c r="AB17" s="5" t="str">
        <f>UPPER(AA17)</f>
        <v>NEEDS IMPROVEMENT</v>
      </c>
      <c r="AC17" s="5" t="str">
        <f>LOWER(AA17)</f>
        <v>needs improvement</v>
      </c>
      <c r="AD17" s="5" t="str">
        <f>PROPER(AA17)</f>
        <v>Needs Improvement</v>
      </c>
      <c r="AF17" s="6"/>
      <c r="AH17" t="s">
        <v>150</v>
      </c>
      <c r="AI17" s="14">
        <f ca="1">TODAY()</f>
        <v>46244</v>
      </c>
    </row>
    <row r="18" ht="14.25" customHeight="1" spans="1:35">
      <c r="A18" s="8" t="s">
        <v>151</v>
      </c>
      <c r="B18" s="8" t="s">
        <v>152</v>
      </c>
      <c r="C18" s="9">
        <f>LEN(B18)</f>
        <v>10</v>
      </c>
      <c r="D18" s="8" t="s">
        <v>93</v>
      </c>
      <c r="E18" s="8" t="str">
        <f>_xlfn.CONCAT(B18,"(",A18,")"," - ",D18)</f>
        <v>Komal Iyer(E1146) - Sales</v>
      </c>
      <c r="F18" s="9" t="str">
        <f>LEFT(E18,FIND("-",E18))</f>
        <v>Komal Iyer(E1146) -</v>
      </c>
      <c r="G18" s="9" t="str">
        <f>RIGHT(E18,LEN(E18)-FIND("-",E18)-1)</f>
        <v>Sales</v>
      </c>
      <c r="H18" s="9">
        <f>FIND("-",E18)</f>
        <v>19</v>
      </c>
      <c r="I18" s="9">
        <f>LEN(E18)-FIND("-",E18)</f>
        <v>6</v>
      </c>
      <c r="J18" s="8" t="s">
        <v>153</v>
      </c>
      <c r="K18" s="9" t="str">
        <f>SUBSTITUTE(J18,"a","@",1)</f>
        <v>Mumb@i</v>
      </c>
      <c r="L18" s="8" t="s">
        <v>154</v>
      </c>
      <c r="M18" s="8" t="str">
        <f>TEXT(L18,"dddd")</f>
        <v>Monday</v>
      </c>
      <c r="N18" s="8" t="str">
        <f>LEFT(M18,3)</f>
        <v>Mon</v>
      </c>
      <c r="O18" s="8" t="str">
        <f>RIGHT(M18,3)</f>
        <v>day</v>
      </c>
      <c r="P18" s="8">
        <f>MONTH(L18)</f>
        <v>11</v>
      </c>
      <c r="Q18" s="8">
        <f>YEAR(L18)</f>
        <v>2021</v>
      </c>
      <c r="R18" s="8" t="s">
        <v>155</v>
      </c>
      <c r="S18" s="8">
        <f>HOUR(R18)</f>
        <v>8</v>
      </c>
      <c r="T18" s="8">
        <f>MINUTE(R18)</f>
        <v>48</v>
      </c>
      <c r="U18" s="8">
        <f>SECOND(R18)</f>
        <v>39</v>
      </c>
      <c r="V18" s="8">
        <v>33607</v>
      </c>
      <c r="W18" s="8">
        <v>43261</v>
      </c>
      <c r="X18" s="9" t="str">
        <f>IF(W18&gt;50000,"Highe Target","Low Target")</f>
        <v>Low Target</v>
      </c>
      <c r="Y18" s="9" t="str">
        <f t="shared" si="0"/>
        <v>Lower Target</v>
      </c>
      <c r="Z18" s="9" t="str" cm="1">
        <f t="array" ref="Z18">_xlfn.IFS(W18&lt;60000,"LOWERTarget",W18&lt;80000,"Medium Target",W18,"Highe Target")</f>
        <v>LOWERTarget</v>
      </c>
      <c r="AA18" s="8" t="s">
        <v>64</v>
      </c>
      <c r="AB18" s="5" t="str">
        <f>UPPER(AA18)</f>
        <v>NEEDS IMPROVEMENT</v>
      </c>
      <c r="AC18" s="5" t="str">
        <f>LOWER(AA18)</f>
        <v>needs improvement</v>
      </c>
      <c r="AD18" s="5" t="str">
        <f>PROPER(AA18)</f>
        <v>Needs Improvement</v>
      </c>
      <c r="AF18" s="6"/>
    </row>
    <row r="19" ht="14.25" customHeight="1" spans="1:35">
      <c r="A19" s="8" t="s">
        <v>156</v>
      </c>
      <c r="B19" s="8" t="s">
        <v>157</v>
      </c>
      <c r="C19" s="9">
        <f>LEN(B19)</f>
        <v>11</v>
      </c>
      <c r="D19" s="8" t="s">
        <v>60</v>
      </c>
      <c r="E19" s="8" t="str">
        <f>_xlfn.CONCAT(B19,"(",A19,")"," - ",D19)</f>
        <v>Amit Mishra(E1021) - HR</v>
      </c>
      <c r="F19" s="9" t="str">
        <f>LEFT(E19,FIND("-",E19))</f>
        <v>Amit Mishra(E1021) -</v>
      </c>
      <c r="G19" s="9" t="str">
        <f>RIGHT(E19,LEN(E19)-FIND("-",E19)-1)</f>
        <v>HR</v>
      </c>
      <c r="H19" s="9">
        <f>FIND("-",E19)</f>
        <v>20</v>
      </c>
      <c r="I19" s="9">
        <f>LEN(E19)-FIND("-",E19)</f>
        <v>3</v>
      </c>
      <c r="J19" s="8" t="s">
        <v>45</v>
      </c>
      <c r="K19" s="9" t="str">
        <f>SUBSTITUTE(J19,"a","@",1)</f>
        <v>B@ngalore</v>
      </c>
      <c r="L19" s="8" t="s">
        <v>158</v>
      </c>
      <c r="M19" s="8" t="str">
        <f>TEXT(L19,"dddd")</f>
        <v>Friday</v>
      </c>
      <c r="N19" s="8" t="str">
        <f>LEFT(M19,3)</f>
        <v>Fri</v>
      </c>
      <c r="O19" s="8" t="str">
        <f>RIGHT(M19,3)</f>
        <v>day</v>
      </c>
      <c r="P19" s="8">
        <f>MONTH(L19)</f>
        <v>1</v>
      </c>
      <c r="Q19" s="8">
        <f>YEAR(L19)</f>
        <v>2021</v>
      </c>
      <c r="R19" s="8" t="s">
        <v>159</v>
      </c>
      <c r="S19" s="8">
        <f>HOUR(R19)</f>
        <v>8</v>
      </c>
      <c r="T19" s="8">
        <f>MINUTE(R19)</f>
        <v>45</v>
      </c>
      <c r="U19" s="8">
        <f>SECOND(R19)</f>
        <v>40</v>
      </c>
      <c r="V19" s="8">
        <v>43861</v>
      </c>
      <c r="W19" s="8">
        <v>43858</v>
      </c>
      <c r="X19" s="9" t="str">
        <f>IF(W19&gt;50000,"Highe Target","Low Target")</f>
        <v>Low Target</v>
      </c>
      <c r="Y19" s="9" t="str">
        <f t="shared" si="0"/>
        <v>Lower Target</v>
      </c>
      <c r="Z19" s="9" t="str" cm="1">
        <f t="array" ref="Z19">_xlfn.IFS(W19&lt;60000,"LOWERTarget",W19&lt;80000,"Medium Target",W19,"Highe Target")</f>
        <v>LOWERTarget</v>
      </c>
      <c r="AA19" s="8" t="s">
        <v>160</v>
      </c>
      <c r="AB19" s="5" t="str">
        <f>UPPER(AA19)</f>
        <v>GOOD COMMUNICATION</v>
      </c>
      <c r="AC19" s="5" t="str">
        <f>LOWER(AA19)</f>
        <v>good communication</v>
      </c>
      <c r="AD19" s="5" t="str">
        <f>PROPER(AA19)</f>
        <v>Good Communication</v>
      </c>
      <c r="AF19" s="6"/>
    </row>
    <row r="20" ht="14.25" customHeight="1" spans="1:35">
      <c r="A20" s="8" t="s">
        <v>161</v>
      </c>
      <c r="B20" s="8" t="s">
        <v>162</v>
      </c>
      <c r="C20" s="9">
        <f>LEN(B20)</f>
        <v>12</v>
      </c>
      <c r="D20" s="8" t="s">
        <v>44</v>
      </c>
      <c r="E20" s="8" t="str">
        <f>_xlfn.CONCAT(B20,"(",A20,")"," - ",D20)</f>
        <v>Yash Agarwal(E1232) - Marketing</v>
      </c>
      <c r="F20" s="9" t="str">
        <f>LEFT(E20,FIND("-",E20))</f>
        <v>Yash Agarwal(E1232) -</v>
      </c>
      <c r="G20" s="9" t="str">
        <f>RIGHT(E20,LEN(E20)-FIND("-",E20)-1)</f>
        <v>Marketing</v>
      </c>
      <c r="H20" s="9">
        <f>FIND("-",E20)</f>
        <v>21</v>
      </c>
      <c r="I20" s="9">
        <f>LEN(E20)-FIND("-",E20)</f>
        <v>10</v>
      </c>
      <c r="J20" s="8" t="s">
        <v>45</v>
      </c>
      <c r="K20" s="9" t="str">
        <f>SUBSTITUTE(J20,"a","@",1)</f>
        <v>B@ngalore</v>
      </c>
      <c r="L20" s="8" t="s">
        <v>163</v>
      </c>
      <c r="M20" s="8" t="str">
        <f>TEXT(L20,"dddd")</f>
        <v>Friday</v>
      </c>
      <c r="N20" s="8" t="str">
        <f>LEFT(M20,3)</f>
        <v>Fri</v>
      </c>
      <c r="O20" s="8" t="str">
        <f>RIGHT(M20,3)</f>
        <v>day</v>
      </c>
      <c r="P20" s="8">
        <f>MONTH(L20)</f>
        <v>8</v>
      </c>
      <c r="Q20" s="8">
        <f>YEAR(L20)</f>
        <v>2022</v>
      </c>
      <c r="R20" s="8" t="s">
        <v>164</v>
      </c>
      <c r="S20" s="8">
        <f>HOUR(R20)</f>
        <v>9</v>
      </c>
      <c r="T20" s="8">
        <f>MINUTE(R20)</f>
        <v>18</v>
      </c>
      <c r="U20" s="8">
        <f>SECOND(R20)</f>
        <v>41</v>
      </c>
      <c r="V20" s="8">
        <v>34739</v>
      </c>
      <c r="W20" s="8">
        <v>43877</v>
      </c>
      <c r="X20" s="9" t="str">
        <f>IF(W20&gt;50000,"Highe Target","Low Target")</f>
        <v>Low Target</v>
      </c>
      <c r="Y20" s="9" t="str">
        <f t="shared" si="0"/>
        <v>Lower Target</v>
      </c>
      <c r="Z20" s="9" t="str" cm="1">
        <f t="array" ref="Z20">_xlfn.IFS(W20&lt;60000,"LOWERTarget",W20&lt;80000,"Medium Target",W20,"Highe Target")</f>
        <v>LOWERTarget</v>
      </c>
      <c r="AA20" s="8" t="s">
        <v>165</v>
      </c>
      <c r="AB20" s="5" t="str">
        <f>UPPER(AA20)</f>
        <v>   GOOD TEAMWORK   </v>
      </c>
      <c r="AC20" s="5" t="str">
        <f>LOWER(AA20)</f>
        <v>   good teamwork   </v>
      </c>
      <c r="AD20" s="5" t="str">
        <f>PROPER(AA20)</f>
        <v>   Good Teamwork   </v>
      </c>
      <c r="AF20" s="6"/>
    </row>
    <row r="21" ht="14.25" customHeight="1" spans="1:35">
      <c r="A21" s="8" t="s">
        <v>166</v>
      </c>
      <c r="B21" s="8" t="s">
        <v>167</v>
      </c>
      <c r="C21" s="9">
        <f>LEN(B21)</f>
        <v>12</v>
      </c>
      <c r="D21" s="8" t="s">
        <v>44</v>
      </c>
      <c r="E21" s="8" t="str">
        <f>_xlfn.CONCAT(B21,"(",A21,")"," - ",D21)</f>
        <v>Nisha Chopra(E1024) - Marketing</v>
      </c>
      <c r="F21" s="9" t="str">
        <f>LEFT(E21,FIND("-",E21))</f>
        <v>Nisha Chopra(E1024) -</v>
      </c>
      <c r="G21" s="9" t="str">
        <f>RIGHT(E21,LEN(E21)-FIND("-",E21)-1)</f>
        <v>Marketing</v>
      </c>
      <c r="H21" s="9">
        <f>FIND("-",E21)</f>
        <v>21</v>
      </c>
      <c r="I21" s="9">
        <f>LEN(E21)-FIND("-",E21)</f>
        <v>10</v>
      </c>
      <c r="J21" s="8" t="s">
        <v>153</v>
      </c>
      <c r="K21" s="9" t="str">
        <f>SUBSTITUTE(J21,"a","@",1)</f>
        <v>Mumb@i</v>
      </c>
      <c r="L21" s="8" t="s">
        <v>168</v>
      </c>
      <c r="M21" s="8" t="str">
        <f>TEXT(L21,"dddd")</f>
        <v>Friday</v>
      </c>
      <c r="N21" s="8" t="str">
        <f>LEFT(M21,3)</f>
        <v>Fri</v>
      </c>
      <c r="O21" s="8" t="str">
        <f>RIGHT(M21,3)</f>
        <v>day</v>
      </c>
      <c r="P21" s="8">
        <f>MONTH(L21)</f>
        <v>10</v>
      </c>
      <c r="Q21" s="8">
        <f>YEAR(L21)</f>
        <v>2024</v>
      </c>
      <c r="R21" s="8" t="s">
        <v>169</v>
      </c>
      <c r="S21" s="8">
        <f>HOUR(R21)</f>
        <v>10</v>
      </c>
      <c r="T21" s="8">
        <f>MINUTE(R21)</f>
        <v>41</v>
      </c>
      <c r="U21" s="8">
        <f>SECOND(R21)</f>
        <v>6</v>
      </c>
      <c r="V21" s="8">
        <v>55358</v>
      </c>
      <c r="W21" s="8">
        <v>43972</v>
      </c>
      <c r="X21" s="9" t="str">
        <f>IF(W21&gt;50000,"Highe Target","Low Target")</f>
        <v>Low Target</v>
      </c>
      <c r="Y21" s="9" t="str">
        <f t="shared" si="0"/>
        <v>Lower Target</v>
      </c>
      <c r="Z21" s="9" t="str" cm="1">
        <f t="array" ref="Z21">_xlfn.IFS(W21&lt;60000,"LOWERTarget",W21&lt;80000,"Medium Target",W21,"Highe Target")</f>
        <v>LOWERTarget</v>
      </c>
      <c r="AA21" s="8" t="s">
        <v>96</v>
      </c>
      <c r="AB21" s="5" t="str">
        <f>UPPER(AA21)</f>
        <v>FAST DELIVERY</v>
      </c>
      <c r="AC21" s="5" t="str">
        <f>LOWER(AA21)</f>
        <v>fast delivery</v>
      </c>
      <c r="AD21" s="5" t="str">
        <f>PROPER(AA21)</f>
        <v>Fast Delivery</v>
      </c>
      <c r="AF21" s="6"/>
    </row>
    <row r="22" ht="14.25" customHeight="1" spans="1:35">
      <c r="A22" s="8" t="s">
        <v>170</v>
      </c>
      <c r="B22" s="8" t="s">
        <v>171</v>
      </c>
      <c r="C22" s="9">
        <f>LEN(B22)</f>
        <v>14</v>
      </c>
      <c r="D22" s="8" t="s">
        <v>60</v>
      </c>
      <c r="E22" s="8" t="str">
        <f>_xlfn.CONCAT(B22,"(",A22,")"," - ",D22)</f>
        <v>Madhuri Mishra(E1161) - HR</v>
      </c>
      <c r="F22" s="9" t="str">
        <f>LEFT(E22,FIND("-",E22))</f>
        <v>Madhuri Mishra(E1161) -</v>
      </c>
      <c r="G22" s="9" t="str">
        <f>RIGHT(E22,LEN(E22)-FIND("-",E22)-1)</f>
        <v>HR</v>
      </c>
      <c r="H22" s="9">
        <f>FIND("-",E22)</f>
        <v>23</v>
      </c>
      <c r="I22" s="9">
        <f>LEN(E22)-FIND("-",E22)</f>
        <v>3</v>
      </c>
      <c r="J22" s="8" t="s">
        <v>172</v>
      </c>
      <c r="K22" s="9" t="str">
        <f>SUBSTITUTE(J22,"a","@",1)</f>
        <v>Hyder@bad</v>
      </c>
      <c r="L22" s="8" t="s">
        <v>173</v>
      </c>
      <c r="M22" s="8" t="str">
        <f>TEXT(L22,"dddd")</f>
        <v>Friday</v>
      </c>
      <c r="N22" s="8" t="str">
        <f>LEFT(M22,3)</f>
        <v>Fri</v>
      </c>
      <c r="O22" s="8" t="str">
        <f>RIGHT(M22,3)</f>
        <v>day</v>
      </c>
      <c r="P22" s="8">
        <f>MONTH(L22)</f>
        <v>5</v>
      </c>
      <c r="Q22" s="8">
        <f>YEAR(L22)</f>
        <v>2024</v>
      </c>
      <c r="R22" s="8" t="s">
        <v>174</v>
      </c>
      <c r="S22" s="8">
        <f>HOUR(R22)</f>
        <v>9</v>
      </c>
      <c r="T22" s="8">
        <f>MINUTE(R22)</f>
        <v>32</v>
      </c>
      <c r="U22" s="8">
        <f>SECOND(R22)</f>
        <v>9</v>
      </c>
      <c r="V22" s="8">
        <v>58579</v>
      </c>
      <c r="W22" s="8">
        <v>44054</v>
      </c>
      <c r="X22" s="9" t="str">
        <f>IF(W22&gt;50000,"Highe Target","Low Target")</f>
        <v>Low Target</v>
      </c>
      <c r="Y22" s="9" t="str">
        <f t="shared" si="0"/>
        <v>Lower Target</v>
      </c>
      <c r="Z22" s="9" t="str" cm="1">
        <f t="array" ref="Z22">_xlfn.IFS(W22&lt;60000,"LOWERTarget",W22&lt;80000,"Medium Target",W22,"Highe Target")</f>
        <v>LOWERTarget</v>
      </c>
      <c r="AA22" s="8" t="s">
        <v>160</v>
      </c>
      <c r="AB22" s="5" t="str">
        <f>UPPER(AA22)</f>
        <v>GOOD COMMUNICATION</v>
      </c>
      <c r="AC22" s="5" t="str">
        <f>LOWER(AA22)</f>
        <v>good communication</v>
      </c>
      <c r="AD22" s="5" t="str">
        <f>PROPER(AA22)</f>
        <v>Good Communication</v>
      </c>
      <c r="AF22" s="6"/>
    </row>
    <row r="23" ht="14.25" customHeight="1" spans="1:35">
      <c r="A23" s="8" t="s">
        <v>175</v>
      </c>
      <c r="B23" s="8" t="s">
        <v>176</v>
      </c>
      <c r="C23" s="9">
        <f>LEN(B23)</f>
        <v>13</v>
      </c>
      <c r="D23" s="8" t="s">
        <v>93</v>
      </c>
      <c r="E23" s="8" t="str">
        <f>_xlfn.CONCAT(B23,"(",A23,")"," - ",D23)</f>
        <v>Manish Mishra(E1239) - Sales</v>
      </c>
      <c r="F23" s="9" t="str">
        <f>LEFT(E23,FIND("-",E23))</f>
        <v>Manish Mishra(E1239) -</v>
      </c>
      <c r="G23" s="9" t="str">
        <f>RIGHT(E23,LEN(E23)-FIND("-",E23)-1)</f>
        <v>Sales</v>
      </c>
      <c r="H23" s="9">
        <f>FIND("-",E23)</f>
        <v>22</v>
      </c>
      <c r="I23" s="9">
        <f>LEN(E23)-FIND("-",E23)</f>
        <v>6</v>
      </c>
      <c r="J23" s="8" t="s">
        <v>61</v>
      </c>
      <c r="K23" s="9" t="str">
        <f>SUBSTITUTE(J23,"a","@",1)</f>
        <v>Chenn@i</v>
      </c>
      <c r="L23" s="8" t="s">
        <v>177</v>
      </c>
      <c r="M23" s="8" t="str">
        <f>TEXT(L23,"dddd")</f>
        <v>Saturday</v>
      </c>
      <c r="N23" s="8" t="str">
        <f>LEFT(M23,3)</f>
        <v>Sat</v>
      </c>
      <c r="O23" s="8" t="str">
        <f>RIGHT(M23,3)</f>
        <v>day</v>
      </c>
      <c r="P23" s="8">
        <f>MONTH(L23)</f>
        <v>8</v>
      </c>
      <c r="Q23" s="8">
        <f>YEAR(L23)</f>
        <v>2024</v>
      </c>
      <c r="R23" s="8" t="s">
        <v>178</v>
      </c>
      <c r="S23" s="8">
        <f>HOUR(R23)</f>
        <v>9</v>
      </c>
      <c r="T23" s="8">
        <f>MINUTE(R23)</f>
        <v>44</v>
      </c>
      <c r="U23" s="8">
        <f>SECOND(R23)</f>
        <v>15</v>
      </c>
      <c r="V23" s="8">
        <v>36818</v>
      </c>
      <c r="W23" s="8">
        <v>44071</v>
      </c>
      <c r="X23" s="9" t="str">
        <f>IF(W23&gt;50000,"Highe Target","Low Target")</f>
        <v>Low Target</v>
      </c>
      <c r="Y23" s="9" t="str">
        <f t="shared" si="0"/>
        <v>Lower Target</v>
      </c>
      <c r="Z23" s="9" t="str" cm="1">
        <f t="array" ref="Z23">_xlfn.IFS(W23&lt;60000,"LOWERTarget",W23&lt;80000,"Medium Target",W23,"Highe Target")</f>
        <v>LOWERTarget</v>
      </c>
      <c r="AA23" s="8" t="s">
        <v>179</v>
      </c>
      <c r="AB23" s="5" t="str">
        <f>UPPER(AA23)</f>
        <v>HELPFUL ATTITUDE</v>
      </c>
      <c r="AC23" s="5" t="str">
        <f>LOWER(AA23)</f>
        <v>helpful attitude</v>
      </c>
      <c r="AD23" s="5" t="str">
        <f>PROPER(AA23)</f>
        <v>Helpful Attitude</v>
      </c>
      <c r="AF23" s="6"/>
    </row>
    <row r="24" ht="14.25" customHeight="1" spans="1:35">
      <c r="A24" s="8" t="s">
        <v>180</v>
      </c>
      <c r="B24" s="8" t="s">
        <v>181</v>
      </c>
      <c r="C24" s="9">
        <f>LEN(B24)</f>
        <v>11</v>
      </c>
      <c r="D24" s="8" t="s">
        <v>44</v>
      </c>
      <c r="E24" s="8" t="str">
        <f>_xlfn.CONCAT(B24,"(",A24,")"," - ",D24)</f>
        <v>Karan Verma(E1059) - Marketing</v>
      </c>
      <c r="F24" s="9" t="str">
        <f>LEFT(E24,FIND("-",E24))</f>
        <v>Karan Verma(E1059) -</v>
      </c>
      <c r="G24" s="9" t="str">
        <f>RIGHT(E24,LEN(E24)-FIND("-",E24)-1)</f>
        <v>Marketing</v>
      </c>
      <c r="H24" s="9">
        <f>FIND("-",E24)</f>
        <v>20</v>
      </c>
      <c r="I24" s="9">
        <f>LEN(E24)-FIND("-",E24)</f>
        <v>10</v>
      </c>
      <c r="J24" s="8" t="s">
        <v>182</v>
      </c>
      <c r="K24" s="9" t="str">
        <f>SUBSTITUTE(J24,"a","@",1)</f>
        <v>Kolk@ta</v>
      </c>
      <c r="L24" s="8" t="s">
        <v>183</v>
      </c>
      <c r="M24" s="8" t="str">
        <f>TEXT(L24,"dddd")</f>
        <v>Wednesday</v>
      </c>
      <c r="N24" s="8" t="str">
        <f>LEFT(M24,3)</f>
        <v>Wed</v>
      </c>
      <c r="O24" s="8" t="str">
        <f>RIGHT(M24,3)</f>
        <v>day</v>
      </c>
      <c r="P24" s="8">
        <f>MONTH(L24)</f>
        <v>11</v>
      </c>
      <c r="Q24" s="8">
        <f>YEAR(L24)</f>
        <v>2022</v>
      </c>
      <c r="R24" s="8" t="s">
        <v>184</v>
      </c>
      <c r="S24" s="8">
        <f>HOUR(R24)</f>
        <v>10</v>
      </c>
      <c r="T24" s="8">
        <f>MINUTE(R24)</f>
        <v>29</v>
      </c>
      <c r="U24" s="8">
        <f>SECOND(R24)</f>
        <v>26</v>
      </c>
      <c r="V24" s="8">
        <v>42635</v>
      </c>
      <c r="W24" s="8">
        <v>44080</v>
      </c>
      <c r="X24" s="9" t="str">
        <f>IF(W24&gt;50000,"Highe Target","Low Target")</f>
        <v>Low Target</v>
      </c>
      <c r="Y24" s="9" t="str">
        <f t="shared" si="0"/>
        <v>Lower Target</v>
      </c>
      <c r="Z24" s="9" t="str" cm="1">
        <f t="array" ref="Z24">_xlfn.IFS(W24&lt;60000,"LOWERTarget",W24&lt;80000,"Medium Target",W24,"Highe Target")</f>
        <v>LOWERTarget</v>
      </c>
      <c r="AA24" s="8" t="s">
        <v>185</v>
      </c>
      <c r="AB24" s="5" t="str">
        <f>UPPER(AA24)</f>
        <v>   POSITIVE ATTITUDE   </v>
      </c>
      <c r="AC24" s="5" t="str">
        <f>LOWER(AA24)</f>
        <v>   positive attitude   </v>
      </c>
      <c r="AD24" s="5" t="str">
        <f>PROPER(AA24)</f>
        <v>   Positive Attitude   </v>
      </c>
      <c r="AF24" s="6"/>
    </row>
    <row r="25" ht="14.25" customHeight="1" spans="1:35">
      <c r="A25" s="8" t="s">
        <v>186</v>
      </c>
      <c r="B25" s="8" t="s">
        <v>187</v>
      </c>
      <c r="C25" s="9">
        <f>LEN(B25)</f>
        <v>11</v>
      </c>
      <c r="D25" s="8" t="s">
        <v>93</v>
      </c>
      <c r="E25" s="8" t="str">
        <f>_xlfn.CONCAT(B25,"(",A25,")"," - ",D25)</f>
        <v>Rohan Reddy(E1144) - Sales</v>
      </c>
      <c r="F25" s="9" t="str">
        <f>LEFT(E25,FIND("-",E25))</f>
        <v>Rohan Reddy(E1144) -</v>
      </c>
      <c r="G25" s="9" t="str">
        <f>RIGHT(E25,LEN(E25)-FIND("-",E25)-1)</f>
        <v>Sales</v>
      </c>
      <c r="H25" s="9">
        <f>FIND("-",E25)</f>
        <v>20</v>
      </c>
      <c r="I25" s="9">
        <f>LEN(E25)-FIND("-",E25)</f>
        <v>6</v>
      </c>
      <c r="J25" s="8" t="s">
        <v>53</v>
      </c>
      <c r="K25" s="9" t="str">
        <f>SUBSTITUTE(J25,"a","@",1)</f>
        <v>Delhi</v>
      </c>
      <c r="L25" s="8" t="s">
        <v>188</v>
      </c>
      <c r="M25" s="8" t="str">
        <f>TEXT(L25,"dddd")</f>
        <v>Thursday</v>
      </c>
      <c r="N25" s="8" t="str">
        <f>LEFT(M25,3)</f>
        <v>Thu</v>
      </c>
      <c r="O25" s="8" t="str">
        <f>RIGHT(M25,3)</f>
        <v>day</v>
      </c>
      <c r="P25" s="8">
        <f>MONTH(L25)</f>
        <v>10</v>
      </c>
      <c r="Q25" s="8">
        <f>YEAR(L25)</f>
        <v>2021</v>
      </c>
      <c r="R25" s="8" t="s">
        <v>189</v>
      </c>
      <c r="S25" s="8">
        <f>HOUR(R25)</f>
        <v>10</v>
      </c>
      <c r="T25" s="8">
        <f>MINUTE(R25)</f>
        <v>42</v>
      </c>
      <c r="U25" s="8">
        <f>SECOND(R25)</f>
        <v>25</v>
      </c>
      <c r="V25" s="8">
        <v>38857</v>
      </c>
      <c r="W25" s="8">
        <v>44560</v>
      </c>
      <c r="X25" s="9" t="str">
        <f>IF(W25&gt;50000,"Highe Target","Low Target")</f>
        <v>Low Target</v>
      </c>
      <c r="Y25" s="9" t="str">
        <f t="shared" si="0"/>
        <v>Lower Target</v>
      </c>
      <c r="Z25" s="9" t="str" cm="1">
        <f t="array" ref="Z25">_xlfn.IFS(W25&lt;60000,"LOWERTarget",W25&lt;80000,"Medium Target",W25,"Highe Target")</f>
        <v>LOWERTarget</v>
      </c>
      <c r="AA25" s="8" t="s">
        <v>96</v>
      </c>
      <c r="AB25" s="5" t="str">
        <f>UPPER(AA25)</f>
        <v>FAST DELIVERY</v>
      </c>
      <c r="AC25" s="5" t="str">
        <f>LOWER(AA25)</f>
        <v>fast delivery</v>
      </c>
      <c r="AD25" s="5" t="str">
        <f>PROPER(AA25)</f>
        <v>Fast Delivery</v>
      </c>
      <c r="AF25" s="6"/>
    </row>
    <row r="26" ht="14.25" customHeight="1" spans="1:35">
      <c r="A26" s="8" t="s">
        <v>190</v>
      </c>
      <c r="B26" s="8" t="s">
        <v>191</v>
      </c>
      <c r="C26" s="9">
        <f>LEN(B26)</f>
        <v>14</v>
      </c>
      <c r="D26" s="8" t="s">
        <v>60</v>
      </c>
      <c r="E26" s="8" t="str">
        <f>_xlfn.CONCAT(B26,"(",A26,")"," - ",D26)</f>
        <v>Ritika Agarwal(E1268) - HR</v>
      </c>
      <c r="F26" s="9" t="str">
        <f>LEFT(E26,FIND("-",E26))</f>
        <v>Ritika Agarwal(E1268) -</v>
      </c>
      <c r="G26" s="9" t="str">
        <f>RIGHT(E26,LEN(E26)-FIND("-",E26)-1)</f>
        <v>HR</v>
      </c>
      <c r="H26" s="9">
        <f>FIND("-",E26)</f>
        <v>23</v>
      </c>
      <c r="I26" s="9">
        <f>LEN(E26)-FIND("-",E26)</f>
        <v>3</v>
      </c>
      <c r="J26" s="8" t="s">
        <v>153</v>
      </c>
      <c r="K26" s="9" t="str">
        <f>SUBSTITUTE(J26,"a","@",1)</f>
        <v>Mumb@i</v>
      </c>
      <c r="L26" s="8" t="s">
        <v>192</v>
      </c>
      <c r="M26" s="8" t="str">
        <f>TEXT(L26,"dddd")</f>
        <v>Sunday</v>
      </c>
      <c r="N26" s="8" t="str">
        <f>LEFT(M26,3)</f>
        <v>Sun</v>
      </c>
      <c r="O26" s="8" t="str">
        <f>RIGHT(M26,3)</f>
        <v>day</v>
      </c>
      <c r="P26" s="8">
        <f>MONTH(L26)</f>
        <v>12</v>
      </c>
      <c r="Q26" s="8">
        <f>YEAR(L26)</f>
        <v>2023</v>
      </c>
      <c r="R26" s="8" t="s">
        <v>193</v>
      </c>
      <c r="S26" s="8">
        <f>HOUR(R26)</f>
        <v>8</v>
      </c>
      <c r="T26" s="8">
        <f>MINUTE(R26)</f>
        <v>53</v>
      </c>
      <c r="U26" s="8">
        <f>SECOND(R26)</f>
        <v>54</v>
      </c>
      <c r="V26" s="8">
        <v>33050</v>
      </c>
      <c r="W26" s="8">
        <v>44871</v>
      </c>
      <c r="X26" s="9" t="str">
        <f>IF(W26&gt;50000,"Highe Target","Low Target")</f>
        <v>Low Target</v>
      </c>
      <c r="Y26" s="9" t="str">
        <f t="shared" si="0"/>
        <v>Lower Target</v>
      </c>
      <c r="Z26" s="9" t="str" cm="1">
        <f t="array" ref="Z26">_xlfn.IFS(W26&lt;60000,"LOWERTarget",W26&lt;80000,"Medium Target",W26,"Highe Target")</f>
        <v>LOWERTarget</v>
      </c>
      <c r="AA26" s="8" t="s">
        <v>118</v>
      </c>
      <c r="AB26" s="5" t="str">
        <f>UPPER(AA26)</f>
        <v>CUSTOMER FOCUSED</v>
      </c>
      <c r="AC26" s="5" t="str">
        <f>LOWER(AA26)</f>
        <v>customer focused</v>
      </c>
      <c r="AD26" s="5" t="str">
        <f>PROPER(AA26)</f>
        <v>Customer Focused</v>
      </c>
      <c r="AF26" s="6"/>
    </row>
    <row r="27" ht="14.25" customHeight="1" spans="1:35">
      <c r="A27" s="8" t="s">
        <v>194</v>
      </c>
      <c r="B27" s="8" t="s">
        <v>195</v>
      </c>
      <c r="C27" s="9">
        <f>LEN(B27)</f>
        <v>12</v>
      </c>
      <c r="D27" s="8" t="s">
        <v>35</v>
      </c>
      <c r="E27" s="8" t="str">
        <f>_xlfn.CONCAT(B27,"(",A27,")"," - ",D27)</f>
        <v>Rahul Bansal(E1154) - Finance</v>
      </c>
      <c r="F27" s="9" t="str">
        <f>LEFT(E27,FIND("-",E27))</f>
        <v>Rahul Bansal(E1154) -</v>
      </c>
      <c r="G27" s="9" t="str">
        <f>RIGHT(E27,LEN(E27)-FIND("-",E27)-1)</f>
        <v>Finance</v>
      </c>
      <c r="H27" s="9">
        <f>FIND("-",E27)</f>
        <v>21</v>
      </c>
      <c r="I27" s="9">
        <f>LEN(E27)-FIND("-",E27)</f>
        <v>8</v>
      </c>
      <c r="J27" s="8" t="s">
        <v>172</v>
      </c>
      <c r="K27" s="9" t="str">
        <f>SUBSTITUTE(J27,"a","@",1)</f>
        <v>Hyder@bad</v>
      </c>
      <c r="L27" s="8" t="s">
        <v>196</v>
      </c>
      <c r="M27" s="8" t="str">
        <f>TEXT(L27,"dddd")</f>
        <v>Wednesday</v>
      </c>
      <c r="N27" s="8" t="str">
        <f>LEFT(M27,3)</f>
        <v>Wed</v>
      </c>
      <c r="O27" s="8" t="str">
        <f>RIGHT(M27,3)</f>
        <v>day</v>
      </c>
      <c r="P27" s="8">
        <f>MONTH(L27)</f>
        <v>3</v>
      </c>
      <c r="Q27" s="8">
        <f>YEAR(L27)</f>
        <v>2022</v>
      </c>
      <c r="R27" s="8" t="s">
        <v>197</v>
      </c>
      <c r="S27" s="8">
        <f>HOUR(R27)</f>
        <v>9</v>
      </c>
      <c r="T27" s="8">
        <f>MINUTE(R27)</f>
        <v>49</v>
      </c>
      <c r="U27" s="8">
        <f>SECOND(R27)</f>
        <v>10</v>
      </c>
      <c r="V27" s="8">
        <v>63460</v>
      </c>
      <c r="W27" s="8">
        <v>45005</v>
      </c>
      <c r="X27" s="9" t="str">
        <f>IF(W27&gt;50000,"Highe Target","Low Target")</f>
        <v>Low Target</v>
      </c>
      <c r="Y27" s="9" t="str">
        <f t="shared" si="0"/>
        <v>Lower Target</v>
      </c>
      <c r="Z27" s="9" t="str" cm="1">
        <f t="array" ref="Z27">_xlfn.IFS(W27&lt;60000,"LOWERTarget",W27&lt;80000,"Medium Target",W27,"Highe Target")</f>
        <v>LOWERTarget</v>
      </c>
      <c r="AA27" s="8" t="s">
        <v>165</v>
      </c>
      <c r="AB27" s="5" t="str">
        <f>UPPER(AA27)</f>
        <v>   GOOD TEAMWORK   </v>
      </c>
      <c r="AC27" s="5" t="str">
        <f>LOWER(AA27)</f>
        <v>   good teamwork   </v>
      </c>
      <c r="AD27" s="5" t="str">
        <f>PROPER(AA27)</f>
        <v>   Good Teamwork   </v>
      </c>
      <c r="AF27" s="6"/>
    </row>
    <row r="28" ht="14.25" customHeight="1" spans="1:35">
      <c r="A28" s="8" t="s">
        <v>198</v>
      </c>
      <c r="B28" s="8" t="s">
        <v>43</v>
      </c>
      <c r="C28" s="9">
        <f>LEN(B28)</f>
        <v>11</v>
      </c>
      <c r="D28" s="8" t="s">
        <v>35</v>
      </c>
      <c r="E28" s="8" t="str">
        <f>_xlfn.CONCAT(B28,"(",A28,")"," - ",D28)</f>
        <v>Vikram Nair(E1057) - Finance</v>
      </c>
      <c r="F28" s="9" t="str">
        <f>LEFT(E28,FIND("-",E28))</f>
        <v>Vikram Nair(E1057) -</v>
      </c>
      <c r="G28" s="9" t="str">
        <f>RIGHT(E28,LEN(E28)-FIND("-",E28)-1)</f>
        <v>Finance</v>
      </c>
      <c r="H28" s="9">
        <f>FIND("-",E28)</f>
        <v>20</v>
      </c>
      <c r="I28" s="9">
        <f>LEN(E28)-FIND("-",E28)</f>
        <v>8</v>
      </c>
      <c r="J28" s="8" t="s">
        <v>36</v>
      </c>
      <c r="K28" s="9" t="str">
        <f>SUBSTITUTE(J28,"a","@",1)</f>
        <v>Ahmed@bad</v>
      </c>
      <c r="L28" s="8" t="s">
        <v>199</v>
      </c>
      <c r="M28" s="8" t="str">
        <f>TEXT(L28,"dddd")</f>
        <v>Sunday</v>
      </c>
      <c r="N28" s="8" t="str">
        <f>LEFT(M28,3)</f>
        <v>Sun</v>
      </c>
      <c r="O28" s="8" t="str">
        <f>RIGHT(M28,3)</f>
        <v>day</v>
      </c>
      <c r="P28" s="8">
        <f>MONTH(L28)</f>
        <v>7</v>
      </c>
      <c r="Q28" s="8">
        <f>YEAR(L28)</f>
        <v>2024</v>
      </c>
      <c r="R28" s="8" t="s">
        <v>200</v>
      </c>
      <c r="S28" s="8">
        <f>HOUR(R28)</f>
        <v>8</v>
      </c>
      <c r="T28" s="8">
        <f>MINUTE(R28)</f>
        <v>17</v>
      </c>
      <c r="U28" s="8">
        <f>SECOND(R28)</f>
        <v>28</v>
      </c>
      <c r="V28" s="8">
        <v>48802</v>
      </c>
      <c r="W28" s="8">
        <v>45077</v>
      </c>
      <c r="X28" s="9" t="str">
        <f>IF(W28&gt;50000,"Highe Target","Low Target")</f>
        <v>Low Target</v>
      </c>
      <c r="Y28" s="9" t="str">
        <f t="shared" si="0"/>
        <v>Lower Target</v>
      </c>
      <c r="Z28" s="9" t="str" cm="1">
        <f t="array" ref="Z28">_xlfn.IFS(W28&lt;60000,"LOWERTarget",W28&lt;80000,"Medium Target",W28,"Highe Target")</f>
        <v>LOWERTarget</v>
      </c>
      <c r="AA28" s="8" t="s">
        <v>126</v>
      </c>
      <c r="AB28" s="5" t="str">
        <f>UPPER(AA28)</f>
        <v>ACCURATE REPORTS</v>
      </c>
      <c r="AC28" s="5" t="str">
        <f>LOWER(AA28)</f>
        <v>accurate reports</v>
      </c>
      <c r="AD28" s="5" t="str">
        <f>PROPER(AA28)</f>
        <v>Accurate Reports</v>
      </c>
      <c r="AF28" s="6"/>
    </row>
    <row r="29" ht="14.25" customHeight="1" spans="1:35">
      <c r="A29" s="8" t="s">
        <v>201</v>
      </c>
      <c r="B29" s="8" t="s">
        <v>202</v>
      </c>
      <c r="C29" s="9">
        <f>LEN(B29)</f>
        <v>11</v>
      </c>
      <c r="D29" s="8" t="s">
        <v>93</v>
      </c>
      <c r="E29" s="8" t="str">
        <f>_xlfn.CONCAT(B29,"(",A29,")"," - ",D29)</f>
        <v>Varun Reddy(E1151) - Sales</v>
      </c>
      <c r="F29" s="9" t="str">
        <f>LEFT(E29,FIND("-",E29))</f>
        <v>Varun Reddy(E1151) -</v>
      </c>
      <c r="G29" s="9" t="str">
        <f>RIGHT(E29,LEN(E29)-FIND("-",E29)-1)</f>
        <v>Sales</v>
      </c>
      <c r="H29" s="9">
        <f>FIND("-",E29)</f>
        <v>20</v>
      </c>
      <c r="I29" s="9">
        <f>LEN(E29)-FIND("-",E29)</f>
        <v>6</v>
      </c>
      <c r="J29" s="8" t="s">
        <v>182</v>
      </c>
      <c r="K29" s="9" t="str">
        <f>SUBSTITUTE(J29,"a","@",1)</f>
        <v>Kolk@ta</v>
      </c>
      <c r="L29" s="8" t="s">
        <v>203</v>
      </c>
      <c r="M29" s="8" t="str">
        <f>TEXT(L29,"dddd")</f>
        <v>Sunday</v>
      </c>
      <c r="N29" s="8" t="str">
        <f>LEFT(M29,3)</f>
        <v>Sun</v>
      </c>
      <c r="O29" s="8" t="str">
        <f>RIGHT(M29,3)</f>
        <v>day</v>
      </c>
      <c r="P29" s="8">
        <f>MONTH(L29)</f>
        <v>3</v>
      </c>
      <c r="Q29" s="8">
        <f>YEAR(L29)</f>
        <v>2021</v>
      </c>
      <c r="R29" s="8" t="s">
        <v>204</v>
      </c>
      <c r="S29" s="8">
        <f>HOUR(R29)</f>
        <v>9</v>
      </c>
      <c r="T29" s="8">
        <f>MINUTE(R29)</f>
        <v>1</v>
      </c>
      <c r="U29" s="8">
        <f>SECOND(R29)</f>
        <v>29</v>
      </c>
      <c r="V29" s="8">
        <v>50618</v>
      </c>
      <c r="W29" s="8">
        <v>45102</v>
      </c>
      <c r="X29" s="9" t="str">
        <f>IF(W29&gt;50000,"Highe Target","Low Target")</f>
        <v>Low Target</v>
      </c>
      <c r="Y29" s="9" t="str">
        <f t="shared" si="0"/>
        <v>Lower Target</v>
      </c>
      <c r="Z29" s="9" t="str" cm="1">
        <f t="array" ref="Z29">_xlfn.IFS(W29&lt;60000,"LOWERTarget",W29&lt;80000,"Medium Target",W29,"Highe Target")</f>
        <v>LOWERTarget</v>
      </c>
      <c r="AA29" s="8" t="s">
        <v>79</v>
      </c>
      <c r="AB29" s="5" t="str">
        <f>UPPER(AA29)</f>
        <v>EXCELLENT LEADERSHIP</v>
      </c>
      <c r="AC29" s="5" t="str">
        <f>LOWER(AA29)</f>
        <v>excellent leadership</v>
      </c>
      <c r="AD29" s="5" t="str">
        <f>PROPER(AA29)</f>
        <v>Excellent Leadership</v>
      </c>
      <c r="AF29" s="6"/>
      <c r="AI29" s="15" t="s">
        <v>205</v>
      </c>
    </row>
    <row r="30" ht="14.25" customHeight="1" spans="1:35">
      <c r="A30" s="8" t="s">
        <v>206</v>
      </c>
      <c r="B30" s="8" t="s">
        <v>191</v>
      </c>
      <c r="C30" s="9">
        <f>LEN(B30)</f>
        <v>14</v>
      </c>
      <c r="D30" s="8" t="s">
        <v>60</v>
      </c>
      <c r="E30" s="8" t="str">
        <f>_xlfn.CONCAT(B30,"(",A30,")"," - ",D30)</f>
        <v>Ritika Agarwal(E1242) - HR</v>
      </c>
      <c r="F30" s="9" t="str">
        <f>LEFT(E30,FIND("-",E30))</f>
        <v>Ritika Agarwal(E1242) -</v>
      </c>
      <c r="G30" s="9" t="str">
        <f>RIGHT(E30,LEN(E30)-FIND("-",E30)-1)</f>
        <v>HR</v>
      </c>
      <c r="H30" s="9">
        <f>FIND("-",E30)</f>
        <v>23</v>
      </c>
      <c r="I30" s="9">
        <f>LEN(E30)-FIND("-",E30)</f>
        <v>3</v>
      </c>
      <c r="J30" s="8" t="s">
        <v>45</v>
      </c>
      <c r="K30" s="9" t="str">
        <f>SUBSTITUTE(J30,"a","@",1)</f>
        <v>B@ngalore</v>
      </c>
      <c r="L30" s="8" t="s">
        <v>207</v>
      </c>
      <c r="M30" s="8" t="str">
        <f>TEXT(L30,"dddd")</f>
        <v>Friday</v>
      </c>
      <c r="N30" s="8" t="str">
        <f>LEFT(M30,3)</f>
        <v>Fri</v>
      </c>
      <c r="O30" s="8" t="str">
        <f>RIGHT(M30,3)</f>
        <v>day</v>
      </c>
      <c r="P30" s="8">
        <f>MONTH(L30)</f>
        <v>10</v>
      </c>
      <c r="Q30" s="8">
        <f>YEAR(L30)</f>
        <v>2024</v>
      </c>
      <c r="R30" s="8" t="s">
        <v>208</v>
      </c>
      <c r="S30" s="8">
        <f>HOUR(R30)</f>
        <v>10</v>
      </c>
      <c r="T30" s="8">
        <f>MINUTE(R30)</f>
        <v>55</v>
      </c>
      <c r="U30" s="8">
        <f>SECOND(R30)</f>
        <v>50</v>
      </c>
      <c r="V30" s="8">
        <v>64804</v>
      </c>
      <c r="W30" s="8">
        <v>45365</v>
      </c>
      <c r="X30" s="9" t="str">
        <f>IF(W30&gt;50000,"Highe Target","Low Target")</f>
        <v>Low Target</v>
      </c>
      <c r="Y30" s="9" t="str">
        <f t="shared" si="0"/>
        <v>Lower Target</v>
      </c>
      <c r="Z30" s="9" t="str" cm="1">
        <f t="array" ref="Z30">_xlfn.IFS(W30&lt;60000,"LOWERTarget",W30&lt;80000,"Medium Target",W30,"Highe Target")</f>
        <v>LOWERTarget</v>
      </c>
      <c r="AA30" s="8" t="s">
        <v>179</v>
      </c>
      <c r="AB30" s="5" t="str">
        <f>UPPER(AA30)</f>
        <v>HELPFUL ATTITUDE</v>
      </c>
      <c r="AC30" s="5" t="str">
        <f>LOWER(AA30)</f>
        <v>helpful attitude</v>
      </c>
      <c r="AD30" s="5" t="str">
        <f>PROPER(AA30)</f>
        <v>Helpful Attitude</v>
      </c>
      <c r="AF30" s="6"/>
      <c r="AI30" s="16">
        <f>SUM(V1:V301)</f>
        <v>21622710</v>
      </c>
    </row>
    <row r="31" ht="14.25" customHeight="1" spans="1:35">
      <c r="A31" s="8" t="s">
        <v>209</v>
      </c>
      <c r="B31" s="8" t="s">
        <v>210</v>
      </c>
      <c r="C31" s="9">
        <f>LEN(B31)</f>
        <v>11</v>
      </c>
      <c r="D31" s="8" t="s">
        <v>35</v>
      </c>
      <c r="E31" s="8" t="str">
        <f>_xlfn.CONCAT(B31,"(",A31,")"," - ",D31)</f>
        <v>Meera Goyal(E1200) - Finance</v>
      </c>
      <c r="F31" s="9" t="str">
        <f>LEFT(E31,FIND("-",E31))</f>
        <v>Meera Goyal(E1200) -</v>
      </c>
      <c r="G31" s="9" t="str">
        <f>RIGHT(E31,LEN(E31)-FIND("-",E31)-1)</f>
        <v>Finance</v>
      </c>
      <c r="H31" s="9">
        <f>FIND("-",E31)</f>
        <v>20</v>
      </c>
      <c r="I31" s="9">
        <f>LEN(E31)-FIND("-",E31)</f>
        <v>8</v>
      </c>
      <c r="J31" s="8" t="s">
        <v>36</v>
      </c>
      <c r="K31" s="9" t="str">
        <f>SUBSTITUTE(J31,"a","@",1)</f>
        <v>Ahmed@bad</v>
      </c>
      <c r="L31" s="8" t="s">
        <v>211</v>
      </c>
      <c r="M31" s="8" t="str">
        <f>TEXT(L31,"dddd")</f>
        <v>Sunday</v>
      </c>
      <c r="N31" s="8" t="str">
        <f>LEFT(M31,3)</f>
        <v>Sun</v>
      </c>
      <c r="O31" s="8" t="str">
        <f>RIGHT(M31,3)</f>
        <v>day</v>
      </c>
      <c r="P31" s="8">
        <f>MONTH(L31)</f>
        <v>2</v>
      </c>
      <c r="Q31" s="8">
        <f>YEAR(L31)</f>
        <v>2024</v>
      </c>
      <c r="R31" s="8" t="s">
        <v>212</v>
      </c>
      <c r="S31" s="8">
        <f>HOUR(R31)</f>
        <v>8</v>
      </c>
      <c r="T31" s="8">
        <f>MINUTE(R31)</f>
        <v>39</v>
      </c>
      <c r="U31" s="8">
        <f>SECOND(R31)</f>
        <v>56</v>
      </c>
      <c r="V31" s="8">
        <v>34958</v>
      </c>
      <c r="W31" s="8">
        <v>45650</v>
      </c>
      <c r="X31" s="9" t="str">
        <f>IF(W31&gt;50000,"Highe Target","Low Target")</f>
        <v>Low Target</v>
      </c>
      <c r="Y31" s="9" t="str">
        <f t="shared" si="0"/>
        <v>Lower Target</v>
      </c>
      <c r="Z31" s="9" t="str" cm="1">
        <f t="array" ref="Z31">_xlfn.IFS(W31&lt;60000,"LOWERTarget",W31&lt;80000,"Medium Target",W31,"Highe Target")</f>
        <v>LOWERTarget</v>
      </c>
      <c r="AA31" s="8" t="s">
        <v>64</v>
      </c>
      <c r="AB31" s="5" t="str">
        <f>UPPER(AA31)</f>
        <v>NEEDS IMPROVEMENT</v>
      </c>
      <c r="AC31" s="5" t="str">
        <f>LOWER(AA31)</f>
        <v>needs improvement</v>
      </c>
      <c r="AD31" s="5" t="str">
        <f>PROPER(AA31)</f>
        <v>Needs Improvement</v>
      </c>
      <c r="AF31" s="6"/>
      <c r="AI31" s="16"/>
    </row>
    <row r="32" ht="14.25" customHeight="1" spans="1:35">
      <c r="A32" s="8" t="s">
        <v>213</v>
      </c>
      <c r="B32" s="8" t="s">
        <v>214</v>
      </c>
      <c r="C32" s="9">
        <f>LEN(B32)</f>
        <v>13</v>
      </c>
      <c r="D32" s="8" t="s">
        <v>44</v>
      </c>
      <c r="E32" s="8" t="str">
        <f>_xlfn.CONCAT(B32,"(",A32,")"," - ",D32)</f>
        <v>Manish Chopra(E1012) - Marketing</v>
      </c>
      <c r="F32" s="9" t="str">
        <f>LEFT(E32,FIND("-",E32))</f>
        <v>Manish Chopra(E1012) -</v>
      </c>
      <c r="G32" s="9" t="str">
        <f>RIGHT(E32,LEN(E32)-FIND("-",E32)-1)</f>
        <v>Marketing</v>
      </c>
      <c r="H32" s="9">
        <f>FIND("-",E32)</f>
        <v>22</v>
      </c>
      <c r="I32" s="9">
        <f>LEN(E32)-FIND("-",E32)</f>
        <v>10</v>
      </c>
      <c r="J32" s="8" t="s">
        <v>172</v>
      </c>
      <c r="K32" s="9" t="str">
        <f>SUBSTITUTE(J32,"a","@",1)</f>
        <v>Hyder@bad</v>
      </c>
      <c r="L32" s="8" t="s">
        <v>102</v>
      </c>
      <c r="M32" s="8" t="str">
        <f>TEXT(L32,"dddd")</f>
        <v>Saturday</v>
      </c>
      <c r="N32" s="8" t="str">
        <f>LEFT(M32,3)</f>
        <v>Sat</v>
      </c>
      <c r="O32" s="8" t="str">
        <f>RIGHT(M32,3)</f>
        <v>day</v>
      </c>
      <c r="P32" s="8">
        <f>MONTH(L32)</f>
        <v>3</v>
      </c>
      <c r="Q32" s="8">
        <f>YEAR(L32)</f>
        <v>2022</v>
      </c>
      <c r="R32" s="8" t="s">
        <v>215</v>
      </c>
      <c r="S32" s="8">
        <f>HOUR(R32)</f>
        <v>8</v>
      </c>
      <c r="T32" s="8">
        <f>MINUTE(R32)</f>
        <v>32</v>
      </c>
      <c r="U32" s="8">
        <f>SECOND(R32)</f>
        <v>31</v>
      </c>
      <c r="V32" s="8">
        <v>34044</v>
      </c>
      <c r="W32" s="8">
        <v>45957</v>
      </c>
      <c r="X32" s="9" t="str">
        <f>IF(W32&gt;50000,"Highe Target","Low Target")</f>
        <v>Low Target</v>
      </c>
      <c r="Y32" s="9" t="str">
        <f t="shared" si="0"/>
        <v>Lower Target</v>
      </c>
      <c r="Z32" s="9" t="str" cm="1">
        <f t="array" ref="Z32">_xlfn.IFS(W32&lt;60000,"LOWERTarget",W32&lt;80000,"Medium Target",W32,"Highe Target")</f>
        <v>LOWERTarget</v>
      </c>
      <c r="AA32" s="8" t="s">
        <v>185</v>
      </c>
      <c r="AB32" s="5" t="str">
        <f>UPPER(AA32)</f>
        <v>   POSITIVE ATTITUDE   </v>
      </c>
      <c r="AC32" s="5" t="str">
        <f>LOWER(AA32)</f>
        <v>   positive attitude   </v>
      </c>
      <c r="AD32" s="5" t="str">
        <f>PROPER(AA32)</f>
        <v>   Positive Attitude   </v>
      </c>
      <c r="AF32" s="6"/>
      <c r="AI32" s="15" t="s">
        <v>22</v>
      </c>
    </row>
    <row r="33" ht="14.25" customHeight="1" spans="1:35">
      <c r="A33" s="8" t="s">
        <v>216</v>
      </c>
      <c r="B33" s="8" t="s">
        <v>217</v>
      </c>
      <c r="C33" s="9">
        <f>LEN(B33)</f>
        <v>12</v>
      </c>
      <c r="D33" s="8" t="s">
        <v>44</v>
      </c>
      <c r="E33" s="8" t="str">
        <f>_xlfn.CONCAT(B33,"(",A33,")"," - ",D33)</f>
        <v>Arjun Mishra(E1023) - Marketing</v>
      </c>
      <c r="F33" s="9" t="str">
        <f>LEFT(E33,FIND("-",E33))</f>
        <v>Arjun Mishra(E1023) -</v>
      </c>
      <c r="G33" s="9" t="str">
        <f>RIGHT(E33,LEN(E33)-FIND("-",E33)-1)</f>
        <v>Marketing</v>
      </c>
      <c r="H33" s="9">
        <f>FIND("-",E33)</f>
        <v>21</v>
      </c>
      <c r="I33" s="9">
        <f>LEN(E33)-FIND("-",E33)</f>
        <v>10</v>
      </c>
      <c r="J33" s="8" t="s">
        <v>45</v>
      </c>
      <c r="K33" s="9" t="str">
        <f>SUBSTITUTE(J33,"a","@",1)</f>
        <v>B@ngalore</v>
      </c>
      <c r="L33" s="8" t="s">
        <v>218</v>
      </c>
      <c r="M33" s="8" t="str">
        <f>TEXT(L33,"dddd")</f>
        <v>Sunday</v>
      </c>
      <c r="N33" s="8" t="str">
        <f>LEFT(M33,3)</f>
        <v>Sun</v>
      </c>
      <c r="O33" s="8" t="str">
        <f>RIGHT(M33,3)</f>
        <v>day</v>
      </c>
      <c r="P33" s="8">
        <f>MONTH(L33)</f>
        <v>8</v>
      </c>
      <c r="Q33" s="8">
        <f>YEAR(L33)</f>
        <v>2023</v>
      </c>
      <c r="R33" s="8" t="s">
        <v>219</v>
      </c>
      <c r="S33" s="8">
        <f>HOUR(R33)</f>
        <v>9</v>
      </c>
      <c r="T33" s="8">
        <f>MINUTE(R33)</f>
        <v>12</v>
      </c>
      <c r="U33" s="8">
        <f>SECOND(R33)</f>
        <v>6</v>
      </c>
      <c r="V33" s="8">
        <v>59601</v>
      </c>
      <c r="W33" s="8">
        <v>46352</v>
      </c>
      <c r="X33" s="9" t="str">
        <f>IF(W33&gt;50000,"Highe Target","Low Target")</f>
        <v>Low Target</v>
      </c>
      <c r="Y33" s="9" t="str">
        <f t="shared" si="0"/>
        <v>Lower Target</v>
      </c>
      <c r="Z33" s="9" t="str" cm="1">
        <f t="array" ref="Z33">_xlfn.IFS(W33&lt;60000,"LOWERTarget",W33&lt;80000,"Medium Target",W33,"Highe Target")</f>
        <v>LOWERTarget</v>
      </c>
      <c r="AA33" s="8" t="s">
        <v>220</v>
      </c>
      <c r="AB33" s="5" t="str">
        <f>UPPER(AA33)</f>
        <v>   CREATIVE IDEAS   </v>
      </c>
      <c r="AC33" s="5" t="str">
        <f>LOWER(AA33)</f>
        <v>   creative ideas   </v>
      </c>
      <c r="AD33" s="5" t="str">
        <f>PROPER(AA33)</f>
        <v>   Creative Ideas   </v>
      </c>
      <c r="AF33" s="6"/>
      <c r="AI33" s="16">
        <f>SUM(W2:W301)</f>
        <v>21015519</v>
      </c>
    </row>
    <row r="34" ht="14.25" customHeight="1" spans="1:35">
      <c r="A34" s="8" t="s">
        <v>221</v>
      </c>
      <c r="B34" s="8" t="s">
        <v>222</v>
      </c>
      <c r="C34" s="9">
        <f>LEN(B34)</f>
        <v>11</v>
      </c>
      <c r="D34" s="8" t="s">
        <v>44</v>
      </c>
      <c r="E34" s="8" t="str">
        <f>_xlfn.CONCAT(B34,"(",A34,")"," - ",D34)</f>
        <v>Anjali Iyer(E1300) - Marketing</v>
      </c>
      <c r="F34" s="9" t="str">
        <f>LEFT(E34,FIND("-",E34))</f>
        <v>Anjali Iyer(E1300) -</v>
      </c>
      <c r="G34" s="9" t="str">
        <f>RIGHT(E34,LEN(E34)-FIND("-",E34)-1)</f>
        <v>Marketing</v>
      </c>
      <c r="H34" s="9">
        <f>FIND("-",E34)</f>
        <v>20</v>
      </c>
      <c r="I34" s="9">
        <f>LEN(E34)-FIND("-",E34)</f>
        <v>10</v>
      </c>
      <c r="J34" s="8" t="s">
        <v>45</v>
      </c>
      <c r="K34" s="9" t="str">
        <f>SUBSTITUTE(J34,"a","@",1)</f>
        <v>B@ngalore</v>
      </c>
      <c r="L34" s="8" t="s">
        <v>223</v>
      </c>
      <c r="M34" s="8" t="str">
        <f>TEXT(L34,"dddd")</f>
        <v>Monday</v>
      </c>
      <c r="N34" s="8" t="str">
        <f>LEFT(M34,3)</f>
        <v>Mon</v>
      </c>
      <c r="O34" s="8" t="str">
        <f>RIGHT(M34,3)</f>
        <v>day</v>
      </c>
      <c r="P34" s="8">
        <f>MONTH(L34)</f>
        <v>12</v>
      </c>
      <c r="Q34" s="8">
        <f>YEAR(L34)</f>
        <v>2023</v>
      </c>
      <c r="R34" s="8" t="s">
        <v>224</v>
      </c>
      <c r="S34" s="8">
        <f>HOUR(R34)</f>
        <v>9</v>
      </c>
      <c r="T34" s="8">
        <f>MINUTE(R34)</f>
        <v>22</v>
      </c>
      <c r="U34" s="8">
        <f>SECOND(R34)</f>
        <v>30</v>
      </c>
      <c r="V34" s="8">
        <v>60112</v>
      </c>
      <c r="W34" s="8">
        <v>46397</v>
      </c>
      <c r="X34" s="9" t="str">
        <f>IF(W34&gt;50000,"Highe Target","Low Target")</f>
        <v>Low Target</v>
      </c>
      <c r="Y34" s="9" t="str">
        <f t="shared" si="0"/>
        <v>Lower Target</v>
      </c>
      <c r="Z34" s="9" t="str" cm="1">
        <f t="array" ref="Z34">_xlfn.IFS(W34&lt;60000,"LOWERTarget",W34&lt;80000,"Medium Target",W34,"Highe Target")</f>
        <v>LOWERTarget</v>
      </c>
      <c r="AA34" s="8" t="s">
        <v>96</v>
      </c>
      <c r="AB34" s="5" t="str">
        <f>UPPER(AA34)</f>
        <v>FAST DELIVERY</v>
      </c>
      <c r="AC34" s="5" t="str">
        <f>LOWER(AA34)</f>
        <v>fast delivery</v>
      </c>
      <c r="AD34" s="5" t="str">
        <f>PROPER(AA34)</f>
        <v>Fast Delivery</v>
      </c>
      <c r="AF34" s="6"/>
      <c r="AI34" s="16"/>
    </row>
    <row r="35" ht="14.25" customHeight="1" spans="1:35">
      <c r="A35" s="8" t="s">
        <v>225</v>
      </c>
      <c r="B35" s="8" t="s">
        <v>226</v>
      </c>
      <c r="C35" s="9">
        <f>LEN(B35)</f>
        <v>11</v>
      </c>
      <c r="D35" s="8" t="s">
        <v>60</v>
      </c>
      <c r="E35" s="8" t="str">
        <f>_xlfn.CONCAT(B35,"(",A35,")"," - ",D35)</f>
        <v>Priya Reddy(E1127) - HR</v>
      </c>
      <c r="F35" s="9" t="str">
        <f>LEFT(E35,FIND("-",E35))</f>
        <v>Priya Reddy(E1127) -</v>
      </c>
      <c r="G35" s="9" t="str">
        <f>RIGHT(E35,LEN(E35)-FIND("-",E35)-1)</f>
        <v>HR</v>
      </c>
      <c r="H35" s="9">
        <f>FIND("-",E35)</f>
        <v>20</v>
      </c>
      <c r="I35" s="9">
        <f>LEN(E35)-FIND("-",E35)</f>
        <v>3</v>
      </c>
      <c r="J35" s="8" t="s">
        <v>36</v>
      </c>
      <c r="K35" s="9" t="str">
        <f>SUBSTITUTE(J35,"a","@",1)</f>
        <v>Ahmed@bad</v>
      </c>
      <c r="L35" s="8" t="s">
        <v>227</v>
      </c>
      <c r="M35" s="8" t="str">
        <f>TEXT(L35,"dddd")</f>
        <v>Friday</v>
      </c>
      <c r="N35" s="8" t="str">
        <f>LEFT(M35,3)</f>
        <v>Fri</v>
      </c>
      <c r="O35" s="8" t="str">
        <f>RIGHT(M35,3)</f>
        <v>day</v>
      </c>
      <c r="P35" s="8">
        <f>MONTH(L35)</f>
        <v>6</v>
      </c>
      <c r="Q35" s="8">
        <f>YEAR(L35)</f>
        <v>2023</v>
      </c>
      <c r="R35" s="8" t="s">
        <v>228</v>
      </c>
      <c r="S35" s="8">
        <f>HOUR(R35)</f>
        <v>8</v>
      </c>
      <c r="T35" s="8">
        <f>MINUTE(R35)</f>
        <v>54</v>
      </c>
      <c r="U35" s="8">
        <f>SECOND(R35)</f>
        <v>23</v>
      </c>
      <c r="V35" s="8">
        <v>55584</v>
      </c>
      <c r="W35" s="8">
        <v>46511</v>
      </c>
      <c r="X35" s="9" t="str">
        <f>IF(W35&gt;50000,"Highe Target","Low Target")</f>
        <v>Low Target</v>
      </c>
      <c r="Y35" s="9" t="str">
        <f t="shared" si="0"/>
        <v>Lower Target</v>
      </c>
      <c r="Z35" s="9" t="str" cm="1">
        <f t="array" ref="Z35">_xlfn.IFS(W35&lt;60000,"LOWERTarget",W35&lt;80000,"Medium Target",W35,"Highe Target")</f>
        <v>LOWERTarget</v>
      </c>
      <c r="AA35" s="8" t="s">
        <v>229</v>
      </c>
      <c r="AB35" s="5" t="str">
        <f>UPPER(AA35)</f>
        <v>STRONG PRESENTATION</v>
      </c>
      <c r="AC35" s="5" t="str">
        <f>LOWER(AA35)</f>
        <v>strong presentation</v>
      </c>
      <c r="AD35" s="5" t="str">
        <f>PROPER(AA35)</f>
        <v>Strong Presentation</v>
      </c>
      <c r="AF35" s="6"/>
      <c r="AI35" s="17" t="s">
        <v>230</v>
      </c>
    </row>
    <row r="36" ht="14.25" customHeight="1" spans="1:35">
      <c r="A36" s="8" t="s">
        <v>231</v>
      </c>
      <c r="B36" s="8" t="s">
        <v>232</v>
      </c>
      <c r="C36" s="9">
        <f>LEN(B36)</f>
        <v>10</v>
      </c>
      <c r="D36" s="8" t="s">
        <v>93</v>
      </c>
      <c r="E36" s="8" t="str">
        <f>_xlfn.CONCAT(B36,"(",A36,")"," - ",D36)</f>
        <v>Yash Singh(E1001) - Sales</v>
      </c>
      <c r="F36" s="9" t="str">
        <f>LEFT(E36,FIND("-",E36))</f>
        <v>Yash Singh(E1001) -</v>
      </c>
      <c r="G36" s="9" t="str">
        <f>RIGHT(E36,LEN(E36)-FIND("-",E36)-1)</f>
        <v>Sales</v>
      </c>
      <c r="H36" s="9">
        <f>FIND("-",E36)</f>
        <v>19</v>
      </c>
      <c r="I36" s="9">
        <f>LEN(E36)-FIND("-",E36)</f>
        <v>6</v>
      </c>
      <c r="J36" s="8" t="s">
        <v>61</v>
      </c>
      <c r="K36" s="9" t="str">
        <f>SUBSTITUTE(J36,"a","@",1)</f>
        <v>Chenn@i</v>
      </c>
      <c r="L36" s="8" t="s">
        <v>233</v>
      </c>
      <c r="M36" s="8" t="str">
        <f>TEXT(L36,"dddd")</f>
        <v>Tuesday</v>
      </c>
      <c r="N36" s="8" t="str">
        <f>LEFT(M36,3)</f>
        <v>Tue</v>
      </c>
      <c r="O36" s="8" t="str">
        <f>RIGHT(M36,3)</f>
        <v>day</v>
      </c>
      <c r="P36" s="8">
        <f>MONTH(L36)</f>
        <v>5</v>
      </c>
      <c r="Q36" s="8">
        <f>YEAR(L36)</f>
        <v>2022</v>
      </c>
      <c r="R36" s="8" t="s">
        <v>234</v>
      </c>
      <c r="S36" s="8">
        <f>HOUR(R36)</f>
        <v>8</v>
      </c>
      <c r="T36" s="8">
        <f>MINUTE(R36)</f>
        <v>8</v>
      </c>
      <c r="U36" s="8">
        <f>SECOND(R36)</f>
        <v>47</v>
      </c>
      <c r="V36" s="8">
        <v>37414</v>
      </c>
      <c r="W36" s="8">
        <v>46717</v>
      </c>
      <c r="X36" s="9" t="str">
        <f>IF(W36&gt;50000,"Highe Target","Low Target")</f>
        <v>Low Target</v>
      </c>
      <c r="Y36" s="9" t="str">
        <f t="shared" si="0"/>
        <v>Lower Target</v>
      </c>
      <c r="Z36" s="9" t="str" cm="1">
        <f t="array" ref="Z36">_xlfn.IFS(W36&lt;60000,"LOWERTarget",W36&lt;80000,"Medium Target",W36,"Highe Target")</f>
        <v>LOWERTarget</v>
      </c>
      <c r="AA36" s="8" t="s">
        <v>79</v>
      </c>
      <c r="AB36" s="5" t="str">
        <f>UPPER(AA36)</f>
        <v>EXCELLENT LEADERSHIP</v>
      </c>
      <c r="AC36" s="5" t="str">
        <f>LOWER(AA36)</f>
        <v>excellent leadership</v>
      </c>
      <c r="AD36" s="5" t="str">
        <f>PROPER(AA36)</f>
        <v>Excellent Leadership</v>
      </c>
      <c r="AF36" s="6"/>
      <c r="AI36" s="16">
        <v>15060705</v>
      </c>
    </row>
    <row r="37" ht="14.25" customHeight="1" spans="1:35">
      <c r="A37" s="8" t="s">
        <v>235</v>
      </c>
      <c r="B37" s="8" t="s">
        <v>236</v>
      </c>
      <c r="C37" s="9">
        <f>LEN(B37)</f>
        <v>12</v>
      </c>
      <c r="D37" s="8" t="s">
        <v>35</v>
      </c>
      <c r="E37" s="8" t="str">
        <f>_xlfn.CONCAT(B37,"(",A37,")"," - ",D37)</f>
        <v>Kavita Joshi(E1234) - Finance</v>
      </c>
      <c r="F37" s="9" t="str">
        <f>LEFT(E37,FIND("-",E37))</f>
        <v>Kavita Joshi(E1234) -</v>
      </c>
      <c r="G37" s="9" t="str">
        <f>RIGHT(E37,LEN(E37)-FIND("-",E37)-1)</f>
        <v>Finance</v>
      </c>
      <c r="H37" s="9">
        <f>FIND("-",E37)</f>
        <v>21</v>
      </c>
      <c r="I37" s="9">
        <f>LEN(E37)-FIND("-",E37)</f>
        <v>8</v>
      </c>
      <c r="J37" s="8" t="s">
        <v>153</v>
      </c>
      <c r="K37" s="9" t="str">
        <f>SUBSTITUTE(J37,"a","@",1)</f>
        <v>Mumb@i</v>
      </c>
      <c r="L37" s="8" t="s">
        <v>237</v>
      </c>
      <c r="M37" s="8" t="str">
        <f>TEXT(L37,"dddd")</f>
        <v>Tuesday</v>
      </c>
      <c r="N37" s="8" t="str">
        <f>LEFT(M37,3)</f>
        <v>Tue</v>
      </c>
      <c r="O37" s="8" t="str">
        <f>RIGHT(M37,3)</f>
        <v>day</v>
      </c>
      <c r="P37" s="8">
        <f>MONTH(L37)</f>
        <v>1</v>
      </c>
      <c r="Q37" s="8">
        <f>YEAR(L37)</f>
        <v>2021</v>
      </c>
      <c r="R37" s="8" t="s">
        <v>238</v>
      </c>
      <c r="S37" s="8">
        <f>HOUR(R37)</f>
        <v>9</v>
      </c>
      <c r="T37" s="8">
        <f>MINUTE(R37)</f>
        <v>36</v>
      </c>
      <c r="U37" s="8">
        <f>SECOND(R37)</f>
        <v>38</v>
      </c>
      <c r="V37" s="8">
        <v>53989</v>
      </c>
      <c r="W37" s="8">
        <v>47032</v>
      </c>
      <c r="X37" s="9" t="str">
        <f>IF(W37&gt;50000,"Highe Target","Low Target")</f>
        <v>Low Target</v>
      </c>
      <c r="Y37" s="9" t="str">
        <f t="shared" si="0"/>
        <v>Lower Target</v>
      </c>
      <c r="Z37" s="9" t="str" cm="1">
        <f t="array" ref="Z37">_xlfn.IFS(W37&lt;60000,"LOWERTarget",W37&lt;80000,"Medium Target",W37,"Highe Target")</f>
        <v>LOWERTarget</v>
      </c>
      <c r="AA37" s="8" t="s">
        <v>64</v>
      </c>
      <c r="AB37" s="5" t="str">
        <f>UPPER(AA37)</f>
        <v>NEEDS IMPROVEMENT</v>
      </c>
      <c r="AC37" s="5" t="str">
        <f>LOWER(AA37)</f>
        <v>needs improvement</v>
      </c>
      <c r="AD37" s="5" t="str">
        <f>PROPER(AA37)</f>
        <v>Needs Improvement</v>
      </c>
      <c r="AF37" s="6"/>
    </row>
    <row r="38" ht="14.25" customHeight="1" spans="1:35">
      <c r="A38" s="8" t="s">
        <v>239</v>
      </c>
      <c r="B38" s="8" t="s">
        <v>240</v>
      </c>
      <c r="C38" s="9">
        <f>LEN(B38)</f>
        <v>10</v>
      </c>
      <c r="D38" s="8" t="s">
        <v>44</v>
      </c>
      <c r="E38" s="8" t="str">
        <f>_xlfn.CONCAT(B38,"(",A38,")"," - ",D38)</f>
        <v>Sneha Iyer(E1042) - Marketing</v>
      </c>
      <c r="F38" s="9" t="str">
        <f>LEFT(E38,FIND("-",E38))</f>
        <v>Sneha Iyer(E1042) -</v>
      </c>
      <c r="G38" s="9" t="str">
        <f>RIGHT(E38,LEN(E38)-FIND("-",E38)-1)</f>
        <v>Marketing</v>
      </c>
      <c r="H38" s="9">
        <f>FIND("-",E38)</f>
        <v>19</v>
      </c>
      <c r="I38" s="9">
        <f>LEN(E38)-FIND("-",E38)</f>
        <v>10</v>
      </c>
      <c r="J38" s="8" t="s">
        <v>45</v>
      </c>
      <c r="K38" s="9" t="str">
        <f>SUBSTITUTE(J38,"a","@",1)</f>
        <v>B@ngalore</v>
      </c>
      <c r="L38" s="8" t="s">
        <v>241</v>
      </c>
      <c r="M38" s="8" t="str">
        <f>TEXT(L38,"dddd")</f>
        <v>Friday</v>
      </c>
      <c r="N38" s="8" t="str">
        <f>LEFT(M38,3)</f>
        <v>Fri</v>
      </c>
      <c r="O38" s="8" t="str">
        <f>RIGHT(M38,3)</f>
        <v>day</v>
      </c>
      <c r="P38" s="8">
        <f>MONTH(L38)</f>
        <v>7</v>
      </c>
      <c r="Q38" s="8">
        <f>YEAR(L38)</f>
        <v>2022</v>
      </c>
      <c r="R38" s="8" t="s">
        <v>242</v>
      </c>
      <c r="S38" s="8">
        <f>HOUR(R38)</f>
        <v>8</v>
      </c>
      <c r="T38" s="8">
        <f>MINUTE(R38)</f>
        <v>50</v>
      </c>
      <c r="U38" s="8">
        <f>SECOND(R38)</f>
        <v>44</v>
      </c>
      <c r="V38" s="8">
        <v>57154</v>
      </c>
      <c r="W38" s="8">
        <v>47084</v>
      </c>
      <c r="X38" s="9" t="str">
        <f>IF(W38&gt;50000,"Highe Target","Low Target")</f>
        <v>Low Target</v>
      </c>
      <c r="Y38" s="9" t="str">
        <f t="shared" si="0"/>
        <v>Lower Target</v>
      </c>
      <c r="Z38" s="9" t="str" cm="1">
        <f t="array" ref="Z38">_xlfn.IFS(W38&lt;60000,"LOWERTarget",W38&lt;80000,"Medium Target",W38,"Highe Target")</f>
        <v>LOWERTarget</v>
      </c>
      <c r="AA38" s="8" t="s">
        <v>243</v>
      </c>
      <c r="AB38" s="5" t="str">
        <f>UPPER(AA38)</f>
        <v>POSITIVE ATTITUDE</v>
      </c>
      <c r="AC38" s="5" t="str">
        <f>LOWER(AA38)</f>
        <v>positive attitude</v>
      </c>
      <c r="AD38" s="5" t="str">
        <f>PROPER(AA38)</f>
        <v>Positive Attitude</v>
      </c>
      <c r="AF38" s="6"/>
    </row>
    <row r="39" ht="14.25" customHeight="1" spans="1:35">
      <c r="A39" s="8" t="s">
        <v>244</v>
      </c>
      <c r="B39" s="8" t="s">
        <v>245</v>
      </c>
      <c r="C39" s="9">
        <f>LEN(B39)</f>
        <v>12</v>
      </c>
      <c r="D39" s="8" t="s">
        <v>35</v>
      </c>
      <c r="E39" s="8" t="str">
        <f>_xlfn.CONCAT(B39,"(",A39,")"," - ",D39)</f>
        <v>Arjun Saxena(E1195) - Finance</v>
      </c>
      <c r="F39" s="9" t="str">
        <f>LEFT(E39,FIND("-",E39))</f>
        <v>Arjun Saxena(E1195) -</v>
      </c>
      <c r="G39" s="9" t="str">
        <f>RIGHT(E39,LEN(E39)-FIND("-",E39)-1)</f>
        <v>Finance</v>
      </c>
      <c r="H39" s="9">
        <f>FIND("-",E39)</f>
        <v>21</v>
      </c>
      <c r="I39" s="9">
        <f>LEN(E39)-FIND("-",E39)</f>
        <v>8</v>
      </c>
      <c r="J39" s="8" t="s">
        <v>182</v>
      </c>
      <c r="K39" s="9" t="str">
        <f>SUBSTITUTE(J39,"a","@",1)</f>
        <v>Kolk@ta</v>
      </c>
      <c r="L39" s="8" t="s">
        <v>246</v>
      </c>
      <c r="M39" s="8" t="str">
        <f>TEXT(L39,"dddd")</f>
        <v>Thursday</v>
      </c>
      <c r="N39" s="8" t="str">
        <f>LEFT(M39,3)</f>
        <v>Thu</v>
      </c>
      <c r="O39" s="8" t="str">
        <f>RIGHT(M39,3)</f>
        <v>day</v>
      </c>
      <c r="P39" s="8">
        <f>MONTH(L39)</f>
        <v>10</v>
      </c>
      <c r="Q39" s="8">
        <f>YEAR(L39)</f>
        <v>2022</v>
      </c>
      <c r="R39" s="8" t="s">
        <v>247</v>
      </c>
      <c r="S39" s="8">
        <f>HOUR(R39)</f>
        <v>10</v>
      </c>
      <c r="T39" s="8">
        <f>MINUTE(R39)</f>
        <v>17</v>
      </c>
      <c r="U39" s="8">
        <f>SECOND(R39)</f>
        <v>15</v>
      </c>
      <c r="V39" s="8">
        <v>34132</v>
      </c>
      <c r="W39" s="8">
        <v>47434</v>
      </c>
      <c r="X39" s="9" t="str">
        <f>IF(W39&gt;50000,"Highe Target","Low Target")</f>
        <v>Low Target</v>
      </c>
      <c r="Y39" s="9" t="str">
        <f t="shared" si="0"/>
        <v>Lower Target</v>
      </c>
      <c r="Z39" s="9" t="str" cm="1">
        <f t="array" ref="Z39">_xlfn.IFS(W39&lt;60000,"LOWERTarget",W39&lt;80000,"Medium Target",W39,"Highe Target")</f>
        <v>LOWERTarget</v>
      </c>
      <c r="AA39" s="8" t="s">
        <v>96</v>
      </c>
      <c r="AB39" s="5" t="str">
        <f>UPPER(AA39)</f>
        <v>FAST DELIVERY</v>
      </c>
      <c r="AC39" s="5" t="str">
        <f>LOWER(AA39)</f>
        <v>fast delivery</v>
      </c>
      <c r="AD39" s="5" t="str">
        <f>PROPER(AA39)</f>
        <v>Fast Delivery</v>
      </c>
      <c r="AF39" s="6"/>
      <c r="AI39" s="18" t="s">
        <v>248</v>
      </c>
    </row>
    <row r="40" ht="14.25" customHeight="1" spans="1:35">
      <c r="A40" s="8" t="s">
        <v>249</v>
      </c>
      <c r="B40" s="8" t="s">
        <v>250</v>
      </c>
      <c r="C40" s="9">
        <f>LEN(B40)</f>
        <v>15</v>
      </c>
      <c r="D40" s="8" t="s">
        <v>35</v>
      </c>
      <c r="E40" s="8" t="str">
        <f>_xlfn.CONCAT(B40,"(",A40,")"," - ",D40)</f>
        <v>Kavita Malhotra(E1083) - Finance</v>
      </c>
      <c r="F40" s="9" t="str">
        <f>LEFT(E40,FIND("-",E40))</f>
        <v>Kavita Malhotra(E1083) -</v>
      </c>
      <c r="G40" s="9" t="str">
        <f>RIGHT(E40,LEN(E40)-FIND("-",E40)-1)</f>
        <v>Finance</v>
      </c>
      <c r="H40" s="9">
        <f>FIND("-",E40)</f>
        <v>24</v>
      </c>
      <c r="I40" s="9">
        <f>LEN(E40)-FIND("-",E40)</f>
        <v>8</v>
      </c>
      <c r="J40" s="8" t="s">
        <v>53</v>
      </c>
      <c r="K40" s="9" t="str">
        <f>SUBSTITUTE(J40,"a","@",1)</f>
        <v>Delhi</v>
      </c>
      <c r="L40" s="8" t="s">
        <v>251</v>
      </c>
      <c r="M40" s="8" t="str">
        <f>TEXT(L40,"dddd")</f>
        <v>Friday</v>
      </c>
      <c r="N40" s="8" t="str">
        <f>LEFT(M40,3)</f>
        <v>Fri</v>
      </c>
      <c r="O40" s="8" t="str">
        <f>RIGHT(M40,3)</f>
        <v>day</v>
      </c>
      <c r="P40" s="8">
        <f>MONTH(L40)</f>
        <v>4</v>
      </c>
      <c r="Q40" s="8">
        <f>YEAR(L40)</f>
        <v>2021</v>
      </c>
      <c r="R40" s="8" t="s">
        <v>252</v>
      </c>
      <c r="S40" s="8">
        <f>HOUR(R40)</f>
        <v>9</v>
      </c>
      <c r="T40" s="8">
        <f>MINUTE(R40)</f>
        <v>55</v>
      </c>
      <c r="U40" s="8">
        <f>SECOND(R40)</f>
        <v>30</v>
      </c>
      <c r="V40" s="8">
        <v>36758</v>
      </c>
      <c r="W40" s="8">
        <v>47476</v>
      </c>
      <c r="X40" s="9" t="str">
        <f>IF(W40&gt;50000,"Highe Target","Low Target")</f>
        <v>Low Target</v>
      </c>
      <c r="Y40" s="9" t="str">
        <f t="shared" si="0"/>
        <v>Lower Target</v>
      </c>
      <c r="Z40" s="9" t="str" cm="1">
        <f t="array" ref="Z40">_xlfn.IFS(W40&lt;60000,"LOWERTarget",W40&lt;80000,"Medium Target",W40,"Highe Target")</f>
        <v>LOWERTarget</v>
      </c>
      <c r="AA40" s="8" t="s">
        <v>39</v>
      </c>
      <c r="AB40" s="5" t="str">
        <f>UPPER(AA40)</f>
        <v>DETAILED ANALYSIS</v>
      </c>
      <c r="AC40" s="5" t="str">
        <f>LOWER(AA40)</f>
        <v>detailed analysis</v>
      </c>
      <c r="AD40" s="5" t="str">
        <f>PROPER(AA40)</f>
        <v>Detailed Analysis</v>
      </c>
      <c r="AF40" s="6"/>
    </row>
    <row r="41" ht="14.25" customHeight="1" spans="1:35">
      <c r="A41" s="8" t="s">
        <v>253</v>
      </c>
      <c r="B41" s="8" t="s">
        <v>254</v>
      </c>
      <c r="C41" s="9">
        <f>LEN(B41)</f>
        <v>12</v>
      </c>
      <c r="D41" s="8" t="s">
        <v>44</v>
      </c>
      <c r="E41" s="8" t="str">
        <f>_xlfn.CONCAT(B41,"(",A41,")"," - ",D41)</f>
        <v>Meera Sharma(E1299) - Marketing</v>
      </c>
      <c r="F41" s="9" t="str">
        <f>LEFT(E41,FIND("-",E41))</f>
        <v>Meera Sharma(E1299) -</v>
      </c>
      <c r="G41" s="9" t="str">
        <f>RIGHT(E41,LEN(E41)-FIND("-",E41)-1)</f>
        <v>Marketing</v>
      </c>
      <c r="H41" s="9">
        <f>FIND("-",E41)</f>
        <v>21</v>
      </c>
      <c r="I41" s="9">
        <f>LEN(E41)-FIND("-",E41)</f>
        <v>10</v>
      </c>
      <c r="J41" s="8" t="s">
        <v>76</v>
      </c>
      <c r="K41" s="9" t="str">
        <f>SUBSTITUTE(J41,"a","@",1)</f>
        <v>Pune</v>
      </c>
      <c r="L41" s="8" t="s">
        <v>255</v>
      </c>
      <c r="M41" s="8" t="str">
        <f>TEXT(L41,"dddd")</f>
        <v>Monday</v>
      </c>
      <c r="N41" s="8" t="str">
        <f>LEFT(M41,3)</f>
        <v>Mon</v>
      </c>
      <c r="O41" s="8" t="str">
        <f>RIGHT(M41,3)</f>
        <v>day</v>
      </c>
      <c r="P41" s="8">
        <f>MONTH(L41)</f>
        <v>8</v>
      </c>
      <c r="Q41" s="8">
        <f>YEAR(L41)</f>
        <v>2022</v>
      </c>
      <c r="R41" s="8" t="s">
        <v>256</v>
      </c>
      <c r="S41" s="8">
        <f>HOUR(R41)</f>
        <v>9</v>
      </c>
      <c r="T41" s="8">
        <f>MINUTE(R41)</f>
        <v>58</v>
      </c>
      <c r="U41" s="8">
        <f>SECOND(R41)</f>
        <v>5</v>
      </c>
      <c r="V41" s="8">
        <v>41890</v>
      </c>
      <c r="W41" s="8">
        <v>47606</v>
      </c>
      <c r="X41" s="9" t="str">
        <f>IF(W41&gt;50000,"Highe Target","Low Target")</f>
        <v>Low Target</v>
      </c>
      <c r="Y41" s="9" t="str">
        <f t="shared" si="0"/>
        <v>Lower Target</v>
      </c>
      <c r="Z41" s="9" t="str" cm="1">
        <f t="array" ref="Z41">_xlfn.IFS(W41&lt;60000,"LOWERTarget",W41&lt;80000,"Medium Target",W41,"Highe Target")</f>
        <v>LOWERTarget</v>
      </c>
      <c r="AA41" s="8" t="s">
        <v>48</v>
      </c>
      <c r="AB41" s="5" t="str">
        <f>UPPER(AA41)</f>
        <v>CREATIVE IDEAS</v>
      </c>
      <c r="AC41" s="5" t="str">
        <f>LOWER(AA41)</f>
        <v>creative ideas</v>
      </c>
      <c r="AD41" s="5" t="str">
        <f>PROPER(AA41)</f>
        <v>Creative Ideas</v>
      </c>
      <c r="AF41" s="6"/>
    </row>
    <row r="42" ht="14.25" customHeight="1" spans="1:35">
      <c r="A42" s="8" t="s">
        <v>257</v>
      </c>
      <c r="B42" s="8" t="s">
        <v>258</v>
      </c>
      <c r="C42" s="9">
        <f>LEN(B42)</f>
        <v>11</v>
      </c>
      <c r="D42" s="8" t="s">
        <v>93</v>
      </c>
      <c r="E42" s="8" t="str">
        <f>_xlfn.CONCAT(B42,"(",A42,")"," - ",D42)</f>
        <v>Shreya Nair(E1124) - Sales</v>
      </c>
      <c r="F42" s="9" t="str">
        <f>LEFT(E42,FIND("-",E42))</f>
        <v>Shreya Nair(E1124) -</v>
      </c>
      <c r="G42" s="9" t="str">
        <f>RIGHT(E42,LEN(E42)-FIND("-",E42)-1)</f>
        <v>Sales</v>
      </c>
      <c r="H42" s="9">
        <f>FIND("-",E42)</f>
        <v>20</v>
      </c>
      <c r="I42" s="9">
        <f>LEN(E42)-FIND("-",E42)</f>
        <v>6</v>
      </c>
      <c r="J42" s="8" t="s">
        <v>36</v>
      </c>
      <c r="K42" s="9" t="str">
        <f>SUBSTITUTE(J42,"a","@",1)</f>
        <v>Ahmed@bad</v>
      </c>
      <c r="L42" s="8" t="s">
        <v>259</v>
      </c>
      <c r="M42" s="8" t="str">
        <f>TEXT(L42,"dddd")</f>
        <v>Friday</v>
      </c>
      <c r="N42" s="8" t="str">
        <f>LEFT(M42,3)</f>
        <v>Fri</v>
      </c>
      <c r="O42" s="8" t="str">
        <f>RIGHT(M42,3)</f>
        <v>day</v>
      </c>
      <c r="P42" s="8">
        <f>MONTH(L42)</f>
        <v>12</v>
      </c>
      <c r="Q42" s="8">
        <f>YEAR(L42)</f>
        <v>2024</v>
      </c>
      <c r="R42" s="8" t="s">
        <v>260</v>
      </c>
      <c r="S42" s="8">
        <f>HOUR(R42)</f>
        <v>9</v>
      </c>
      <c r="T42" s="8">
        <f>MINUTE(R42)</f>
        <v>41</v>
      </c>
      <c r="U42" s="8">
        <f>SECOND(R42)</f>
        <v>26</v>
      </c>
      <c r="V42" s="8">
        <v>41806</v>
      </c>
      <c r="W42" s="8">
        <v>47646</v>
      </c>
      <c r="X42" s="9" t="str">
        <f>IF(W42&gt;50000,"Highe Target","Low Target")</f>
        <v>Low Target</v>
      </c>
      <c r="Y42" s="9" t="str">
        <f t="shared" si="0"/>
        <v>Lower Target</v>
      </c>
      <c r="Z42" s="9" t="str" cm="1">
        <f t="array" ref="Z42">_xlfn.IFS(W42&lt;60000,"LOWERTarget",W42&lt;80000,"Medium Target",W42,"Highe Target")</f>
        <v>LOWERTarget</v>
      </c>
      <c r="AA42" s="8" t="s">
        <v>87</v>
      </c>
      <c r="AB42" s="5" t="str">
        <f>UPPER(AA42)</f>
        <v>EXCELLENT SERVICE</v>
      </c>
      <c r="AC42" s="5" t="str">
        <f>LOWER(AA42)</f>
        <v>excellent service</v>
      </c>
      <c r="AD42" s="5" t="str">
        <f>PROPER(AA42)</f>
        <v>Excellent Service</v>
      </c>
      <c r="AF42" s="6"/>
    </row>
    <row r="43" ht="14.25" customHeight="1" spans="1:35">
      <c r="A43" s="8" t="s">
        <v>261</v>
      </c>
      <c r="B43" s="8" t="s">
        <v>262</v>
      </c>
      <c r="C43" s="9">
        <f>LEN(B43)</f>
        <v>11</v>
      </c>
      <c r="D43" s="8" t="s">
        <v>35</v>
      </c>
      <c r="E43" s="8" t="str">
        <f>_xlfn.CONCAT(B43,"(",A43,")"," - ",D43)</f>
        <v>Priya Mehta(E1187) - Finance</v>
      </c>
      <c r="F43" s="9" t="str">
        <f>LEFT(E43,FIND("-",E43))</f>
        <v>Priya Mehta(E1187) -</v>
      </c>
      <c r="G43" s="9" t="str">
        <f>RIGHT(E43,LEN(E43)-FIND("-",E43)-1)</f>
        <v>Finance</v>
      </c>
      <c r="H43" s="9">
        <f>FIND("-",E43)</f>
        <v>20</v>
      </c>
      <c r="I43" s="9">
        <f>LEN(E43)-FIND("-",E43)</f>
        <v>8</v>
      </c>
      <c r="J43" s="8" t="s">
        <v>172</v>
      </c>
      <c r="K43" s="9" t="str">
        <f>SUBSTITUTE(J43,"a","@",1)</f>
        <v>Hyder@bad</v>
      </c>
      <c r="L43" s="8" t="s">
        <v>263</v>
      </c>
      <c r="M43" s="8" t="str">
        <f>TEXT(L43,"dddd")</f>
        <v>Thursday</v>
      </c>
      <c r="N43" s="8" t="str">
        <f>LEFT(M43,3)</f>
        <v>Thu</v>
      </c>
      <c r="O43" s="8" t="str">
        <f>RIGHT(M43,3)</f>
        <v>day</v>
      </c>
      <c r="P43" s="8">
        <f>MONTH(L43)</f>
        <v>4</v>
      </c>
      <c r="Q43" s="8">
        <f>YEAR(L43)</f>
        <v>2021</v>
      </c>
      <c r="R43" s="8" t="s">
        <v>264</v>
      </c>
      <c r="S43" s="8">
        <f>HOUR(R43)</f>
        <v>10</v>
      </c>
      <c r="T43" s="8">
        <f>MINUTE(R43)</f>
        <v>21</v>
      </c>
      <c r="U43" s="8">
        <f>SECOND(R43)</f>
        <v>17</v>
      </c>
      <c r="V43" s="8">
        <v>57275</v>
      </c>
      <c r="W43" s="8">
        <v>48157</v>
      </c>
      <c r="X43" s="9" t="str">
        <f>IF(W43&gt;50000,"Highe Target","Low Target")</f>
        <v>Low Target</v>
      </c>
      <c r="Y43" s="9" t="str">
        <f t="shared" si="0"/>
        <v>Lower Target</v>
      </c>
      <c r="Z43" s="9" t="str" cm="1">
        <f t="array" ref="Z43">_xlfn.IFS(W43&lt;60000,"LOWERTarget",W43&lt;80000,"Medium Target",W43,"Highe Target")</f>
        <v>LOWERTarget</v>
      </c>
      <c r="AA43" s="8" t="s">
        <v>39</v>
      </c>
      <c r="AB43" s="5" t="str">
        <f>UPPER(AA43)</f>
        <v>DETAILED ANALYSIS</v>
      </c>
      <c r="AC43" s="5" t="str">
        <f>LOWER(AA43)</f>
        <v>detailed analysis</v>
      </c>
      <c r="AD43" s="5" t="str">
        <f>PROPER(AA43)</f>
        <v>Detailed Analysis</v>
      </c>
      <c r="AF43" s="6"/>
    </row>
    <row r="44" ht="14.25" customHeight="1" spans="1:35">
      <c r="A44" s="8" t="s">
        <v>265</v>
      </c>
      <c r="B44" s="8" t="s">
        <v>266</v>
      </c>
      <c r="C44" s="9">
        <f>LEN(B44)</f>
        <v>12</v>
      </c>
      <c r="D44" s="8" t="s">
        <v>93</v>
      </c>
      <c r="E44" s="8" t="str">
        <f>_xlfn.CONCAT(B44,"(",A44,")"," - ",D44)</f>
        <v>Aakash Gupta(E1204) - Sales</v>
      </c>
      <c r="F44" s="9" t="str">
        <f>LEFT(E44,FIND("-",E44))</f>
        <v>Aakash Gupta(E1204) -</v>
      </c>
      <c r="G44" s="9" t="str">
        <f>RIGHT(E44,LEN(E44)-FIND("-",E44)-1)</f>
        <v>Sales</v>
      </c>
      <c r="H44" s="9">
        <f>FIND("-",E44)</f>
        <v>21</v>
      </c>
      <c r="I44" s="9">
        <f>LEN(E44)-FIND("-",E44)</f>
        <v>6</v>
      </c>
      <c r="J44" s="8" t="s">
        <v>61</v>
      </c>
      <c r="K44" s="9" t="str">
        <f>SUBSTITUTE(J44,"a","@",1)</f>
        <v>Chenn@i</v>
      </c>
      <c r="L44" s="8" t="s">
        <v>267</v>
      </c>
      <c r="M44" s="8" t="str">
        <f>TEXT(L44,"dddd")</f>
        <v>Monday</v>
      </c>
      <c r="N44" s="8" t="str">
        <f>LEFT(M44,3)</f>
        <v>Mon</v>
      </c>
      <c r="O44" s="8" t="str">
        <f>RIGHT(M44,3)</f>
        <v>day</v>
      </c>
      <c r="P44" s="8">
        <f>MONTH(L44)</f>
        <v>2</v>
      </c>
      <c r="Q44" s="8">
        <f>YEAR(L44)</f>
        <v>2022</v>
      </c>
      <c r="R44" s="8" t="s">
        <v>268</v>
      </c>
      <c r="S44" s="8">
        <f>HOUR(R44)</f>
        <v>10</v>
      </c>
      <c r="T44" s="8">
        <f>MINUTE(R44)</f>
        <v>35</v>
      </c>
      <c r="U44" s="8">
        <f>SECOND(R44)</f>
        <v>17</v>
      </c>
      <c r="V44" s="8">
        <v>53048</v>
      </c>
      <c r="W44" s="8">
        <v>48203</v>
      </c>
      <c r="X44" s="9" t="str">
        <f>IF(W44&gt;50000,"Highe Target","Low Target")</f>
        <v>Low Target</v>
      </c>
      <c r="Y44" s="9" t="str">
        <f t="shared" si="0"/>
        <v>Lower Target</v>
      </c>
      <c r="Z44" s="9" t="str" cm="1">
        <f t="array" ref="Z44">_xlfn.IFS(W44&lt;60000,"LOWERTarget",W44&lt;80000,"Medium Target",W44,"Highe Target")</f>
        <v>LOWERTarget</v>
      </c>
      <c r="AA44" s="8" t="s">
        <v>79</v>
      </c>
      <c r="AB44" s="5" t="str">
        <f>UPPER(AA44)</f>
        <v>EXCELLENT LEADERSHIP</v>
      </c>
      <c r="AC44" s="5" t="str">
        <f>LOWER(AA44)</f>
        <v>excellent leadership</v>
      </c>
      <c r="AD44" s="5" t="str">
        <f>PROPER(AA44)</f>
        <v>Excellent Leadership</v>
      </c>
      <c r="AF44" s="6"/>
    </row>
    <row r="45" ht="14.25" customHeight="1" spans="1:35">
      <c r="A45" s="8" t="s">
        <v>269</v>
      </c>
      <c r="B45" s="8" t="s">
        <v>270</v>
      </c>
      <c r="C45" s="9">
        <f>LEN(B45)</f>
        <v>11</v>
      </c>
      <c r="D45" s="8" t="s">
        <v>44</v>
      </c>
      <c r="E45" s="8" t="str">
        <f>_xlfn.CONCAT(B45,"(",A45,")"," - ",D45)</f>
        <v>Priya Gupta(E1125) - Marketing</v>
      </c>
      <c r="F45" s="9" t="str">
        <f>LEFT(E45,FIND("-",E45))</f>
        <v>Priya Gupta(E1125) -</v>
      </c>
      <c r="G45" s="9" t="str">
        <f>RIGHT(E45,LEN(E45)-FIND("-",E45)-1)</f>
        <v>Marketing</v>
      </c>
      <c r="H45" s="9">
        <f>FIND("-",E45)</f>
        <v>20</v>
      </c>
      <c r="I45" s="9">
        <f>LEN(E45)-FIND("-",E45)</f>
        <v>10</v>
      </c>
      <c r="J45" s="8" t="s">
        <v>76</v>
      </c>
      <c r="K45" s="9" t="str">
        <f>SUBSTITUTE(J45,"a","@",1)</f>
        <v>Pune</v>
      </c>
      <c r="L45" s="8" t="s">
        <v>271</v>
      </c>
      <c r="M45" s="8" t="str">
        <f>TEXT(L45,"dddd")</f>
        <v>Monday</v>
      </c>
      <c r="N45" s="8" t="str">
        <f>LEFT(M45,3)</f>
        <v>Mon</v>
      </c>
      <c r="O45" s="8" t="str">
        <f>RIGHT(M45,3)</f>
        <v>day</v>
      </c>
      <c r="P45" s="8">
        <f>MONTH(L45)</f>
        <v>7</v>
      </c>
      <c r="Q45" s="8">
        <f>YEAR(L45)</f>
        <v>2021</v>
      </c>
      <c r="R45" s="8" t="s">
        <v>272</v>
      </c>
      <c r="S45" s="8">
        <f>HOUR(R45)</f>
        <v>8</v>
      </c>
      <c r="T45" s="8">
        <f>MINUTE(R45)</f>
        <v>56</v>
      </c>
      <c r="U45" s="8">
        <f>SECOND(R45)</f>
        <v>34</v>
      </c>
      <c r="V45" s="8">
        <v>59360</v>
      </c>
      <c r="W45" s="8">
        <v>48890</v>
      </c>
      <c r="X45" s="9" t="str">
        <f>IF(W45&gt;50000,"Highe Target","Low Target")</f>
        <v>Low Target</v>
      </c>
      <c r="Y45" s="9" t="str">
        <f t="shared" si="0"/>
        <v>Lower Target</v>
      </c>
      <c r="Z45" s="9" t="str" cm="1">
        <f t="array" ref="Z45">_xlfn.IFS(W45&lt;60000,"LOWERTarget",W45&lt;80000,"Medium Target",W45,"Highe Target")</f>
        <v>LOWERTarget</v>
      </c>
      <c r="AA45" s="8" t="s">
        <v>56</v>
      </c>
      <c r="AB45" s="5" t="str">
        <f>UPPER(AA45)</f>
        <v>   HELPFUL ATTITUDE   </v>
      </c>
      <c r="AC45" s="5" t="str">
        <f>LOWER(AA45)</f>
        <v>   helpful attitude   </v>
      </c>
      <c r="AD45" s="5" t="str">
        <f>PROPER(AA45)</f>
        <v>   Helpful Attitude   </v>
      </c>
      <c r="AF45" s="6"/>
    </row>
    <row r="46" ht="14.25" customHeight="1" spans="1:35">
      <c r="A46" s="8" t="s">
        <v>273</v>
      </c>
      <c r="B46" s="8" t="s">
        <v>274</v>
      </c>
      <c r="C46" s="9">
        <f>LEN(B46)</f>
        <v>12</v>
      </c>
      <c r="D46" s="8" t="s">
        <v>93</v>
      </c>
      <c r="E46" s="8" t="str">
        <f>_xlfn.CONCAT(B46,"(",A46,")"," - ",D46)</f>
        <v>Madhuri Shah(E1277) - Sales</v>
      </c>
      <c r="F46" s="9" t="str">
        <f>LEFT(E46,FIND("-",E46))</f>
        <v>Madhuri Shah(E1277) -</v>
      </c>
      <c r="G46" s="9" t="str">
        <f>RIGHT(E46,LEN(E46)-FIND("-",E46)-1)</f>
        <v>Sales</v>
      </c>
      <c r="H46" s="9">
        <f>FIND("-",E46)</f>
        <v>21</v>
      </c>
      <c r="I46" s="9">
        <f>LEN(E46)-FIND("-",E46)</f>
        <v>6</v>
      </c>
      <c r="J46" s="8" t="s">
        <v>53</v>
      </c>
      <c r="K46" s="9" t="str">
        <f>SUBSTITUTE(J46,"a","@",1)</f>
        <v>Delhi</v>
      </c>
      <c r="L46" s="8" t="s">
        <v>275</v>
      </c>
      <c r="M46" s="8" t="str">
        <f>TEXT(L46,"dddd")</f>
        <v>Friday</v>
      </c>
      <c r="N46" s="8" t="str">
        <f>LEFT(M46,3)</f>
        <v>Fri</v>
      </c>
      <c r="O46" s="8" t="str">
        <f>RIGHT(M46,3)</f>
        <v>day</v>
      </c>
      <c r="P46" s="8">
        <f>MONTH(L46)</f>
        <v>10</v>
      </c>
      <c r="Q46" s="8">
        <f>YEAR(L46)</f>
        <v>2022</v>
      </c>
      <c r="R46" s="8" t="s">
        <v>276</v>
      </c>
      <c r="S46" s="8">
        <f>HOUR(R46)</f>
        <v>8</v>
      </c>
      <c r="T46" s="8">
        <f>MINUTE(R46)</f>
        <v>13</v>
      </c>
      <c r="U46" s="8">
        <f>SECOND(R46)</f>
        <v>37</v>
      </c>
      <c r="V46" s="8">
        <v>60551</v>
      </c>
      <c r="W46" s="8">
        <v>49449</v>
      </c>
      <c r="X46" s="9" t="str">
        <f>IF(W46&gt;50000,"Highe Target","Low Target")</f>
        <v>Low Target</v>
      </c>
      <c r="Y46" s="9" t="str">
        <f t="shared" si="0"/>
        <v>Lower Target</v>
      </c>
      <c r="Z46" s="9" t="str" cm="1">
        <f t="array" ref="Z46">_xlfn.IFS(W46&lt;60000,"LOWERTarget",W46&lt;80000,"Medium Target",W46,"Highe Target")</f>
        <v>LOWERTarget</v>
      </c>
      <c r="AA46" s="8" t="s">
        <v>71</v>
      </c>
      <c r="AB46" s="5" t="str">
        <f>UPPER(AA46)</f>
        <v>GREAT SUPPORT</v>
      </c>
      <c r="AC46" s="5" t="str">
        <f>LOWER(AA46)</f>
        <v>great support</v>
      </c>
      <c r="AD46" s="5" t="str">
        <f>PROPER(AA46)</f>
        <v>Great Support</v>
      </c>
      <c r="AF46" s="6"/>
    </row>
    <row r="47" ht="14.25" customHeight="1" spans="1:35">
      <c r="A47" s="8" t="s">
        <v>277</v>
      </c>
      <c r="B47" s="8" t="s">
        <v>278</v>
      </c>
      <c r="C47" s="9">
        <f>LEN(B47)</f>
        <v>14</v>
      </c>
      <c r="D47" s="8" t="s">
        <v>44</v>
      </c>
      <c r="E47" s="8" t="str">
        <f>_xlfn.CONCAT(B47,"(",A47,")"," - ",D47)</f>
        <v>Siddharth Shah(E1101) - Marketing</v>
      </c>
      <c r="F47" s="9" t="str">
        <f>LEFT(E47,FIND("-",E47))</f>
        <v>Siddharth Shah(E1101) -</v>
      </c>
      <c r="G47" s="9" t="str">
        <f>RIGHT(E47,LEN(E47)-FIND("-",E47)-1)</f>
        <v>Marketing</v>
      </c>
      <c r="H47" s="9">
        <f>FIND("-",E47)</f>
        <v>23</v>
      </c>
      <c r="I47" s="9">
        <f>LEN(E47)-FIND("-",E47)</f>
        <v>10</v>
      </c>
      <c r="J47" s="8" t="s">
        <v>36</v>
      </c>
      <c r="K47" s="9" t="str">
        <f>SUBSTITUTE(J47,"a","@",1)</f>
        <v>Ahmed@bad</v>
      </c>
      <c r="L47" s="8" t="s">
        <v>279</v>
      </c>
      <c r="M47" s="8" t="str">
        <f>TEXT(L47,"dddd")</f>
        <v>Saturday</v>
      </c>
      <c r="N47" s="8" t="str">
        <f>LEFT(M47,3)</f>
        <v>Sat</v>
      </c>
      <c r="O47" s="8" t="str">
        <f>RIGHT(M47,3)</f>
        <v>day</v>
      </c>
      <c r="P47" s="8">
        <f>MONTH(L47)</f>
        <v>8</v>
      </c>
      <c r="Q47" s="8">
        <f>YEAR(L47)</f>
        <v>2023</v>
      </c>
      <c r="R47" s="8" t="s">
        <v>280</v>
      </c>
      <c r="S47" s="8">
        <f>HOUR(R47)</f>
        <v>8</v>
      </c>
      <c r="T47" s="8">
        <f>MINUTE(R47)</f>
        <v>29</v>
      </c>
      <c r="U47" s="8">
        <f>SECOND(R47)</f>
        <v>35</v>
      </c>
      <c r="V47" s="8">
        <v>59617</v>
      </c>
      <c r="W47" s="8">
        <v>49479</v>
      </c>
      <c r="X47" s="9" t="str">
        <f>IF(W47&gt;50000,"Highe Target","Low Target")</f>
        <v>Low Target</v>
      </c>
      <c r="Y47" s="9" t="str">
        <f t="shared" si="0"/>
        <v>Lower Target</v>
      </c>
      <c r="Z47" s="9" t="str" cm="1">
        <f t="array" ref="Z47">_xlfn.IFS(W47&lt;60000,"LOWERTarget",W47&lt;80000,"Medium Target",W47,"Highe Target")</f>
        <v>LOWERTarget</v>
      </c>
      <c r="AA47" s="8" t="s">
        <v>126</v>
      </c>
      <c r="AB47" s="5" t="str">
        <f>UPPER(AA47)</f>
        <v>ACCURATE REPORTS</v>
      </c>
      <c r="AC47" s="5" t="str">
        <f>LOWER(AA47)</f>
        <v>accurate reports</v>
      </c>
      <c r="AD47" s="5" t="str">
        <f>PROPER(AA47)</f>
        <v>Accurate Reports</v>
      </c>
      <c r="AF47" s="6"/>
    </row>
    <row r="48" ht="14.25" customHeight="1" spans="1:35">
      <c r="A48" s="8" t="s">
        <v>281</v>
      </c>
      <c r="B48" s="8" t="s">
        <v>282</v>
      </c>
      <c r="C48" s="9">
        <f>LEN(B48)</f>
        <v>11</v>
      </c>
      <c r="D48" s="8" t="s">
        <v>44</v>
      </c>
      <c r="E48" s="8" t="str">
        <f>_xlfn.CONCAT(B48,"(",A48,")"," - ",D48)</f>
        <v>Nidhi Singh(E1135) - Marketing</v>
      </c>
      <c r="F48" s="9" t="str">
        <f>LEFT(E48,FIND("-",E48))</f>
        <v>Nidhi Singh(E1135) -</v>
      </c>
      <c r="G48" s="9" t="str">
        <f>RIGHT(E48,LEN(E48)-FIND("-",E48)-1)</f>
        <v>Marketing</v>
      </c>
      <c r="H48" s="9">
        <f>FIND("-",E48)</f>
        <v>20</v>
      </c>
      <c r="I48" s="9">
        <f>LEN(E48)-FIND("-",E48)</f>
        <v>10</v>
      </c>
      <c r="J48" s="8" t="s">
        <v>36</v>
      </c>
      <c r="K48" s="9" t="str">
        <f>SUBSTITUTE(J48,"a","@",1)</f>
        <v>Ahmed@bad</v>
      </c>
      <c r="L48" s="8" t="s">
        <v>283</v>
      </c>
      <c r="M48" s="8" t="str">
        <f>TEXT(L48,"dddd")</f>
        <v>Monday</v>
      </c>
      <c r="N48" s="8" t="str">
        <f>LEFT(M48,3)</f>
        <v>Mon</v>
      </c>
      <c r="O48" s="8" t="str">
        <f>RIGHT(M48,3)</f>
        <v>day</v>
      </c>
      <c r="P48" s="8">
        <f>MONTH(L48)</f>
        <v>5</v>
      </c>
      <c r="Q48" s="8">
        <f>YEAR(L48)</f>
        <v>2021</v>
      </c>
      <c r="R48" s="8" t="s">
        <v>284</v>
      </c>
      <c r="S48" s="8">
        <f>HOUR(R48)</f>
        <v>8</v>
      </c>
      <c r="T48" s="8">
        <f>MINUTE(R48)</f>
        <v>20</v>
      </c>
      <c r="U48" s="8">
        <f>SECOND(R48)</f>
        <v>38</v>
      </c>
      <c r="V48" s="8">
        <v>39025</v>
      </c>
      <c r="W48" s="8">
        <v>49721</v>
      </c>
      <c r="X48" s="9" t="str">
        <f>IF(W48&gt;50000,"Highe Target","Low Target")</f>
        <v>Low Target</v>
      </c>
      <c r="Y48" s="9" t="str">
        <f t="shared" si="0"/>
        <v>Lower Target</v>
      </c>
      <c r="Z48" s="9" t="str" cm="1">
        <f t="array" ref="Z48">_xlfn.IFS(W48&lt;60000,"LOWERTarget",W48&lt;80000,"Medium Target",W48,"Highe Target")</f>
        <v>LOWERTarget</v>
      </c>
      <c r="AA48" s="8" t="s">
        <v>285</v>
      </c>
      <c r="AB48" s="5" t="str">
        <f>UPPER(AA48)</f>
        <v>QUICK RESPONSE</v>
      </c>
      <c r="AC48" s="5" t="str">
        <f>LOWER(AA48)</f>
        <v>quick response</v>
      </c>
      <c r="AD48" s="5" t="str">
        <f>PROPER(AA48)</f>
        <v>Quick Response</v>
      </c>
      <c r="AF48" s="6"/>
    </row>
    <row r="49" ht="14.25" customHeight="1" spans="1:32">
      <c r="A49" s="8" t="s">
        <v>286</v>
      </c>
      <c r="B49" s="8" t="s">
        <v>68</v>
      </c>
      <c r="C49" s="9">
        <f>LEN(B49)</f>
        <v>12</v>
      </c>
      <c r="D49" s="8" t="s">
        <v>60</v>
      </c>
      <c r="E49" s="8" t="str">
        <f>_xlfn.CONCAT(B49,"(",A49,")"," - ",D49)</f>
        <v>Tanya Mishra(E1089) - HR</v>
      </c>
      <c r="F49" s="9" t="str">
        <f>LEFT(E49,FIND("-",E49))</f>
        <v>Tanya Mishra(E1089) -</v>
      </c>
      <c r="G49" s="9" t="str">
        <f>RIGHT(E49,LEN(E49)-FIND("-",E49)-1)</f>
        <v>HR</v>
      </c>
      <c r="H49" s="9">
        <f>FIND("-",E49)</f>
        <v>21</v>
      </c>
      <c r="I49" s="9">
        <f>LEN(E49)-FIND("-",E49)</f>
        <v>3</v>
      </c>
      <c r="J49" s="8" t="s">
        <v>182</v>
      </c>
      <c r="K49" s="9" t="str">
        <f>SUBSTITUTE(J49,"a","@",1)</f>
        <v>Kolk@ta</v>
      </c>
      <c r="L49" s="8" t="s">
        <v>287</v>
      </c>
      <c r="M49" s="8" t="str">
        <f>TEXT(L49,"dddd")</f>
        <v>Tuesday</v>
      </c>
      <c r="N49" s="8" t="str">
        <f>LEFT(M49,3)</f>
        <v>Tue</v>
      </c>
      <c r="O49" s="8" t="str">
        <f>RIGHT(M49,3)</f>
        <v>day</v>
      </c>
      <c r="P49" s="8">
        <f>MONTH(L49)</f>
        <v>8</v>
      </c>
      <c r="Q49" s="8">
        <f>YEAR(L49)</f>
        <v>2021</v>
      </c>
      <c r="R49" s="8" t="s">
        <v>288</v>
      </c>
      <c r="S49" s="8">
        <f>HOUR(R49)</f>
        <v>10</v>
      </c>
      <c r="T49" s="8">
        <f>MINUTE(R49)</f>
        <v>14</v>
      </c>
      <c r="U49" s="8">
        <f>SECOND(R49)</f>
        <v>41</v>
      </c>
      <c r="V49" s="8">
        <v>52172</v>
      </c>
      <c r="W49" s="8">
        <v>49764</v>
      </c>
      <c r="X49" s="9" t="str">
        <f>IF(W49&gt;50000,"Highe Target","Low Target")</f>
        <v>Low Target</v>
      </c>
      <c r="Y49" s="9" t="str">
        <f t="shared" si="0"/>
        <v>Lower Target</v>
      </c>
      <c r="Z49" s="9" t="str" cm="1">
        <f t="array" ref="Z49">_xlfn.IFS(W49&lt;60000,"LOWERTarget",W49&lt;80000,"Medium Target",W49,"Highe Target")</f>
        <v>LOWERTarget</v>
      </c>
      <c r="AA49" s="8" t="s">
        <v>243</v>
      </c>
      <c r="AB49" s="5" t="str">
        <f>UPPER(AA49)</f>
        <v>POSITIVE ATTITUDE</v>
      </c>
      <c r="AC49" s="5" t="str">
        <f>LOWER(AA49)</f>
        <v>positive attitude</v>
      </c>
      <c r="AD49" s="5" t="str">
        <f>PROPER(AA49)</f>
        <v>Positive Attitude</v>
      </c>
      <c r="AF49" s="6"/>
    </row>
    <row r="50" ht="14.25" customHeight="1" spans="1:32">
      <c r="A50" s="8" t="s">
        <v>289</v>
      </c>
      <c r="B50" s="8" t="s">
        <v>290</v>
      </c>
      <c r="C50" s="9">
        <f>LEN(B50)</f>
        <v>11</v>
      </c>
      <c r="D50" s="8" t="s">
        <v>35</v>
      </c>
      <c r="E50" s="8" t="str">
        <f>_xlfn.CONCAT(B50,"(",A50,")"," - ",D50)</f>
        <v>Nisha Singh(E1138) - Finance</v>
      </c>
      <c r="F50" s="9" t="str">
        <f>LEFT(E50,FIND("-",E50))</f>
        <v>Nisha Singh(E1138) -</v>
      </c>
      <c r="G50" s="9" t="str">
        <f>RIGHT(E50,LEN(E50)-FIND("-",E50)-1)</f>
        <v>Finance</v>
      </c>
      <c r="H50" s="9">
        <f>FIND("-",E50)</f>
        <v>20</v>
      </c>
      <c r="I50" s="9">
        <f>LEN(E50)-FIND("-",E50)</f>
        <v>8</v>
      </c>
      <c r="J50" s="8" t="s">
        <v>182</v>
      </c>
      <c r="K50" s="9" t="str">
        <f>SUBSTITUTE(J50,"a","@",1)</f>
        <v>Kolk@ta</v>
      </c>
      <c r="L50" s="8" t="s">
        <v>291</v>
      </c>
      <c r="M50" s="8" t="str">
        <f>TEXT(L50,"dddd")</f>
        <v>Monday</v>
      </c>
      <c r="N50" s="8" t="str">
        <f>LEFT(M50,3)</f>
        <v>Mon</v>
      </c>
      <c r="O50" s="8" t="str">
        <f>RIGHT(M50,3)</f>
        <v>day</v>
      </c>
      <c r="P50" s="8">
        <f>MONTH(L50)</f>
        <v>10</v>
      </c>
      <c r="Q50" s="8">
        <f>YEAR(L50)</f>
        <v>2022</v>
      </c>
      <c r="R50" s="8" t="s">
        <v>292</v>
      </c>
      <c r="S50" s="8">
        <f>HOUR(R50)</f>
        <v>10</v>
      </c>
      <c r="T50" s="8">
        <f>MINUTE(R50)</f>
        <v>16</v>
      </c>
      <c r="U50" s="8">
        <f>SECOND(R50)</f>
        <v>23</v>
      </c>
      <c r="V50" s="8">
        <v>66084</v>
      </c>
      <c r="W50" s="8">
        <v>50003</v>
      </c>
      <c r="X50" s="9" t="str">
        <f>IF(W50&gt;50000,"Highe Target","Low Target")</f>
        <v>Highe Target</v>
      </c>
      <c r="Y50" s="9" t="str">
        <f t="shared" si="0"/>
        <v>Highe target</v>
      </c>
      <c r="Z50" s="9" t="str" cm="1">
        <f t="array" ref="Z50">_xlfn.IFS(W50&lt;60000,"LOWERTarget",W50&lt;80000,"Medium Target",W50,"Highe Target")</f>
        <v>LOWERTarget</v>
      </c>
      <c r="AA50" s="8" t="s">
        <v>160</v>
      </c>
      <c r="AB50" s="5" t="str">
        <f>UPPER(AA50)</f>
        <v>GOOD COMMUNICATION</v>
      </c>
      <c r="AC50" s="5" t="str">
        <f>LOWER(AA50)</f>
        <v>good communication</v>
      </c>
      <c r="AD50" s="5" t="str">
        <f>PROPER(AA50)</f>
        <v>Good Communication</v>
      </c>
      <c r="AF50" s="6"/>
    </row>
    <row r="51" ht="14.25" customHeight="1" spans="1:32">
      <c r="A51" s="8" t="s">
        <v>293</v>
      </c>
      <c r="B51" s="8" t="s">
        <v>294</v>
      </c>
      <c r="C51" s="9">
        <f>LEN(B51)</f>
        <v>12</v>
      </c>
      <c r="D51" s="8" t="s">
        <v>93</v>
      </c>
      <c r="E51" s="8" t="str">
        <f>_xlfn.CONCAT(B51,"(",A51,")"," - ",D51)</f>
        <v>Sneha Saxena(E1016) - Sales</v>
      </c>
      <c r="F51" s="9" t="str">
        <f>LEFT(E51,FIND("-",E51))</f>
        <v>Sneha Saxena(E1016) -</v>
      </c>
      <c r="G51" s="9" t="str">
        <f>RIGHT(E51,LEN(E51)-FIND("-",E51)-1)</f>
        <v>Sales</v>
      </c>
      <c r="H51" s="9">
        <f>FIND("-",E51)</f>
        <v>21</v>
      </c>
      <c r="I51" s="9">
        <f>LEN(E51)-FIND("-",E51)</f>
        <v>6</v>
      </c>
      <c r="J51" s="8" t="s">
        <v>61</v>
      </c>
      <c r="K51" s="9" t="str">
        <f>SUBSTITUTE(J51,"a","@",1)</f>
        <v>Chenn@i</v>
      </c>
      <c r="L51" s="8" t="s">
        <v>295</v>
      </c>
      <c r="M51" s="8" t="str">
        <f>TEXT(L51,"dddd")</f>
        <v>Thursday</v>
      </c>
      <c r="N51" s="8" t="str">
        <f>LEFT(M51,3)</f>
        <v>Thu</v>
      </c>
      <c r="O51" s="8" t="str">
        <f>RIGHT(M51,3)</f>
        <v>day</v>
      </c>
      <c r="P51" s="8">
        <f>MONTH(L51)</f>
        <v>8</v>
      </c>
      <c r="Q51" s="8">
        <f>YEAR(L51)</f>
        <v>2024</v>
      </c>
      <c r="R51" s="8" t="s">
        <v>296</v>
      </c>
      <c r="S51" s="8">
        <f>HOUR(R51)</f>
        <v>10</v>
      </c>
      <c r="T51" s="8">
        <f>MINUTE(R51)</f>
        <v>38</v>
      </c>
      <c r="U51" s="8">
        <f>SECOND(R51)</f>
        <v>12</v>
      </c>
      <c r="V51" s="8">
        <v>59520</v>
      </c>
      <c r="W51" s="8">
        <v>50016</v>
      </c>
      <c r="X51" s="9" t="str">
        <f>IF(W51&gt;50000,"Highe Target","Low Target")</f>
        <v>Highe Target</v>
      </c>
      <c r="Y51" s="9" t="str">
        <f t="shared" si="0"/>
        <v>Highe target</v>
      </c>
      <c r="Z51" s="9" t="str" cm="1">
        <f t="array" ref="Z51">_xlfn.IFS(W51&lt;60000,"LOWERTarget",W51&lt;80000,"Medium Target",W51,"Highe Target")</f>
        <v>LOWERTarget</v>
      </c>
      <c r="AA51" s="8" t="s">
        <v>118</v>
      </c>
      <c r="AB51" s="5" t="str">
        <f>UPPER(AA51)</f>
        <v>CUSTOMER FOCUSED</v>
      </c>
      <c r="AC51" s="5" t="str">
        <f>LOWER(AA51)</f>
        <v>customer focused</v>
      </c>
      <c r="AD51" s="5" t="str">
        <f>PROPER(AA51)</f>
        <v>Customer Focused</v>
      </c>
      <c r="AF51" s="6"/>
    </row>
    <row r="52" ht="14.25" customHeight="1" spans="1:32">
      <c r="A52" s="8" t="s">
        <v>297</v>
      </c>
      <c r="B52" s="8" t="s">
        <v>298</v>
      </c>
      <c r="C52" s="9">
        <f>LEN(B52)</f>
        <v>11</v>
      </c>
      <c r="D52" s="8" t="s">
        <v>93</v>
      </c>
      <c r="E52" s="8" t="str">
        <f>_xlfn.CONCAT(B52,"(",A52,")"," - ",D52)</f>
        <v>Harsh Goyal(E1169) - Sales</v>
      </c>
      <c r="F52" s="9" t="str">
        <f>LEFT(E52,FIND("-",E52))</f>
        <v>Harsh Goyal(E1169) -</v>
      </c>
      <c r="G52" s="9" t="str">
        <f>RIGHT(E52,LEN(E52)-FIND("-",E52)-1)</f>
        <v>Sales</v>
      </c>
      <c r="H52" s="9">
        <f>FIND("-",E52)</f>
        <v>20</v>
      </c>
      <c r="I52" s="9">
        <f>LEN(E52)-FIND("-",E52)</f>
        <v>6</v>
      </c>
      <c r="J52" s="8" t="s">
        <v>172</v>
      </c>
      <c r="K52" s="9" t="str">
        <f>SUBSTITUTE(J52,"a","@",1)</f>
        <v>Hyder@bad</v>
      </c>
      <c r="L52" s="8" t="s">
        <v>299</v>
      </c>
      <c r="M52" s="8" t="str">
        <f>TEXT(L52,"dddd")</f>
        <v>Wednesday</v>
      </c>
      <c r="N52" s="8" t="str">
        <f>LEFT(M52,3)</f>
        <v>Wed</v>
      </c>
      <c r="O52" s="8" t="str">
        <f>RIGHT(M52,3)</f>
        <v>day</v>
      </c>
      <c r="P52" s="8">
        <f>MONTH(L52)</f>
        <v>6</v>
      </c>
      <c r="Q52" s="8">
        <f>YEAR(L52)</f>
        <v>2024</v>
      </c>
      <c r="R52" s="8" t="s">
        <v>300</v>
      </c>
      <c r="S52" s="8">
        <f>HOUR(R52)</f>
        <v>8</v>
      </c>
      <c r="T52" s="8">
        <f>MINUTE(R52)</f>
        <v>38</v>
      </c>
      <c r="U52" s="8">
        <f>SECOND(R52)</f>
        <v>24</v>
      </c>
      <c r="V52" s="8">
        <v>45742</v>
      </c>
      <c r="W52" s="8">
        <v>50109</v>
      </c>
      <c r="X52" s="9" t="str">
        <f>IF(W52&gt;50000,"Highe Target","Low Target")</f>
        <v>Highe Target</v>
      </c>
      <c r="Y52" s="9" t="str">
        <f t="shared" si="0"/>
        <v>Highe target</v>
      </c>
      <c r="Z52" s="9" t="str" cm="1">
        <f t="array" ref="Z52">_xlfn.IFS(W52&lt;60000,"LOWERTarget",W52&lt;80000,"Medium Target",W52,"Highe Target")</f>
        <v>LOWERTarget</v>
      </c>
      <c r="AA52" s="8" t="s">
        <v>285</v>
      </c>
      <c r="AB52" s="5" t="str">
        <f>UPPER(AA52)</f>
        <v>QUICK RESPONSE</v>
      </c>
      <c r="AC52" s="5" t="str">
        <f>LOWER(AA52)</f>
        <v>quick response</v>
      </c>
      <c r="AD52" s="5" t="str">
        <f>PROPER(AA52)</f>
        <v>Quick Response</v>
      </c>
      <c r="AF52" s="6"/>
    </row>
    <row r="53" ht="14.25" customHeight="1" spans="1:32">
      <c r="A53" s="8" t="s">
        <v>301</v>
      </c>
      <c r="B53" s="8" t="s">
        <v>302</v>
      </c>
      <c r="C53" s="9">
        <f>LEN(B53)</f>
        <v>11</v>
      </c>
      <c r="D53" s="8" t="s">
        <v>93</v>
      </c>
      <c r="E53" s="8" t="str">
        <f>_xlfn.CONCAT(B53,"(",A53,")"," - ",D53)</f>
        <v>Yash Sharma(E1145) - Sales</v>
      </c>
      <c r="F53" s="9" t="str">
        <f>LEFT(E53,FIND("-",E53))</f>
        <v>Yash Sharma(E1145) -</v>
      </c>
      <c r="G53" s="9" t="str">
        <f>RIGHT(E53,LEN(E53)-FIND("-",E53)-1)</f>
        <v>Sales</v>
      </c>
      <c r="H53" s="9">
        <f>FIND("-",E53)</f>
        <v>20</v>
      </c>
      <c r="I53" s="9">
        <f>LEN(E53)-FIND("-",E53)</f>
        <v>6</v>
      </c>
      <c r="J53" s="8" t="s">
        <v>45</v>
      </c>
      <c r="K53" s="9" t="str">
        <f>SUBSTITUTE(J53,"a","@",1)</f>
        <v>B@ngalore</v>
      </c>
      <c r="L53" s="8" t="s">
        <v>303</v>
      </c>
      <c r="M53" s="8" t="str">
        <f>TEXT(L53,"dddd")</f>
        <v>Friday</v>
      </c>
      <c r="N53" s="8" t="str">
        <f>LEFT(M53,3)</f>
        <v>Fri</v>
      </c>
      <c r="O53" s="8" t="str">
        <f>RIGHT(M53,3)</f>
        <v>day</v>
      </c>
      <c r="P53" s="8">
        <f>MONTH(L53)</f>
        <v>2</v>
      </c>
      <c r="Q53" s="8">
        <f>YEAR(L53)</f>
        <v>2023</v>
      </c>
      <c r="R53" s="8" t="s">
        <v>304</v>
      </c>
      <c r="S53" s="8">
        <f>HOUR(R53)</f>
        <v>9</v>
      </c>
      <c r="T53" s="8">
        <f>MINUTE(R53)</f>
        <v>29</v>
      </c>
      <c r="U53" s="8">
        <f>SECOND(R53)</f>
        <v>21</v>
      </c>
      <c r="V53" s="8">
        <v>59566</v>
      </c>
      <c r="W53" s="8">
        <v>50315</v>
      </c>
      <c r="X53" s="9" t="str">
        <f>IF(W53&gt;50000,"Highe Target","Low Target")</f>
        <v>Highe Target</v>
      </c>
      <c r="Y53" s="9" t="str">
        <f t="shared" si="0"/>
        <v>Highe target</v>
      </c>
      <c r="Z53" s="9" t="str" cm="1">
        <f t="array" ref="Z53">_xlfn.IFS(W53&lt;60000,"LOWERTarget",W53&lt;80000,"Medium Target",W53,"Highe Target")</f>
        <v>LOWERTarget</v>
      </c>
      <c r="AA53" s="8" t="s">
        <v>64</v>
      </c>
      <c r="AB53" s="5" t="str">
        <f>UPPER(AA53)</f>
        <v>NEEDS IMPROVEMENT</v>
      </c>
      <c r="AC53" s="5" t="str">
        <f>LOWER(AA53)</f>
        <v>needs improvement</v>
      </c>
      <c r="AD53" s="5" t="str">
        <f>PROPER(AA53)</f>
        <v>Needs Improvement</v>
      </c>
      <c r="AF53" s="6"/>
    </row>
    <row r="54" ht="14.25" customHeight="1" spans="1:32">
      <c r="A54" s="8" t="s">
        <v>305</v>
      </c>
      <c r="B54" s="8" t="s">
        <v>306</v>
      </c>
      <c r="C54" s="9">
        <f>LEN(B54)</f>
        <v>13</v>
      </c>
      <c r="D54" s="8" t="s">
        <v>44</v>
      </c>
      <c r="E54" s="8" t="str">
        <f>_xlfn.CONCAT(B54,"(",A54,")"," - ",D54)</f>
        <v>Harsh Agarwal(E1267) - Marketing</v>
      </c>
      <c r="F54" s="9" t="str">
        <f>LEFT(E54,FIND("-",E54))</f>
        <v>Harsh Agarwal(E1267) -</v>
      </c>
      <c r="G54" s="9" t="str">
        <f>RIGHT(E54,LEN(E54)-FIND("-",E54)-1)</f>
        <v>Marketing</v>
      </c>
      <c r="H54" s="9">
        <f>FIND("-",E54)</f>
        <v>22</v>
      </c>
      <c r="I54" s="9">
        <f>LEN(E54)-FIND("-",E54)</f>
        <v>10</v>
      </c>
      <c r="J54" s="8" t="s">
        <v>36</v>
      </c>
      <c r="K54" s="9" t="str">
        <f>SUBSTITUTE(J54,"a","@",1)</f>
        <v>Ahmed@bad</v>
      </c>
      <c r="L54" s="8" t="s">
        <v>307</v>
      </c>
      <c r="M54" s="8" t="str">
        <f>TEXT(L54,"dddd")</f>
        <v>Saturday</v>
      </c>
      <c r="N54" s="8" t="str">
        <f>LEFT(M54,3)</f>
        <v>Sat</v>
      </c>
      <c r="O54" s="8" t="str">
        <f>RIGHT(M54,3)</f>
        <v>day</v>
      </c>
      <c r="P54" s="8">
        <f>MONTH(L54)</f>
        <v>12</v>
      </c>
      <c r="Q54" s="8">
        <f>YEAR(L54)</f>
        <v>2021</v>
      </c>
      <c r="R54" s="8" t="s">
        <v>308</v>
      </c>
      <c r="S54" s="8">
        <f>HOUR(R54)</f>
        <v>10</v>
      </c>
      <c r="T54" s="8">
        <f>MINUTE(R54)</f>
        <v>50</v>
      </c>
      <c r="U54" s="8">
        <f>SECOND(R54)</f>
        <v>22</v>
      </c>
      <c r="V54" s="8">
        <v>45264</v>
      </c>
      <c r="W54" s="8">
        <v>51092</v>
      </c>
      <c r="X54" s="9" t="str">
        <f>IF(W54&gt;50000,"Highe Target","Low Target")</f>
        <v>Highe Target</v>
      </c>
      <c r="Y54" s="9" t="str">
        <f t="shared" si="0"/>
        <v>Highe target</v>
      </c>
      <c r="Z54" s="9" t="str" cm="1">
        <f t="array" ref="Z54">_xlfn.IFS(W54&lt;60000,"LOWERTarget",W54&lt;80000,"Medium Target",W54,"Highe Target")</f>
        <v>LOWERTarget</v>
      </c>
      <c r="AA54" s="8" t="s">
        <v>96</v>
      </c>
      <c r="AB54" s="5" t="str">
        <f>UPPER(AA54)</f>
        <v>FAST DELIVERY</v>
      </c>
      <c r="AC54" s="5" t="str">
        <f>LOWER(AA54)</f>
        <v>fast delivery</v>
      </c>
      <c r="AD54" s="5" t="str">
        <f>PROPER(AA54)</f>
        <v>Fast Delivery</v>
      </c>
      <c r="AF54" s="6"/>
    </row>
    <row r="55" ht="14.25" customHeight="1" spans="1:32">
      <c r="A55" s="8" t="s">
        <v>309</v>
      </c>
      <c r="B55" s="8" t="s">
        <v>298</v>
      </c>
      <c r="C55" s="9">
        <f>LEN(B55)</f>
        <v>11</v>
      </c>
      <c r="D55" s="8" t="s">
        <v>44</v>
      </c>
      <c r="E55" s="8" t="str">
        <f>_xlfn.CONCAT(B55,"(",A55,")"," - ",D55)</f>
        <v>Harsh Goyal(E1041) - Marketing</v>
      </c>
      <c r="F55" s="9" t="str">
        <f>LEFT(E55,FIND("-",E55))</f>
        <v>Harsh Goyal(E1041) -</v>
      </c>
      <c r="G55" s="9" t="str">
        <f>RIGHT(E55,LEN(E55)-FIND("-",E55)-1)</f>
        <v>Marketing</v>
      </c>
      <c r="H55" s="9">
        <f>FIND("-",E55)</f>
        <v>20</v>
      </c>
      <c r="I55" s="9">
        <f>LEN(E55)-FIND("-",E55)</f>
        <v>10</v>
      </c>
      <c r="J55" s="8" t="s">
        <v>53</v>
      </c>
      <c r="K55" s="9" t="str">
        <f>SUBSTITUTE(J55,"a","@",1)</f>
        <v>Delhi</v>
      </c>
      <c r="L55" s="8" t="s">
        <v>310</v>
      </c>
      <c r="M55" s="8" t="str">
        <f>TEXT(L55,"dddd")</f>
        <v>Saturday</v>
      </c>
      <c r="N55" s="8" t="str">
        <f>LEFT(M55,3)</f>
        <v>Sat</v>
      </c>
      <c r="O55" s="8" t="str">
        <f>RIGHT(M55,3)</f>
        <v>day</v>
      </c>
      <c r="P55" s="8">
        <f>MONTH(L55)</f>
        <v>4</v>
      </c>
      <c r="Q55" s="8">
        <f>YEAR(L55)</f>
        <v>2022</v>
      </c>
      <c r="R55" s="8" t="s">
        <v>311</v>
      </c>
      <c r="S55" s="8">
        <f>HOUR(R55)</f>
        <v>8</v>
      </c>
      <c r="T55" s="8">
        <f>MINUTE(R55)</f>
        <v>51</v>
      </c>
      <c r="U55" s="8">
        <f>SECOND(R55)</f>
        <v>51</v>
      </c>
      <c r="V55" s="8">
        <v>63623</v>
      </c>
      <c r="W55" s="8">
        <v>51603</v>
      </c>
      <c r="X55" s="9" t="str">
        <f>IF(W55&gt;50000,"Highe Target","Low Target")</f>
        <v>Highe Target</v>
      </c>
      <c r="Y55" s="9" t="str">
        <f t="shared" si="0"/>
        <v>Highe target</v>
      </c>
      <c r="Z55" s="9" t="str" cm="1">
        <f t="array" ref="Z55">_xlfn.IFS(W55&lt;60000,"LOWERTarget",W55&lt;80000,"Medium Target",W55,"Highe Target")</f>
        <v>LOWERTarget</v>
      </c>
      <c r="AA55" s="8" t="s">
        <v>87</v>
      </c>
      <c r="AB55" s="5" t="str">
        <f>UPPER(AA55)</f>
        <v>EXCELLENT SERVICE</v>
      </c>
      <c r="AC55" s="5" t="str">
        <f>LOWER(AA55)</f>
        <v>excellent service</v>
      </c>
      <c r="AD55" s="5" t="str">
        <f>PROPER(AA55)</f>
        <v>Excellent Service</v>
      </c>
      <c r="AF55" s="6"/>
    </row>
    <row r="56" ht="14.25" customHeight="1" spans="1:32">
      <c r="A56" s="8" t="s">
        <v>312</v>
      </c>
      <c r="B56" s="8" t="s">
        <v>313</v>
      </c>
      <c r="C56" s="9">
        <f>LEN(B56)</f>
        <v>13</v>
      </c>
      <c r="D56" s="8" t="s">
        <v>44</v>
      </c>
      <c r="E56" s="8" t="str">
        <f>_xlfn.CONCAT(B56,"(",A56,")"," - ",D56)</f>
        <v>Deepak Mishra(E1074) - Marketing</v>
      </c>
      <c r="F56" s="9" t="str">
        <f>LEFT(E56,FIND("-",E56))</f>
        <v>Deepak Mishra(E1074) -</v>
      </c>
      <c r="G56" s="9" t="str">
        <f>RIGHT(E56,LEN(E56)-FIND("-",E56)-1)</f>
        <v>Marketing</v>
      </c>
      <c r="H56" s="9">
        <f>FIND("-",E56)</f>
        <v>22</v>
      </c>
      <c r="I56" s="9">
        <f>LEN(E56)-FIND("-",E56)</f>
        <v>10</v>
      </c>
      <c r="J56" s="8" t="s">
        <v>172</v>
      </c>
      <c r="K56" s="9" t="str">
        <f>SUBSTITUTE(J56,"a","@",1)</f>
        <v>Hyder@bad</v>
      </c>
      <c r="L56" s="8" t="s">
        <v>314</v>
      </c>
      <c r="M56" s="8" t="str">
        <f>TEXT(L56,"dddd")</f>
        <v>Sunday</v>
      </c>
      <c r="N56" s="8" t="str">
        <f>LEFT(M56,3)</f>
        <v>Sun</v>
      </c>
      <c r="O56" s="8" t="str">
        <f>RIGHT(M56,3)</f>
        <v>day</v>
      </c>
      <c r="P56" s="8">
        <f>MONTH(L56)</f>
        <v>2</v>
      </c>
      <c r="Q56" s="8">
        <f>YEAR(L56)</f>
        <v>2021</v>
      </c>
      <c r="R56" s="8" t="s">
        <v>315</v>
      </c>
      <c r="S56" s="8">
        <f>HOUR(R56)</f>
        <v>9</v>
      </c>
      <c r="T56" s="8">
        <f>MINUTE(R56)</f>
        <v>54</v>
      </c>
      <c r="U56" s="8">
        <f>SECOND(R56)</f>
        <v>20</v>
      </c>
      <c r="V56" s="8">
        <v>68869</v>
      </c>
      <c r="W56" s="8">
        <v>51917</v>
      </c>
      <c r="X56" s="9" t="str">
        <f>IF(W56&gt;50000,"Highe Target","Low Target")</f>
        <v>Highe Target</v>
      </c>
      <c r="Y56" s="9" t="str">
        <f t="shared" si="0"/>
        <v>Highe target</v>
      </c>
      <c r="Z56" s="9" t="str" cm="1">
        <f t="array" ref="Z56">_xlfn.IFS(W56&lt;60000,"LOWERTarget",W56&lt;80000,"Medium Target",W56,"Highe Target")</f>
        <v>LOWERTarget</v>
      </c>
      <c r="AA56" s="8" t="s">
        <v>126</v>
      </c>
      <c r="AB56" s="5" t="str">
        <f>UPPER(AA56)</f>
        <v>ACCURATE REPORTS</v>
      </c>
      <c r="AC56" s="5" t="str">
        <f>LOWER(AA56)</f>
        <v>accurate reports</v>
      </c>
      <c r="AD56" s="5" t="str">
        <f>PROPER(AA56)</f>
        <v>Accurate Reports</v>
      </c>
      <c r="AF56" s="6"/>
    </row>
    <row r="57" ht="14.25" customHeight="1" spans="1:32">
      <c r="A57" s="8" t="s">
        <v>316</v>
      </c>
      <c r="B57" s="8" t="s">
        <v>317</v>
      </c>
      <c r="C57" s="9">
        <f>LEN(B57)</f>
        <v>13</v>
      </c>
      <c r="D57" s="8" t="s">
        <v>44</v>
      </c>
      <c r="E57" s="8" t="str">
        <f>_xlfn.CONCAT(B57,"(",A57,")"," - ",D57)</f>
        <v>Shreya Bansal(E1237) - Marketing</v>
      </c>
      <c r="F57" s="9" t="str">
        <f>LEFT(E57,FIND("-",E57))</f>
        <v>Shreya Bansal(E1237) -</v>
      </c>
      <c r="G57" s="9" t="str">
        <f>RIGHT(E57,LEN(E57)-FIND("-",E57)-1)</f>
        <v>Marketing</v>
      </c>
      <c r="H57" s="9">
        <f>FIND("-",E57)</f>
        <v>22</v>
      </c>
      <c r="I57" s="9">
        <f>LEN(E57)-FIND("-",E57)</f>
        <v>10</v>
      </c>
      <c r="J57" s="8" t="s">
        <v>172</v>
      </c>
      <c r="K57" s="9" t="str">
        <f>SUBSTITUTE(J57,"a","@",1)</f>
        <v>Hyder@bad</v>
      </c>
      <c r="L57" s="8" t="s">
        <v>318</v>
      </c>
      <c r="M57" s="8" t="str">
        <f>TEXT(L57,"dddd")</f>
        <v>Sunday</v>
      </c>
      <c r="N57" s="8" t="str">
        <f>LEFT(M57,3)</f>
        <v>Sun</v>
      </c>
      <c r="O57" s="8" t="str">
        <f>RIGHT(M57,3)</f>
        <v>day</v>
      </c>
      <c r="P57" s="8">
        <f>MONTH(L57)</f>
        <v>6</v>
      </c>
      <c r="Q57" s="8">
        <f>YEAR(L57)</f>
        <v>2021</v>
      </c>
      <c r="R57" s="8" t="s">
        <v>319</v>
      </c>
      <c r="S57" s="8">
        <f>HOUR(R57)</f>
        <v>9</v>
      </c>
      <c r="T57" s="8">
        <f>MINUTE(R57)</f>
        <v>42</v>
      </c>
      <c r="U57" s="8">
        <f>SECOND(R57)</f>
        <v>6</v>
      </c>
      <c r="V57" s="8">
        <v>46324</v>
      </c>
      <c r="W57" s="8">
        <v>52109</v>
      </c>
      <c r="X57" s="9" t="str">
        <f>IF(W57&gt;50000,"Highe Target","Low Target")</f>
        <v>Highe Target</v>
      </c>
      <c r="Y57" s="9" t="str">
        <f t="shared" si="0"/>
        <v>Highe target</v>
      </c>
      <c r="Z57" s="9" t="str" cm="1">
        <f t="array" ref="Z57">_xlfn.IFS(W57&lt;60000,"LOWERTarget",W57&lt;80000,"Medium Target",W57,"Highe Target")</f>
        <v>LOWERTarget</v>
      </c>
      <c r="AA57" s="8" t="s">
        <v>56</v>
      </c>
      <c r="AB57" s="5" t="str">
        <f>UPPER(AA57)</f>
        <v>   HELPFUL ATTITUDE   </v>
      </c>
      <c r="AC57" s="5" t="str">
        <f>LOWER(AA57)</f>
        <v>   helpful attitude   </v>
      </c>
      <c r="AD57" s="5" t="str">
        <f>PROPER(AA57)</f>
        <v>   Helpful Attitude   </v>
      </c>
      <c r="AF57" s="6"/>
    </row>
    <row r="58" ht="14.25" customHeight="1" spans="1:32">
      <c r="A58" s="8" t="s">
        <v>320</v>
      </c>
      <c r="B58" s="8" t="s">
        <v>321</v>
      </c>
      <c r="C58" s="9">
        <f>LEN(B58)</f>
        <v>12</v>
      </c>
      <c r="D58" s="8" t="s">
        <v>44</v>
      </c>
      <c r="E58" s="8" t="str">
        <f>_xlfn.CONCAT(B58,"(",A58,")"," - ",D58)</f>
        <v>Priya Mishra(E1030) - Marketing</v>
      </c>
      <c r="F58" s="9" t="str">
        <f>LEFT(E58,FIND("-",E58))</f>
        <v>Priya Mishra(E1030) -</v>
      </c>
      <c r="G58" s="9" t="str">
        <f>RIGHT(E58,LEN(E58)-FIND("-",E58)-1)</f>
        <v>Marketing</v>
      </c>
      <c r="H58" s="9">
        <f>FIND("-",E58)</f>
        <v>21</v>
      </c>
      <c r="I58" s="9">
        <f>LEN(E58)-FIND("-",E58)</f>
        <v>10</v>
      </c>
      <c r="J58" s="8" t="s">
        <v>53</v>
      </c>
      <c r="K58" s="9" t="str">
        <f>SUBSTITUTE(J58,"a","@",1)</f>
        <v>Delhi</v>
      </c>
      <c r="L58" s="8" t="s">
        <v>322</v>
      </c>
      <c r="M58" s="8" t="str">
        <f>TEXT(L58,"dddd")</f>
        <v>Tuesday</v>
      </c>
      <c r="N58" s="8" t="str">
        <f>LEFT(M58,3)</f>
        <v>Tue</v>
      </c>
      <c r="O58" s="8" t="str">
        <f>RIGHT(M58,3)</f>
        <v>day</v>
      </c>
      <c r="P58" s="8">
        <f>MONTH(L58)</f>
        <v>4</v>
      </c>
      <c r="Q58" s="8">
        <f>YEAR(L58)</f>
        <v>2021</v>
      </c>
      <c r="R58" s="8" t="s">
        <v>323</v>
      </c>
      <c r="S58" s="8">
        <f>HOUR(R58)</f>
        <v>10</v>
      </c>
      <c r="T58" s="8">
        <f>MINUTE(R58)</f>
        <v>5</v>
      </c>
      <c r="U58" s="8">
        <f>SECOND(R58)</f>
        <v>54</v>
      </c>
      <c r="V58" s="8">
        <v>41668</v>
      </c>
      <c r="W58" s="8">
        <v>52178</v>
      </c>
      <c r="X58" s="9" t="str">
        <f>IF(W58&gt;50000,"Highe Target","Low Target")</f>
        <v>Highe Target</v>
      </c>
      <c r="Y58" s="9" t="str">
        <f t="shared" si="0"/>
        <v>Highe target</v>
      </c>
      <c r="Z58" s="9" t="str" cm="1">
        <f t="array" ref="Z58">_xlfn.IFS(W58&lt;60000,"LOWERTarget",W58&lt;80000,"Medium Target",W58,"Highe Target")</f>
        <v>LOWERTarget</v>
      </c>
      <c r="AA58" s="8" t="s">
        <v>79</v>
      </c>
      <c r="AB58" s="5" t="str">
        <f>UPPER(AA58)</f>
        <v>EXCELLENT LEADERSHIP</v>
      </c>
      <c r="AC58" s="5" t="str">
        <f>LOWER(AA58)</f>
        <v>excellent leadership</v>
      </c>
      <c r="AD58" s="5" t="str">
        <f>PROPER(AA58)</f>
        <v>Excellent Leadership</v>
      </c>
      <c r="AF58" s="6"/>
    </row>
    <row r="59" ht="14.25" customHeight="1" spans="1:32">
      <c r="A59" s="8" t="s">
        <v>324</v>
      </c>
      <c r="B59" s="8" t="s">
        <v>325</v>
      </c>
      <c r="C59" s="9">
        <f>LEN(B59)</f>
        <v>14</v>
      </c>
      <c r="D59" s="8" t="s">
        <v>35</v>
      </c>
      <c r="E59" s="8" t="str">
        <f>_xlfn.CONCAT(B59,"(",A59,")"," - ",D59)</f>
        <v>Shreya Agarwal(E1117) - Finance</v>
      </c>
      <c r="F59" s="9" t="str">
        <f>LEFT(E59,FIND("-",E59))</f>
        <v>Shreya Agarwal(E1117) -</v>
      </c>
      <c r="G59" s="9" t="str">
        <f>RIGHT(E59,LEN(E59)-FIND("-",E59)-1)</f>
        <v>Finance</v>
      </c>
      <c r="H59" s="9">
        <f>FIND("-",E59)</f>
        <v>23</v>
      </c>
      <c r="I59" s="9">
        <f>LEN(E59)-FIND("-",E59)</f>
        <v>8</v>
      </c>
      <c r="J59" s="8" t="s">
        <v>45</v>
      </c>
      <c r="K59" s="9" t="str">
        <f>SUBSTITUTE(J59,"a","@",1)</f>
        <v>B@ngalore</v>
      </c>
      <c r="L59" s="8" t="s">
        <v>326</v>
      </c>
      <c r="M59" s="8" t="str">
        <f>TEXT(L59,"dddd")</f>
        <v>Tuesday</v>
      </c>
      <c r="N59" s="8" t="str">
        <f>LEFT(M59,3)</f>
        <v>Tue</v>
      </c>
      <c r="O59" s="8" t="str">
        <f>RIGHT(M59,3)</f>
        <v>day</v>
      </c>
      <c r="P59" s="8">
        <f>MONTH(L59)</f>
        <v>5</v>
      </c>
      <c r="Q59" s="8">
        <f>YEAR(L59)</f>
        <v>2024</v>
      </c>
      <c r="R59" s="8" t="s">
        <v>327</v>
      </c>
      <c r="S59" s="8">
        <f>HOUR(R59)</f>
        <v>9</v>
      </c>
      <c r="T59" s="8">
        <f>MINUTE(R59)</f>
        <v>14</v>
      </c>
      <c r="U59" s="8">
        <f>SECOND(R59)</f>
        <v>40</v>
      </c>
      <c r="V59" s="8">
        <v>53885</v>
      </c>
      <c r="W59" s="8">
        <v>52460</v>
      </c>
      <c r="X59" s="9" t="str">
        <f>IF(W59&gt;50000,"Highe Target","Low Target")</f>
        <v>Highe Target</v>
      </c>
      <c r="Y59" s="9" t="str">
        <f t="shared" si="0"/>
        <v>Highe target</v>
      </c>
      <c r="Z59" s="9" t="str" cm="1">
        <f t="array" ref="Z59">_xlfn.IFS(W59&lt;60000,"LOWERTarget",W59&lt;80000,"Medium Target",W59,"Highe Target")</f>
        <v>LOWERTarget</v>
      </c>
      <c r="AA59" s="8" t="s">
        <v>138</v>
      </c>
      <c r="AB59" s="5" t="str">
        <f>UPPER(AA59)</f>
        <v>GOOD TEAMWORK</v>
      </c>
      <c r="AC59" s="5" t="str">
        <f>LOWER(AA59)</f>
        <v>good teamwork</v>
      </c>
      <c r="AD59" s="5" t="str">
        <f>PROPER(AA59)</f>
        <v>Good Teamwork</v>
      </c>
      <c r="AF59" s="6"/>
    </row>
    <row r="60" ht="14.25" customHeight="1" spans="1:32">
      <c r="A60" s="8" t="s">
        <v>328</v>
      </c>
      <c r="B60" s="8" t="s">
        <v>329</v>
      </c>
      <c r="C60" s="9">
        <f>LEN(B60)</f>
        <v>18</v>
      </c>
      <c r="D60" s="8" t="s">
        <v>35</v>
      </c>
      <c r="E60" s="8" t="str">
        <f>_xlfn.CONCAT(B60,"(",A60,")"," - ",D60)</f>
        <v>Siddharth Malhotra(E1079) - Finance</v>
      </c>
      <c r="F60" s="9" t="str">
        <f>LEFT(E60,FIND("-",E60))</f>
        <v>Siddharth Malhotra(E1079) -</v>
      </c>
      <c r="G60" s="9" t="str">
        <f>RIGHT(E60,LEN(E60)-FIND("-",E60)-1)</f>
        <v>Finance</v>
      </c>
      <c r="H60" s="9">
        <f>FIND("-",E60)</f>
        <v>27</v>
      </c>
      <c r="I60" s="9">
        <f>LEN(E60)-FIND("-",E60)</f>
        <v>8</v>
      </c>
      <c r="J60" s="8" t="s">
        <v>61</v>
      </c>
      <c r="K60" s="9" t="str">
        <f>SUBSTITUTE(J60,"a","@",1)</f>
        <v>Chenn@i</v>
      </c>
      <c r="L60" s="8" t="s">
        <v>330</v>
      </c>
      <c r="M60" s="8" t="str">
        <f>TEXT(L60,"dddd")</f>
        <v>Monday</v>
      </c>
      <c r="N60" s="8" t="str">
        <f>LEFT(M60,3)</f>
        <v>Mon</v>
      </c>
      <c r="O60" s="8" t="str">
        <f>RIGHT(M60,3)</f>
        <v>day</v>
      </c>
      <c r="P60" s="8">
        <f>MONTH(L60)</f>
        <v>5</v>
      </c>
      <c r="Q60" s="8">
        <f>YEAR(L60)</f>
        <v>2022</v>
      </c>
      <c r="R60" s="8" t="s">
        <v>331</v>
      </c>
      <c r="S60" s="8">
        <f>HOUR(R60)</f>
        <v>8</v>
      </c>
      <c r="T60" s="8">
        <f>MINUTE(R60)</f>
        <v>7</v>
      </c>
      <c r="U60" s="8">
        <f>SECOND(R60)</f>
        <v>46</v>
      </c>
      <c r="V60" s="8">
        <v>58300</v>
      </c>
      <c r="W60" s="8">
        <v>52621</v>
      </c>
      <c r="X60" s="9" t="str">
        <f>IF(W60&gt;50000,"Highe Target","Low Target")</f>
        <v>Highe Target</v>
      </c>
      <c r="Y60" s="9" t="str">
        <f t="shared" si="0"/>
        <v>Highe target</v>
      </c>
      <c r="Z60" s="9" t="str" cm="1">
        <f t="array" ref="Z60">_xlfn.IFS(W60&lt;60000,"LOWERTarget",W60&lt;80000,"Medium Target",W60,"Highe Target")</f>
        <v>LOWERTarget</v>
      </c>
      <c r="AA60" s="8" t="s">
        <v>160</v>
      </c>
      <c r="AB60" s="5" t="str">
        <f>UPPER(AA60)</f>
        <v>GOOD COMMUNICATION</v>
      </c>
      <c r="AC60" s="5" t="str">
        <f>LOWER(AA60)</f>
        <v>good communication</v>
      </c>
      <c r="AD60" s="5" t="str">
        <f>PROPER(AA60)</f>
        <v>Good Communication</v>
      </c>
      <c r="AF60" s="6"/>
    </row>
    <row r="61" ht="14.25" customHeight="1" spans="1:32">
      <c r="A61" s="8" t="s">
        <v>332</v>
      </c>
      <c r="B61" s="8" t="s">
        <v>333</v>
      </c>
      <c r="C61" s="9">
        <f>LEN(B61)</f>
        <v>11</v>
      </c>
      <c r="D61" s="8" t="s">
        <v>35</v>
      </c>
      <c r="E61" s="8" t="str">
        <f>_xlfn.CONCAT(B61,"(",A61,")"," - ",D61)</f>
        <v>Neha Bansal(E1217) - Finance</v>
      </c>
      <c r="F61" s="9" t="str">
        <f>LEFT(E61,FIND("-",E61))</f>
        <v>Neha Bansal(E1217) -</v>
      </c>
      <c r="G61" s="9" t="str">
        <f>RIGHT(E61,LEN(E61)-FIND("-",E61)-1)</f>
        <v>Finance</v>
      </c>
      <c r="H61" s="9">
        <f>FIND("-",E61)</f>
        <v>20</v>
      </c>
      <c r="I61" s="9">
        <f>LEN(E61)-FIND("-",E61)</f>
        <v>8</v>
      </c>
      <c r="J61" s="8" t="s">
        <v>172</v>
      </c>
      <c r="K61" s="9" t="str">
        <f>SUBSTITUTE(J61,"a","@",1)</f>
        <v>Hyder@bad</v>
      </c>
      <c r="L61" s="8" t="s">
        <v>334</v>
      </c>
      <c r="M61" s="8" t="str">
        <f>TEXT(L61,"dddd")</f>
        <v>Saturday</v>
      </c>
      <c r="N61" s="8" t="str">
        <f>LEFT(M61,3)</f>
        <v>Sat</v>
      </c>
      <c r="O61" s="8" t="str">
        <f>RIGHT(M61,3)</f>
        <v>day</v>
      </c>
      <c r="P61" s="8">
        <f>MONTH(L61)</f>
        <v>2</v>
      </c>
      <c r="Q61" s="8">
        <f>YEAR(L61)</f>
        <v>2024</v>
      </c>
      <c r="R61" s="8" t="s">
        <v>335</v>
      </c>
      <c r="S61" s="8">
        <f>HOUR(R61)</f>
        <v>9</v>
      </c>
      <c r="T61" s="8">
        <f>MINUTE(R61)</f>
        <v>48</v>
      </c>
      <c r="U61" s="8">
        <f>SECOND(R61)</f>
        <v>9</v>
      </c>
      <c r="V61" s="8">
        <v>71410</v>
      </c>
      <c r="W61" s="8">
        <v>53045</v>
      </c>
      <c r="X61" s="9" t="str">
        <f>IF(W61&gt;50000,"Highe Target","Low Target")</f>
        <v>Highe Target</v>
      </c>
      <c r="Y61" s="9" t="str">
        <f t="shared" si="0"/>
        <v>Highe target</v>
      </c>
      <c r="Z61" s="9" t="str" cm="1">
        <f t="array" ref="Z61">_xlfn.IFS(W61&lt;60000,"LOWERTarget",W61&lt;80000,"Medium Target",W61,"Highe Target")</f>
        <v>LOWERTarget</v>
      </c>
      <c r="AA61" s="8" t="s">
        <v>39</v>
      </c>
      <c r="AB61" s="5" t="str">
        <f>UPPER(AA61)</f>
        <v>DETAILED ANALYSIS</v>
      </c>
      <c r="AC61" s="5" t="str">
        <f>LOWER(AA61)</f>
        <v>detailed analysis</v>
      </c>
      <c r="AD61" s="5" t="str">
        <f>PROPER(AA61)</f>
        <v>Detailed Analysis</v>
      </c>
      <c r="AF61" s="6"/>
    </row>
    <row r="62" ht="14.25" customHeight="1" spans="1:32">
      <c r="A62" s="8" t="s">
        <v>336</v>
      </c>
      <c r="B62" s="8" t="s">
        <v>337</v>
      </c>
      <c r="C62" s="9">
        <f>LEN(B62)</f>
        <v>12</v>
      </c>
      <c r="D62" s="8" t="s">
        <v>93</v>
      </c>
      <c r="E62" s="8" t="str">
        <f>_xlfn.CONCAT(B62,"(",A62,")"," - ",D62)</f>
        <v>Aakash Reddy(E1243) - Sales</v>
      </c>
      <c r="F62" s="9" t="str">
        <f>LEFT(E62,FIND("-",E62))</f>
        <v>Aakash Reddy(E1243) -</v>
      </c>
      <c r="G62" s="9" t="str">
        <f>RIGHT(E62,LEN(E62)-FIND("-",E62)-1)</f>
        <v>Sales</v>
      </c>
      <c r="H62" s="9">
        <f>FIND("-",E62)</f>
        <v>21</v>
      </c>
      <c r="I62" s="9">
        <f>LEN(E62)-FIND("-",E62)</f>
        <v>6</v>
      </c>
      <c r="J62" s="8" t="s">
        <v>76</v>
      </c>
      <c r="K62" s="9" t="str">
        <f>SUBSTITUTE(J62,"a","@",1)</f>
        <v>Pune</v>
      </c>
      <c r="L62" s="8" t="s">
        <v>338</v>
      </c>
      <c r="M62" s="8" t="str">
        <f>TEXT(L62,"dddd")</f>
        <v>Friday</v>
      </c>
      <c r="N62" s="8" t="str">
        <f>LEFT(M62,3)</f>
        <v>Fri</v>
      </c>
      <c r="O62" s="8" t="str">
        <f>RIGHT(M62,3)</f>
        <v>day</v>
      </c>
      <c r="P62" s="8">
        <f>MONTH(L62)</f>
        <v>5</v>
      </c>
      <c r="Q62" s="8">
        <f>YEAR(L62)</f>
        <v>2021</v>
      </c>
      <c r="R62" s="8" t="s">
        <v>339</v>
      </c>
      <c r="S62" s="8">
        <f>HOUR(R62)</f>
        <v>10</v>
      </c>
      <c r="T62" s="8">
        <f>MINUTE(R62)</f>
        <v>57</v>
      </c>
      <c r="U62" s="8">
        <f>SECOND(R62)</f>
        <v>32</v>
      </c>
      <c r="V62" s="8">
        <v>48068</v>
      </c>
      <c r="W62" s="8">
        <v>53248</v>
      </c>
      <c r="X62" s="9" t="str">
        <f>IF(W62&gt;50000,"Highe Target","Low Target")</f>
        <v>Highe Target</v>
      </c>
      <c r="Y62" s="9" t="str">
        <f t="shared" si="0"/>
        <v>Highe target</v>
      </c>
      <c r="Z62" s="9" t="str" cm="1">
        <f t="array" ref="Z62">_xlfn.IFS(W62&lt;60000,"LOWERTarget",W62&lt;80000,"Medium Target",W62,"Highe Target")</f>
        <v>LOWERTarget</v>
      </c>
      <c r="AA62" s="8" t="s">
        <v>285</v>
      </c>
      <c r="AB62" s="5" t="str">
        <f>UPPER(AA62)</f>
        <v>QUICK RESPONSE</v>
      </c>
      <c r="AC62" s="5" t="str">
        <f>LOWER(AA62)</f>
        <v>quick response</v>
      </c>
      <c r="AD62" s="5" t="str">
        <f>PROPER(AA62)</f>
        <v>Quick Response</v>
      </c>
      <c r="AF62" s="6"/>
    </row>
    <row r="63" ht="14.25" customHeight="1" spans="1:32">
      <c r="A63" s="8" t="s">
        <v>340</v>
      </c>
      <c r="B63" s="8" t="s">
        <v>341</v>
      </c>
      <c r="C63" s="9">
        <f>LEN(B63)</f>
        <v>15</v>
      </c>
      <c r="D63" s="8" t="s">
        <v>44</v>
      </c>
      <c r="E63" s="8" t="str">
        <f>_xlfn.CONCAT(B63,"(",A63,")"," - ",D63)</f>
        <v>Siddharth Mehta(E1224) - Marketing</v>
      </c>
      <c r="F63" s="9" t="str">
        <f>LEFT(E63,FIND("-",E63))</f>
        <v>Siddharth Mehta(E1224) -</v>
      </c>
      <c r="G63" s="9" t="str">
        <f>RIGHT(E63,LEN(E63)-FIND("-",E63)-1)</f>
        <v>Marketing</v>
      </c>
      <c r="H63" s="9">
        <f>FIND("-",E63)</f>
        <v>24</v>
      </c>
      <c r="I63" s="9">
        <f>LEN(E63)-FIND("-",E63)</f>
        <v>10</v>
      </c>
      <c r="J63" s="8" t="s">
        <v>36</v>
      </c>
      <c r="K63" s="9" t="str">
        <f>SUBSTITUTE(J63,"a","@",1)</f>
        <v>Ahmed@bad</v>
      </c>
      <c r="L63" s="8" t="s">
        <v>342</v>
      </c>
      <c r="M63" s="8" t="str">
        <f>TEXT(L63,"dddd")</f>
        <v>Saturday</v>
      </c>
      <c r="N63" s="8" t="str">
        <f>LEFT(M63,3)</f>
        <v>Sat</v>
      </c>
      <c r="O63" s="8" t="str">
        <f>RIGHT(M63,3)</f>
        <v>day</v>
      </c>
      <c r="P63" s="8">
        <f>MONTH(L63)</f>
        <v>5</v>
      </c>
      <c r="Q63" s="8">
        <f>YEAR(L63)</f>
        <v>2021</v>
      </c>
      <c r="R63" s="8" t="s">
        <v>343</v>
      </c>
      <c r="S63" s="8">
        <f>HOUR(R63)</f>
        <v>10</v>
      </c>
      <c r="T63" s="8">
        <f>MINUTE(R63)</f>
        <v>8</v>
      </c>
      <c r="U63" s="8">
        <f>SECOND(R63)</f>
        <v>33</v>
      </c>
      <c r="V63" s="8">
        <v>59890</v>
      </c>
      <c r="W63" s="8">
        <v>53588</v>
      </c>
      <c r="X63" s="9" t="str">
        <f>IF(W63&gt;50000,"Highe Target","Low Target")</f>
        <v>Highe Target</v>
      </c>
      <c r="Y63" s="9" t="str">
        <f t="shared" si="0"/>
        <v>Highe target</v>
      </c>
      <c r="Z63" s="9" t="str" cm="1">
        <f t="array" ref="Z63">_xlfn.IFS(W63&lt;60000,"LOWERTarget",W63&lt;80000,"Medium Target",W63,"Highe Target")</f>
        <v>LOWERTarget</v>
      </c>
      <c r="AA63" s="8" t="s">
        <v>138</v>
      </c>
      <c r="AB63" s="5" t="str">
        <f>UPPER(AA63)</f>
        <v>GOOD TEAMWORK</v>
      </c>
      <c r="AC63" s="5" t="str">
        <f>LOWER(AA63)</f>
        <v>good teamwork</v>
      </c>
      <c r="AD63" s="5" t="str">
        <f>PROPER(AA63)</f>
        <v>Good Teamwork</v>
      </c>
      <c r="AF63" s="6"/>
    </row>
    <row r="64" ht="14.25" customHeight="1" spans="1:32">
      <c r="A64" s="8" t="s">
        <v>344</v>
      </c>
      <c r="B64" s="8" t="s">
        <v>345</v>
      </c>
      <c r="C64" s="9">
        <f>LEN(B64)</f>
        <v>11</v>
      </c>
      <c r="D64" s="8" t="s">
        <v>60</v>
      </c>
      <c r="E64" s="8" t="str">
        <f>_xlfn.CONCAT(B64,"(",A64,")"," - ",D64)</f>
        <v>Rohan Patel(E1010) - HR</v>
      </c>
      <c r="F64" s="9" t="str">
        <f>LEFT(E64,FIND("-",E64))</f>
        <v>Rohan Patel(E1010) -</v>
      </c>
      <c r="G64" s="9" t="str">
        <f>RIGHT(E64,LEN(E64)-FIND("-",E64)-1)</f>
        <v>HR</v>
      </c>
      <c r="H64" s="9">
        <f>FIND("-",E64)</f>
        <v>20</v>
      </c>
      <c r="I64" s="9">
        <f>LEN(E64)-FIND("-",E64)</f>
        <v>3</v>
      </c>
      <c r="J64" s="8" t="s">
        <v>153</v>
      </c>
      <c r="K64" s="9" t="str">
        <f>SUBSTITUTE(J64,"a","@",1)</f>
        <v>Mumb@i</v>
      </c>
      <c r="L64" s="8" t="s">
        <v>346</v>
      </c>
      <c r="M64" s="8" t="str">
        <f>TEXT(L64,"dddd")</f>
        <v>Sunday</v>
      </c>
      <c r="N64" s="8" t="str">
        <f>LEFT(M64,3)</f>
        <v>Sun</v>
      </c>
      <c r="O64" s="8" t="str">
        <f>RIGHT(M64,3)</f>
        <v>day</v>
      </c>
      <c r="P64" s="8">
        <f>MONTH(L64)</f>
        <v>10</v>
      </c>
      <c r="Q64" s="8">
        <f>YEAR(L64)</f>
        <v>2022</v>
      </c>
      <c r="R64" s="8" t="s">
        <v>347</v>
      </c>
      <c r="S64" s="8">
        <f>HOUR(R64)</f>
        <v>9</v>
      </c>
      <c r="T64" s="8">
        <f>MINUTE(R64)</f>
        <v>17</v>
      </c>
      <c r="U64" s="8">
        <f>SECOND(R64)</f>
        <v>4</v>
      </c>
      <c r="V64" s="8">
        <v>59448</v>
      </c>
      <c r="W64" s="8">
        <v>53826</v>
      </c>
      <c r="X64" s="9" t="str">
        <f>IF(W64&gt;50000,"Highe Target","Low Target")</f>
        <v>Highe Target</v>
      </c>
      <c r="Y64" s="9" t="str">
        <f t="shared" si="0"/>
        <v>Highe target</v>
      </c>
      <c r="Z64" s="9" t="str" cm="1">
        <f t="array" ref="Z64">_xlfn.IFS(W64&lt;60000,"LOWERTarget",W64&lt;80000,"Medium Target",W64,"Highe Target")</f>
        <v>LOWERTarget</v>
      </c>
      <c r="AA64" s="8" t="s">
        <v>126</v>
      </c>
      <c r="AB64" s="5" t="str">
        <f>UPPER(AA64)</f>
        <v>ACCURATE REPORTS</v>
      </c>
      <c r="AC64" s="5" t="str">
        <f>LOWER(AA64)</f>
        <v>accurate reports</v>
      </c>
      <c r="AD64" s="5" t="str">
        <f>PROPER(AA64)</f>
        <v>Accurate Reports</v>
      </c>
      <c r="AF64" s="6"/>
    </row>
    <row r="65" ht="14.25" customHeight="1" spans="1:32">
      <c r="A65" s="8" t="s">
        <v>348</v>
      </c>
      <c r="B65" s="8" t="s">
        <v>349</v>
      </c>
      <c r="C65" s="9">
        <f>LEN(B65)</f>
        <v>13</v>
      </c>
      <c r="D65" s="8" t="s">
        <v>35</v>
      </c>
      <c r="E65" s="8" t="str">
        <f>_xlfn.CONCAT(B65,"(",A65,")"," - ",D65)</f>
        <v>Madhuri Patel(E1141) - Finance</v>
      </c>
      <c r="F65" s="9" t="str">
        <f>LEFT(E65,FIND("-",E65))</f>
        <v>Madhuri Patel(E1141) -</v>
      </c>
      <c r="G65" s="9" t="str">
        <f>RIGHT(E65,LEN(E65)-FIND("-",E65)-1)</f>
        <v>Finance</v>
      </c>
      <c r="H65" s="9">
        <f>FIND("-",E65)</f>
        <v>22</v>
      </c>
      <c r="I65" s="9">
        <f>LEN(E65)-FIND("-",E65)</f>
        <v>8</v>
      </c>
      <c r="J65" s="8" t="s">
        <v>61</v>
      </c>
      <c r="K65" s="9" t="str">
        <f>SUBSTITUTE(J65,"a","@",1)</f>
        <v>Chenn@i</v>
      </c>
      <c r="L65" s="8" t="s">
        <v>350</v>
      </c>
      <c r="M65" s="8" t="str">
        <f>TEXT(L65,"dddd")</f>
        <v>Thursday</v>
      </c>
      <c r="N65" s="8" t="str">
        <f>LEFT(M65,3)</f>
        <v>Thu</v>
      </c>
      <c r="O65" s="8" t="str">
        <f>RIGHT(M65,3)</f>
        <v>day</v>
      </c>
      <c r="P65" s="8">
        <f>MONTH(L65)</f>
        <v>12</v>
      </c>
      <c r="Q65" s="8">
        <f>YEAR(L65)</f>
        <v>2022</v>
      </c>
      <c r="R65" s="8" t="s">
        <v>351</v>
      </c>
      <c r="S65" s="8">
        <f>HOUR(R65)</f>
        <v>8</v>
      </c>
      <c r="T65" s="8">
        <f>MINUTE(R65)</f>
        <v>36</v>
      </c>
      <c r="U65" s="8">
        <f>SECOND(R65)</f>
        <v>32</v>
      </c>
      <c r="V65" s="8">
        <v>49082</v>
      </c>
      <c r="W65" s="8">
        <v>53942</v>
      </c>
      <c r="X65" s="9" t="str">
        <f>IF(W65&gt;50000,"Highe Target","Low Target")</f>
        <v>Highe Target</v>
      </c>
      <c r="Y65" s="9" t="str">
        <f t="shared" si="0"/>
        <v>Highe target</v>
      </c>
      <c r="Z65" s="9" t="str" cm="1">
        <f t="array" ref="Z65">_xlfn.IFS(W65&lt;60000,"LOWERTarget",W65&lt;80000,"Medium Target",W65,"Highe Target")</f>
        <v>LOWERTarget</v>
      </c>
      <c r="AA65" s="8" t="s">
        <v>138</v>
      </c>
      <c r="AB65" s="5" t="str">
        <f>UPPER(AA65)</f>
        <v>GOOD TEAMWORK</v>
      </c>
      <c r="AC65" s="5" t="str">
        <f>LOWER(AA65)</f>
        <v>good teamwork</v>
      </c>
      <c r="AD65" s="5" t="str">
        <f>PROPER(AA65)</f>
        <v>Good Teamwork</v>
      </c>
      <c r="AF65" s="6"/>
    </row>
    <row r="66" ht="14.25" customHeight="1" spans="1:32">
      <c r="A66" s="8" t="s">
        <v>352</v>
      </c>
      <c r="B66" s="8" t="s">
        <v>353</v>
      </c>
      <c r="C66" s="9">
        <f>LEN(B66)</f>
        <v>13</v>
      </c>
      <c r="D66" s="8" t="s">
        <v>44</v>
      </c>
      <c r="E66" s="8" t="str">
        <f>_xlfn.CONCAT(B66,"(",A66,")"," - ",D66)</f>
        <v>Sneha Agarwal(E1196) - Marketing</v>
      </c>
      <c r="F66" s="9" t="str">
        <f>LEFT(E66,FIND("-",E66))</f>
        <v>Sneha Agarwal(E1196) -</v>
      </c>
      <c r="G66" s="9" t="str">
        <f>RIGHT(E66,LEN(E66)-FIND("-",E66)-1)</f>
        <v>Marketing</v>
      </c>
      <c r="H66" s="9">
        <f>FIND("-",E66)</f>
        <v>22</v>
      </c>
      <c r="I66" s="9">
        <f>LEN(E66)-FIND("-",E66)</f>
        <v>10</v>
      </c>
      <c r="J66" s="8" t="s">
        <v>76</v>
      </c>
      <c r="K66" s="9" t="str">
        <f>SUBSTITUTE(J66,"a","@",1)</f>
        <v>Pune</v>
      </c>
      <c r="L66" s="8" t="s">
        <v>354</v>
      </c>
      <c r="M66" s="8" t="str">
        <f>TEXT(L66,"dddd")</f>
        <v>Tuesday</v>
      </c>
      <c r="N66" s="8" t="str">
        <f>LEFT(M66,3)</f>
        <v>Tue</v>
      </c>
      <c r="O66" s="8" t="str">
        <f>RIGHT(M66,3)</f>
        <v>day</v>
      </c>
      <c r="P66" s="8">
        <f>MONTH(L66)</f>
        <v>6</v>
      </c>
      <c r="Q66" s="8">
        <f>YEAR(L66)</f>
        <v>2022</v>
      </c>
      <c r="R66" s="8" t="s">
        <v>355</v>
      </c>
      <c r="S66" s="8">
        <f>HOUR(R66)</f>
        <v>9</v>
      </c>
      <c r="T66" s="8">
        <f>MINUTE(R66)</f>
        <v>45</v>
      </c>
      <c r="U66" s="8">
        <f>SECOND(R66)</f>
        <v>28</v>
      </c>
      <c r="V66" s="8">
        <v>57777</v>
      </c>
      <c r="W66" s="8">
        <v>54062</v>
      </c>
      <c r="X66" s="9" t="str">
        <f>IF(W66&gt;50000,"Highe Target","Low Target")</f>
        <v>Highe Target</v>
      </c>
      <c r="Y66" s="9" t="str">
        <f t="shared" ref="Y66:Y129" si="1">IF(NOT(W66&lt;50000),"Highe target","Lower Target")</f>
        <v>Highe target</v>
      </c>
      <c r="Z66" s="9" t="str" cm="1">
        <f t="array" ref="Z66">_xlfn.IFS(W66&lt;60000,"LOWERTarget",W66&lt;80000,"Medium Target",W66,"Highe Target")</f>
        <v>LOWERTarget</v>
      </c>
      <c r="AA66" s="8" t="s">
        <v>96</v>
      </c>
      <c r="AB66" s="5" t="str">
        <f>UPPER(AA66)</f>
        <v>FAST DELIVERY</v>
      </c>
      <c r="AC66" s="5" t="str">
        <f>LOWER(AA66)</f>
        <v>fast delivery</v>
      </c>
      <c r="AD66" s="5" t="str">
        <f>PROPER(AA66)</f>
        <v>Fast Delivery</v>
      </c>
      <c r="AF66" s="6"/>
    </row>
    <row r="67" ht="14.25" customHeight="1" spans="1:32">
      <c r="A67" s="8" t="s">
        <v>356</v>
      </c>
      <c r="B67" s="8" t="s">
        <v>357</v>
      </c>
      <c r="C67" s="9">
        <f>LEN(B67)</f>
        <v>11</v>
      </c>
      <c r="D67" s="8" t="s">
        <v>60</v>
      </c>
      <c r="E67" s="8" t="str">
        <f>_xlfn.CONCAT(B67,"(",A67,")"," - ",D67)</f>
        <v>Nidhi Patel(E1253) - HR</v>
      </c>
      <c r="F67" s="9" t="str">
        <f>LEFT(E67,FIND("-",E67))</f>
        <v>Nidhi Patel(E1253) -</v>
      </c>
      <c r="G67" s="9" t="str">
        <f>RIGHT(E67,LEN(E67)-FIND("-",E67)-1)</f>
        <v>HR</v>
      </c>
      <c r="H67" s="9">
        <f>FIND("-",E67)</f>
        <v>20</v>
      </c>
      <c r="I67" s="9">
        <f>LEN(E67)-FIND("-",E67)</f>
        <v>3</v>
      </c>
      <c r="J67" s="8" t="s">
        <v>153</v>
      </c>
      <c r="K67" s="9" t="str">
        <f>SUBSTITUTE(J67,"a","@",1)</f>
        <v>Mumb@i</v>
      </c>
      <c r="L67" s="8" t="s">
        <v>358</v>
      </c>
      <c r="M67" s="8" t="str">
        <f>TEXT(L67,"dddd")</f>
        <v>Tuesday</v>
      </c>
      <c r="N67" s="8" t="str">
        <f>LEFT(M67,3)</f>
        <v>Tue</v>
      </c>
      <c r="O67" s="8" t="str">
        <f>RIGHT(M67,3)</f>
        <v>day</v>
      </c>
      <c r="P67" s="8">
        <f>MONTH(L67)</f>
        <v>4</v>
      </c>
      <c r="Q67" s="8">
        <f>YEAR(L67)</f>
        <v>2023</v>
      </c>
      <c r="R67" s="8" t="s">
        <v>359</v>
      </c>
      <c r="S67" s="8">
        <f>HOUR(R67)</f>
        <v>9</v>
      </c>
      <c r="T67" s="8">
        <f>MINUTE(R67)</f>
        <v>14</v>
      </c>
      <c r="U67" s="8">
        <f>SECOND(R67)</f>
        <v>34</v>
      </c>
      <c r="V67" s="8">
        <v>42937</v>
      </c>
      <c r="W67" s="8">
        <v>54238</v>
      </c>
      <c r="X67" s="9" t="str">
        <f>IF(W67&gt;50000,"Highe Target","Low Target")</f>
        <v>Highe Target</v>
      </c>
      <c r="Y67" s="9" t="str">
        <f t="shared" si="1"/>
        <v>Highe target</v>
      </c>
      <c r="Z67" s="9" t="str" cm="1">
        <f t="array" ref="Z67">_xlfn.IFS(W67&lt;60000,"LOWERTarget",W67&lt;80000,"Medium Target",W67,"Highe Target")</f>
        <v>LOWERTarget</v>
      </c>
      <c r="AA67" s="8" t="s">
        <v>285</v>
      </c>
      <c r="AB67" s="5" t="str">
        <f>UPPER(AA67)</f>
        <v>QUICK RESPONSE</v>
      </c>
      <c r="AC67" s="5" t="str">
        <f>LOWER(AA67)</f>
        <v>quick response</v>
      </c>
      <c r="AD67" s="5" t="str">
        <f>PROPER(AA67)</f>
        <v>Quick Response</v>
      </c>
      <c r="AF67" s="6"/>
    </row>
    <row r="68" ht="14.25" customHeight="1" spans="1:32">
      <c r="A68" s="8" t="s">
        <v>360</v>
      </c>
      <c r="B68" s="8" t="s">
        <v>361</v>
      </c>
      <c r="C68" s="9">
        <f>LEN(B68)</f>
        <v>11</v>
      </c>
      <c r="D68" s="8" t="s">
        <v>60</v>
      </c>
      <c r="E68" s="8" t="str">
        <f>_xlfn.CONCAT(B68,"(",A68,")"," - ",D68)</f>
        <v>Amit Chopra(E1269) - HR</v>
      </c>
      <c r="F68" s="9" t="str">
        <f>LEFT(E68,FIND("-",E68))</f>
        <v>Amit Chopra(E1269) -</v>
      </c>
      <c r="G68" s="9" t="str">
        <f>RIGHT(E68,LEN(E68)-FIND("-",E68)-1)</f>
        <v>HR</v>
      </c>
      <c r="H68" s="9">
        <f>FIND("-",E68)</f>
        <v>20</v>
      </c>
      <c r="I68" s="9">
        <f>LEN(E68)-FIND("-",E68)</f>
        <v>3</v>
      </c>
      <c r="J68" s="8" t="s">
        <v>45</v>
      </c>
      <c r="K68" s="9" t="str">
        <f>SUBSTITUTE(J68,"a","@",1)</f>
        <v>B@ngalore</v>
      </c>
      <c r="L68" s="8" t="s">
        <v>362</v>
      </c>
      <c r="M68" s="8" t="str">
        <f>TEXT(L68,"dddd")</f>
        <v>Thursday</v>
      </c>
      <c r="N68" s="8" t="str">
        <f>LEFT(M68,3)</f>
        <v>Thu</v>
      </c>
      <c r="O68" s="8" t="str">
        <f>RIGHT(M68,3)</f>
        <v>day</v>
      </c>
      <c r="P68" s="8">
        <f>MONTH(L68)</f>
        <v>5</v>
      </c>
      <c r="Q68" s="8">
        <f>YEAR(L68)</f>
        <v>2021</v>
      </c>
      <c r="R68" s="8" t="s">
        <v>363</v>
      </c>
      <c r="S68" s="8">
        <f>HOUR(R68)</f>
        <v>10</v>
      </c>
      <c r="T68" s="8">
        <f>MINUTE(R68)</f>
        <v>9</v>
      </c>
      <c r="U68" s="8">
        <f>SECOND(R68)</f>
        <v>0</v>
      </c>
      <c r="V68" s="8">
        <v>72477</v>
      </c>
      <c r="W68" s="8">
        <v>54334</v>
      </c>
      <c r="X68" s="9" t="str">
        <f>IF(W68&gt;50000,"Highe Target","Low Target")</f>
        <v>Highe Target</v>
      </c>
      <c r="Y68" s="9" t="str">
        <f t="shared" si="1"/>
        <v>Highe target</v>
      </c>
      <c r="Z68" s="9" t="str" cm="1">
        <f t="array" ref="Z68">_xlfn.IFS(W68&lt;60000,"LOWERTarget",W68&lt;80000,"Medium Target",W68,"Highe Target")</f>
        <v>LOWERTarget</v>
      </c>
      <c r="AA68" s="8" t="s">
        <v>179</v>
      </c>
      <c r="AB68" s="5" t="str">
        <f>UPPER(AA68)</f>
        <v>HELPFUL ATTITUDE</v>
      </c>
      <c r="AC68" s="5" t="str">
        <f>LOWER(AA68)</f>
        <v>helpful attitude</v>
      </c>
      <c r="AD68" s="5" t="str">
        <f>PROPER(AA68)</f>
        <v>Helpful Attitude</v>
      </c>
      <c r="AF68" s="6"/>
    </row>
    <row r="69" ht="14.25" customHeight="1" spans="1:32">
      <c r="A69" s="8" t="s">
        <v>364</v>
      </c>
      <c r="B69" s="8" t="s">
        <v>290</v>
      </c>
      <c r="C69" s="9">
        <f>LEN(B69)</f>
        <v>11</v>
      </c>
      <c r="D69" s="8" t="s">
        <v>35</v>
      </c>
      <c r="E69" s="8" t="str">
        <f>_xlfn.CONCAT(B69,"(",A69,")"," - ",D69)</f>
        <v>Nisha Singh(E1148) - Finance</v>
      </c>
      <c r="F69" s="9" t="str">
        <f>LEFT(E69,FIND("-",E69))</f>
        <v>Nisha Singh(E1148) -</v>
      </c>
      <c r="G69" s="9" t="str">
        <f>RIGHT(E69,LEN(E69)-FIND("-",E69)-1)</f>
        <v>Finance</v>
      </c>
      <c r="H69" s="9">
        <f>FIND("-",E69)</f>
        <v>20</v>
      </c>
      <c r="I69" s="9">
        <f>LEN(E69)-FIND("-",E69)</f>
        <v>8</v>
      </c>
      <c r="J69" s="8" t="s">
        <v>36</v>
      </c>
      <c r="K69" s="9" t="str">
        <f>SUBSTITUTE(J69,"a","@",1)</f>
        <v>Ahmed@bad</v>
      </c>
      <c r="L69" s="8" t="s">
        <v>365</v>
      </c>
      <c r="M69" s="8" t="str">
        <f>TEXT(L69,"dddd")</f>
        <v>Saturday</v>
      </c>
      <c r="N69" s="8" t="str">
        <f>LEFT(M69,3)</f>
        <v>Sat</v>
      </c>
      <c r="O69" s="8" t="str">
        <f>RIGHT(M69,3)</f>
        <v>day</v>
      </c>
      <c r="P69" s="8">
        <f>MONTH(L69)</f>
        <v>12</v>
      </c>
      <c r="Q69" s="8">
        <f>YEAR(L69)</f>
        <v>2023</v>
      </c>
      <c r="R69" s="8" t="s">
        <v>366</v>
      </c>
      <c r="S69" s="8">
        <f>HOUR(R69)</f>
        <v>10</v>
      </c>
      <c r="T69" s="8">
        <f>MINUTE(R69)</f>
        <v>19</v>
      </c>
      <c r="U69" s="8">
        <f>SECOND(R69)</f>
        <v>2</v>
      </c>
      <c r="V69" s="8">
        <v>65354</v>
      </c>
      <c r="W69" s="8">
        <v>54451</v>
      </c>
      <c r="X69" s="9" t="str">
        <f>IF(W69&gt;50000,"Highe Target","Low Target")</f>
        <v>Highe Target</v>
      </c>
      <c r="Y69" s="9" t="str">
        <f t="shared" si="1"/>
        <v>Highe target</v>
      </c>
      <c r="Z69" s="9" t="str" cm="1">
        <f t="array" ref="Z69">_xlfn.IFS(W69&lt;60000,"LOWERTarget",W69&lt;80000,"Medium Target",W69,"Highe Target")</f>
        <v>LOWERTarget</v>
      </c>
      <c r="AA69" s="8" t="s">
        <v>79</v>
      </c>
      <c r="AB69" s="5" t="str">
        <f>UPPER(AA69)</f>
        <v>EXCELLENT LEADERSHIP</v>
      </c>
      <c r="AC69" s="5" t="str">
        <f>LOWER(AA69)</f>
        <v>excellent leadership</v>
      </c>
      <c r="AD69" s="5" t="str">
        <f>PROPER(AA69)</f>
        <v>Excellent Leadership</v>
      </c>
      <c r="AF69" s="6"/>
    </row>
    <row r="70" ht="14.25" customHeight="1" spans="1:32">
      <c r="A70" s="8" t="s">
        <v>367</v>
      </c>
      <c r="B70" s="8" t="s">
        <v>368</v>
      </c>
      <c r="C70" s="9">
        <f>LEN(B70)</f>
        <v>13</v>
      </c>
      <c r="D70" s="8" t="s">
        <v>35</v>
      </c>
      <c r="E70" s="8" t="str">
        <f>_xlfn.CONCAT(B70,"(",A70,")"," - ",D70)</f>
        <v>Anjali Bansal(E1020) - Finance</v>
      </c>
      <c r="F70" s="9" t="str">
        <f>LEFT(E70,FIND("-",E70))</f>
        <v>Anjali Bansal(E1020) -</v>
      </c>
      <c r="G70" s="9" t="str">
        <f>RIGHT(E70,LEN(E70)-FIND("-",E70)-1)</f>
        <v>Finance</v>
      </c>
      <c r="H70" s="9">
        <f>FIND("-",E70)</f>
        <v>22</v>
      </c>
      <c r="I70" s="9">
        <f>LEN(E70)-FIND("-",E70)</f>
        <v>8</v>
      </c>
      <c r="J70" s="8" t="s">
        <v>36</v>
      </c>
      <c r="K70" s="9" t="str">
        <f>SUBSTITUTE(J70,"a","@",1)</f>
        <v>Ahmed@bad</v>
      </c>
      <c r="L70" s="8" t="s">
        <v>369</v>
      </c>
      <c r="M70" s="8" t="str">
        <f>TEXT(L70,"dddd")</f>
        <v>Sunday</v>
      </c>
      <c r="N70" s="8" t="str">
        <f>LEFT(M70,3)</f>
        <v>Sun</v>
      </c>
      <c r="O70" s="8" t="str">
        <f>RIGHT(M70,3)</f>
        <v>day</v>
      </c>
      <c r="P70" s="8">
        <f>MONTH(L70)</f>
        <v>11</v>
      </c>
      <c r="Q70" s="8">
        <f>YEAR(L70)</f>
        <v>2023</v>
      </c>
      <c r="R70" s="8" t="s">
        <v>370</v>
      </c>
      <c r="S70" s="8">
        <f>HOUR(R70)</f>
        <v>9</v>
      </c>
      <c r="T70" s="8">
        <f>MINUTE(R70)</f>
        <v>7</v>
      </c>
      <c r="U70" s="8">
        <f>SECOND(R70)</f>
        <v>15</v>
      </c>
      <c r="V70" s="8">
        <v>43921</v>
      </c>
      <c r="W70" s="8">
        <v>54725</v>
      </c>
      <c r="X70" s="9" t="str">
        <f>IF(W70&gt;50000,"Highe Target","Low Target")</f>
        <v>Highe Target</v>
      </c>
      <c r="Y70" s="9" t="str">
        <f t="shared" si="1"/>
        <v>Highe target</v>
      </c>
      <c r="Z70" s="9" t="str" cm="1">
        <f t="array" ref="Z70">_xlfn.IFS(W70&lt;60000,"LOWERTarget",W70&lt;80000,"Medium Target",W70,"Highe Target")</f>
        <v>LOWERTarget</v>
      </c>
      <c r="AA70" s="8" t="s">
        <v>48</v>
      </c>
      <c r="AB70" s="5" t="str">
        <f>UPPER(AA70)</f>
        <v>CREATIVE IDEAS</v>
      </c>
      <c r="AC70" s="5" t="str">
        <f>LOWER(AA70)</f>
        <v>creative ideas</v>
      </c>
      <c r="AD70" s="5" t="str">
        <f>PROPER(AA70)</f>
        <v>Creative Ideas</v>
      </c>
      <c r="AF70" s="6"/>
    </row>
    <row r="71" ht="14.25" customHeight="1" spans="1:32">
      <c r="A71" s="8" t="s">
        <v>371</v>
      </c>
      <c r="B71" s="8" t="s">
        <v>372</v>
      </c>
      <c r="C71" s="9">
        <f>LEN(B71)</f>
        <v>10</v>
      </c>
      <c r="D71" s="8" t="s">
        <v>44</v>
      </c>
      <c r="E71" s="8" t="str">
        <f>_xlfn.CONCAT(B71,"(",A71,")"," - ",D71)</f>
        <v>Harsh Shah(E1226) - Marketing</v>
      </c>
      <c r="F71" s="9" t="str">
        <f>LEFT(E71,FIND("-",E71))</f>
        <v>Harsh Shah(E1226) -</v>
      </c>
      <c r="G71" s="9" t="str">
        <f>RIGHT(E71,LEN(E71)-FIND("-",E71)-1)</f>
        <v>Marketing</v>
      </c>
      <c r="H71" s="9">
        <f>FIND("-",E71)</f>
        <v>19</v>
      </c>
      <c r="I71" s="9">
        <f>LEN(E71)-FIND("-",E71)</f>
        <v>10</v>
      </c>
      <c r="J71" s="8" t="s">
        <v>45</v>
      </c>
      <c r="K71" s="9" t="str">
        <f>SUBSTITUTE(J71,"a","@",1)</f>
        <v>B@ngalore</v>
      </c>
      <c r="L71" s="8" t="s">
        <v>373</v>
      </c>
      <c r="M71" s="8" t="str">
        <f>TEXT(L71,"dddd")</f>
        <v>Friday</v>
      </c>
      <c r="N71" s="8" t="str">
        <f>LEFT(M71,3)</f>
        <v>Fri</v>
      </c>
      <c r="O71" s="8" t="str">
        <f>RIGHT(M71,3)</f>
        <v>day</v>
      </c>
      <c r="P71" s="8">
        <f>MONTH(L71)</f>
        <v>5</v>
      </c>
      <c r="Q71" s="8">
        <f>YEAR(L71)</f>
        <v>2022</v>
      </c>
      <c r="R71" s="8" t="s">
        <v>374</v>
      </c>
      <c r="S71" s="8">
        <f>HOUR(R71)</f>
        <v>9</v>
      </c>
      <c r="T71" s="8">
        <f>MINUTE(R71)</f>
        <v>35</v>
      </c>
      <c r="U71" s="8">
        <f>SECOND(R71)</f>
        <v>19</v>
      </c>
      <c r="V71" s="8">
        <v>59240</v>
      </c>
      <c r="W71" s="8">
        <v>54736</v>
      </c>
      <c r="X71" s="9" t="str">
        <f>IF(W71&gt;50000,"Highe Target","Low Target")</f>
        <v>Highe Target</v>
      </c>
      <c r="Y71" s="9" t="str">
        <f t="shared" si="1"/>
        <v>Highe target</v>
      </c>
      <c r="Z71" s="9" t="str" cm="1">
        <f t="array" ref="Z71">_xlfn.IFS(W71&lt;60000,"LOWERTarget",W71&lt;80000,"Medium Target",W71,"Highe Target")</f>
        <v>LOWERTarget</v>
      </c>
      <c r="AA71" s="8" t="s">
        <v>118</v>
      </c>
      <c r="AB71" s="5" t="str">
        <f>UPPER(AA71)</f>
        <v>CUSTOMER FOCUSED</v>
      </c>
      <c r="AC71" s="5" t="str">
        <f>LOWER(AA71)</f>
        <v>customer focused</v>
      </c>
      <c r="AD71" s="5" t="str">
        <f>PROPER(AA71)</f>
        <v>Customer Focused</v>
      </c>
      <c r="AF71" s="6"/>
    </row>
    <row r="72" ht="14.25" customHeight="1" spans="1:32">
      <c r="A72" s="8" t="s">
        <v>375</v>
      </c>
      <c r="B72" s="8" t="s">
        <v>376</v>
      </c>
      <c r="C72" s="9">
        <f>LEN(B72)</f>
        <v>9</v>
      </c>
      <c r="D72" s="8" t="s">
        <v>60</v>
      </c>
      <c r="E72" s="8" t="str">
        <f>_xlfn.CONCAT(B72,"(",A72,")"," - ",D72)</f>
        <v>Neha Jain(E1230) - HR</v>
      </c>
      <c r="F72" s="9" t="str">
        <f>LEFT(E72,FIND("-",E72))</f>
        <v>Neha Jain(E1230) -</v>
      </c>
      <c r="G72" s="9" t="str">
        <f>RIGHT(E72,LEN(E72)-FIND("-",E72)-1)</f>
        <v>HR</v>
      </c>
      <c r="H72" s="9">
        <f>FIND("-",E72)</f>
        <v>18</v>
      </c>
      <c r="I72" s="9">
        <f>LEN(E72)-FIND("-",E72)</f>
        <v>3</v>
      </c>
      <c r="J72" s="8" t="s">
        <v>45</v>
      </c>
      <c r="K72" s="9" t="str">
        <f>SUBSTITUTE(J72,"a","@",1)</f>
        <v>B@ngalore</v>
      </c>
      <c r="L72" s="8" t="s">
        <v>377</v>
      </c>
      <c r="M72" s="8" t="str">
        <f>TEXT(L72,"dddd")</f>
        <v>Wednesday</v>
      </c>
      <c r="N72" s="8" t="str">
        <f>LEFT(M72,3)</f>
        <v>Wed</v>
      </c>
      <c r="O72" s="8" t="str">
        <f>RIGHT(M72,3)</f>
        <v>day</v>
      </c>
      <c r="P72" s="8">
        <f>MONTH(L72)</f>
        <v>4</v>
      </c>
      <c r="Q72" s="8">
        <f>YEAR(L72)</f>
        <v>2021</v>
      </c>
      <c r="R72" s="8" t="s">
        <v>378</v>
      </c>
      <c r="S72" s="8">
        <f>HOUR(R72)</f>
        <v>10</v>
      </c>
      <c r="T72" s="8">
        <f>MINUTE(R72)</f>
        <v>57</v>
      </c>
      <c r="U72" s="8">
        <f>SECOND(R72)</f>
        <v>33</v>
      </c>
      <c r="V72" s="8">
        <v>55048</v>
      </c>
      <c r="W72" s="8">
        <v>54789</v>
      </c>
      <c r="X72" s="9" t="str">
        <f>IF(W72&gt;50000,"Highe Target","Low Target")</f>
        <v>Highe Target</v>
      </c>
      <c r="Y72" s="9" t="str">
        <f t="shared" si="1"/>
        <v>Highe target</v>
      </c>
      <c r="Z72" s="9" t="str" cm="1">
        <f t="array" ref="Z72">_xlfn.IFS(W72&lt;60000,"LOWERTarget",W72&lt;80000,"Medium Target",W72,"Highe Target")</f>
        <v>LOWERTarget</v>
      </c>
      <c r="AA72" s="8" t="s">
        <v>87</v>
      </c>
      <c r="AB72" s="5" t="str">
        <f>UPPER(AA72)</f>
        <v>EXCELLENT SERVICE</v>
      </c>
      <c r="AC72" s="5" t="str">
        <f>LOWER(AA72)</f>
        <v>excellent service</v>
      </c>
      <c r="AD72" s="5" t="str">
        <f>PROPER(AA72)</f>
        <v>Excellent Service</v>
      </c>
      <c r="AF72" s="6"/>
    </row>
    <row r="73" ht="14.25" customHeight="1" spans="1:32">
      <c r="A73" s="8" t="s">
        <v>379</v>
      </c>
      <c r="B73" s="8" t="s">
        <v>380</v>
      </c>
      <c r="C73" s="9">
        <f>LEN(B73)</f>
        <v>12</v>
      </c>
      <c r="D73" s="8" t="s">
        <v>44</v>
      </c>
      <c r="E73" s="8" t="str">
        <f>_xlfn.CONCAT(B73,"(",A73,")"," - ",D73)</f>
        <v>Amit Agarwal(E1150) - Marketing</v>
      </c>
      <c r="F73" s="9" t="str">
        <f>LEFT(E73,FIND("-",E73))</f>
        <v>Amit Agarwal(E1150) -</v>
      </c>
      <c r="G73" s="9" t="str">
        <f>RIGHT(E73,LEN(E73)-FIND("-",E73)-1)</f>
        <v>Marketing</v>
      </c>
      <c r="H73" s="9">
        <f>FIND("-",E73)</f>
        <v>21</v>
      </c>
      <c r="I73" s="9">
        <f>LEN(E73)-FIND("-",E73)</f>
        <v>10</v>
      </c>
      <c r="J73" s="8" t="s">
        <v>53</v>
      </c>
      <c r="K73" s="9" t="str">
        <f>SUBSTITUTE(J73,"a","@",1)</f>
        <v>Delhi</v>
      </c>
      <c r="L73" s="8" t="s">
        <v>381</v>
      </c>
      <c r="M73" s="8" t="str">
        <f>TEXT(L73,"dddd")</f>
        <v>Wednesday</v>
      </c>
      <c r="N73" s="8" t="str">
        <f>LEFT(M73,3)</f>
        <v>Wed</v>
      </c>
      <c r="O73" s="8" t="str">
        <f>RIGHT(M73,3)</f>
        <v>day</v>
      </c>
      <c r="P73" s="8">
        <f>MONTH(L73)</f>
        <v>9</v>
      </c>
      <c r="Q73" s="8">
        <f>YEAR(L73)</f>
        <v>2021</v>
      </c>
      <c r="R73" s="8" t="s">
        <v>382</v>
      </c>
      <c r="S73" s="8">
        <f>HOUR(R73)</f>
        <v>9</v>
      </c>
      <c r="T73" s="8">
        <f>MINUTE(R73)</f>
        <v>34</v>
      </c>
      <c r="U73" s="8">
        <f>SECOND(R73)</f>
        <v>45</v>
      </c>
      <c r="V73" s="8">
        <v>72865</v>
      </c>
      <c r="W73" s="8">
        <v>55080</v>
      </c>
      <c r="X73" s="9" t="str">
        <f>IF(W73&gt;50000,"Highe Target","Low Target")</f>
        <v>Highe Target</v>
      </c>
      <c r="Y73" s="9" t="str">
        <f t="shared" si="1"/>
        <v>Highe target</v>
      </c>
      <c r="Z73" s="9" t="str" cm="1">
        <f t="array" ref="Z73">_xlfn.IFS(W73&lt;60000,"LOWERTarget",W73&lt;80000,"Medium Target",W73,"Highe Target")</f>
        <v>LOWERTarget</v>
      </c>
      <c r="AA73" s="8" t="s">
        <v>229</v>
      </c>
      <c r="AB73" s="5" t="str">
        <f>UPPER(AA73)</f>
        <v>STRONG PRESENTATION</v>
      </c>
      <c r="AC73" s="5" t="str">
        <f>LOWER(AA73)</f>
        <v>strong presentation</v>
      </c>
      <c r="AD73" s="5" t="str">
        <f>PROPER(AA73)</f>
        <v>Strong Presentation</v>
      </c>
      <c r="AF73" s="6"/>
    </row>
    <row r="74" ht="14.25" customHeight="1" spans="1:32">
      <c r="A74" s="8" t="s">
        <v>383</v>
      </c>
      <c r="B74" s="8" t="s">
        <v>384</v>
      </c>
      <c r="C74" s="9">
        <f>LEN(B74)</f>
        <v>10</v>
      </c>
      <c r="D74" s="8" t="s">
        <v>35</v>
      </c>
      <c r="E74" s="8" t="str">
        <f>_xlfn.CONCAT(B74,"(",A74,")"," - ",D74)</f>
        <v>Priya Nair(E1088) - Finance</v>
      </c>
      <c r="F74" s="9" t="str">
        <f>LEFT(E74,FIND("-",E74))</f>
        <v>Priya Nair(E1088) -</v>
      </c>
      <c r="G74" s="9" t="str">
        <f>RIGHT(E74,LEN(E74)-FIND("-",E74)-1)</f>
        <v>Finance</v>
      </c>
      <c r="H74" s="9">
        <f>FIND("-",E74)</f>
        <v>19</v>
      </c>
      <c r="I74" s="9">
        <f>LEN(E74)-FIND("-",E74)</f>
        <v>8</v>
      </c>
      <c r="J74" s="8" t="s">
        <v>61</v>
      </c>
      <c r="K74" s="9" t="str">
        <f>SUBSTITUTE(J74,"a","@",1)</f>
        <v>Chenn@i</v>
      </c>
      <c r="L74" s="8" t="s">
        <v>385</v>
      </c>
      <c r="M74" s="8" t="str">
        <f>TEXT(L74,"dddd")</f>
        <v>Tuesday</v>
      </c>
      <c r="N74" s="8" t="str">
        <f>LEFT(M74,3)</f>
        <v>Tue</v>
      </c>
      <c r="O74" s="8" t="str">
        <f>RIGHT(M74,3)</f>
        <v>day</v>
      </c>
      <c r="P74" s="8">
        <f>MONTH(L74)</f>
        <v>12</v>
      </c>
      <c r="Q74" s="8">
        <f>YEAR(L74)</f>
        <v>2024</v>
      </c>
      <c r="R74" s="8" t="s">
        <v>386</v>
      </c>
      <c r="S74" s="8">
        <f>HOUR(R74)</f>
        <v>9</v>
      </c>
      <c r="T74" s="8">
        <f>MINUTE(R74)</f>
        <v>4</v>
      </c>
      <c r="U74" s="8">
        <f>SECOND(R74)</f>
        <v>43</v>
      </c>
      <c r="V74" s="8">
        <v>57634</v>
      </c>
      <c r="W74" s="8">
        <v>55297</v>
      </c>
      <c r="X74" s="9" t="str">
        <f>IF(W74&gt;50000,"Highe Target","Low Target")</f>
        <v>Highe Target</v>
      </c>
      <c r="Y74" s="9" t="str">
        <f t="shared" si="1"/>
        <v>Highe target</v>
      </c>
      <c r="Z74" s="9" t="str" cm="1">
        <f t="array" ref="Z74">_xlfn.IFS(W74&lt;60000,"LOWERTarget",W74&lt;80000,"Medium Target",W74,"Highe Target")</f>
        <v>LOWERTarget</v>
      </c>
      <c r="AA74" s="8" t="s">
        <v>118</v>
      </c>
      <c r="AB74" s="5" t="str">
        <f>UPPER(AA74)</f>
        <v>CUSTOMER FOCUSED</v>
      </c>
      <c r="AC74" s="5" t="str">
        <f>LOWER(AA74)</f>
        <v>customer focused</v>
      </c>
      <c r="AD74" s="5" t="str">
        <f>PROPER(AA74)</f>
        <v>Customer Focused</v>
      </c>
      <c r="AF74" s="6"/>
    </row>
    <row r="75" ht="14.25" customHeight="1" spans="1:32">
      <c r="A75" s="8" t="s">
        <v>387</v>
      </c>
      <c r="B75" s="8" t="s">
        <v>388</v>
      </c>
      <c r="C75" s="9">
        <f>LEN(B75)</f>
        <v>15</v>
      </c>
      <c r="D75" s="8" t="s">
        <v>35</v>
      </c>
      <c r="E75" s="8" t="str">
        <f>_xlfn.CONCAT(B75,"(",A75,")"," - ",D75)</f>
        <v>Siddharth Joshi(E1199) - Finance</v>
      </c>
      <c r="F75" s="9" t="str">
        <f>LEFT(E75,FIND("-",E75))</f>
        <v>Siddharth Joshi(E1199) -</v>
      </c>
      <c r="G75" s="9" t="str">
        <f>RIGHT(E75,LEN(E75)-FIND("-",E75)-1)</f>
        <v>Finance</v>
      </c>
      <c r="H75" s="9">
        <f>FIND("-",E75)</f>
        <v>24</v>
      </c>
      <c r="I75" s="9">
        <f>LEN(E75)-FIND("-",E75)</f>
        <v>8</v>
      </c>
      <c r="J75" s="8" t="s">
        <v>45</v>
      </c>
      <c r="K75" s="9" t="str">
        <f>SUBSTITUTE(J75,"a","@",1)</f>
        <v>B@ngalore</v>
      </c>
      <c r="L75" s="8" t="s">
        <v>389</v>
      </c>
      <c r="M75" s="8" t="str">
        <f>TEXT(L75,"dddd")</f>
        <v>Monday</v>
      </c>
      <c r="N75" s="8" t="str">
        <f>LEFT(M75,3)</f>
        <v>Mon</v>
      </c>
      <c r="O75" s="8" t="str">
        <f>RIGHT(M75,3)</f>
        <v>day</v>
      </c>
      <c r="P75" s="8">
        <f>MONTH(L75)</f>
        <v>9</v>
      </c>
      <c r="Q75" s="8">
        <f>YEAR(L75)</f>
        <v>2021</v>
      </c>
      <c r="R75" s="8" t="s">
        <v>390</v>
      </c>
      <c r="S75" s="8">
        <f>HOUR(R75)</f>
        <v>8</v>
      </c>
      <c r="T75" s="8">
        <f>MINUTE(R75)</f>
        <v>50</v>
      </c>
      <c r="U75" s="8">
        <f>SECOND(R75)</f>
        <v>8</v>
      </c>
      <c r="V75" s="8">
        <v>72890</v>
      </c>
      <c r="W75" s="8">
        <v>55514</v>
      </c>
      <c r="X75" s="9" t="str">
        <f>IF(W75&gt;50000,"Highe Target","Low Target")</f>
        <v>Highe Target</v>
      </c>
      <c r="Y75" s="9" t="str">
        <f t="shared" si="1"/>
        <v>Highe target</v>
      </c>
      <c r="Z75" s="9" t="str" cm="1">
        <f t="array" ref="Z75">_xlfn.IFS(W75&lt;60000,"LOWERTarget",W75&lt;80000,"Medium Target",W75,"Highe Target")</f>
        <v>LOWERTarget</v>
      </c>
      <c r="AA75" s="8" t="s">
        <v>87</v>
      </c>
      <c r="AB75" s="5" t="str">
        <f>UPPER(AA75)</f>
        <v>EXCELLENT SERVICE</v>
      </c>
      <c r="AC75" s="5" t="str">
        <f>LOWER(AA75)</f>
        <v>excellent service</v>
      </c>
      <c r="AD75" s="5" t="str">
        <f>PROPER(AA75)</f>
        <v>Excellent Service</v>
      </c>
      <c r="AF75" s="6"/>
    </row>
    <row r="76" ht="14.25" customHeight="1" spans="1:32">
      <c r="A76" s="8" t="s">
        <v>391</v>
      </c>
      <c r="B76" s="8" t="s">
        <v>392</v>
      </c>
      <c r="C76" s="9">
        <f>LEN(B76)</f>
        <v>12</v>
      </c>
      <c r="D76" s="8" t="s">
        <v>35</v>
      </c>
      <c r="E76" s="8" t="str">
        <f>_xlfn.CONCAT(B76,"(",A76,")"," - ",D76)</f>
        <v>Nidhi Mishra(E1032) - Finance</v>
      </c>
      <c r="F76" s="9" t="str">
        <f>LEFT(E76,FIND("-",E76))</f>
        <v>Nidhi Mishra(E1032) -</v>
      </c>
      <c r="G76" s="9" t="str">
        <f>RIGHT(E76,LEN(E76)-FIND("-",E76)-1)</f>
        <v>Finance</v>
      </c>
      <c r="H76" s="9">
        <f>FIND("-",E76)</f>
        <v>21</v>
      </c>
      <c r="I76" s="9">
        <f>LEN(E76)-FIND("-",E76)</f>
        <v>8</v>
      </c>
      <c r="J76" s="8" t="s">
        <v>61</v>
      </c>
      <c r="K76" s="9" t="str">
        <f>SUBSTITUTE(J76,"a","@",1)</f>
        <v>Chenn@i</v>
      </c>
      <c r="L76" s="8" t="s">
        <v>393</v>
      </c>
      <c r="M76" s="8" t="str">
        <f>TEXT(L76,"dddd")</f>
        <v>Wednesday</v>
      </c>
      <c r="N76" s="8" t="str">
        <f>LEFT(M76,3)</f>
        <v>Wed</v>
      </c>
      <c r="O76" s="8" t="str">
        <f>RIGHT(M76,3)</f>
        <v>day</v>
      </c>
      <c r="P76" s="8">
        <f>MONTH(L76)</f>
        <v>2</v>
      </c>
      <c r="Q76" s="8">
        <f>YEAR(L76)</f>
        <v>2022</v>
      </c>
      <c r="R76" s="8" t="s">
        <v>394</v>
      </c>
      <c r="S76" s="8">
        <f>HOUR(R76)</f>
        <v>10</v>
      </c>
      <c r="T76" s="8">
        <f>MINUTE(R76)</f>
        <v>45</v>
      </c>
      <c r="U76" s="8">
        <f>SECOND(R76)</f>
        <v>20</v>
      </c>
      <c r="V76" s="8">
        <v>58049</v>
      </c>
      <c r="W76" s="8">
        <v>55642</v>
      </c>
      <c r="X76" s="9" t="str">
        <f>IF(W76&gt;50000,"Highe Target","Low Target")</f>
        <v>Highe Target</v>
      </c>
      <c r="Y76" s="9" t="str">
        <f t="shared" si="1"/>
        <v>Highe target</v>
      </c>
      <c r="Z76" s="9" t="str" cm="1">
        <f t="array" ref="Z76">_xlfn.IFS(W76&lt;60000,"LOWERTarget",W76&lt;80000,"Medium Target",W76,"Highe Target")</f>
        <v>LOWERTarget</v>
      </c>
      <c r="AA76" s="8" t="s">
        <v>39</v>
      </c>
      <c r="AB76" s="5" t="str">
        <f>UPPER(AA76)</f>
        <v>DETAILED ANALYSIS</v>
      </c>
      <c r="AC76" s="5" t="str">
        <f>LOWER(AA76)</f>
        <v>detailed analysis</v>
      </c>
      <c r="AD76" s="5" t="str">
        <f>PROPER(AA76)</f>
        <v>Detailed Analysis</v>
      </c>
      <c r="AF76" s="6"/>
    </row>
    <row r="77" ht="14.25" customHeight="1" spans="1:32">
      <c r="A77" s="8" t="s">
        <v>395</v>
      </c>
      <c r="B77" s="8" t="s">
        <v>396</v>
      </c>
      <c r="C77" s="9">
        <f>LEN(B77)</f>
        <v>10</v>
      </c>
      <c r="D77" s="8" t="s">
        <v>35</v>
      </c>
      <c r="E77" s="8" t="str">
        <f>_xlfn.CONCAT(B77,"(",A77,")"," - ",D77)</f>
        <v>Varun Nair(E1052) - Finance</v>
      </c>
      <c r="F77" s="9" t="str">
        <f>LEFT(E77,FIND("-",E77))</f>
        <v>Varun Nair(E1052) -</v>
      </c>
      <c r="G77" s="9" t="str">
        <f>RIGHT(E77,LEN(E77)-FIND("-",E77)-1)</f>
        <v>Finance</v>
      </c>
      <c r="H77" s="9">
        <f>FIND("-",E77)</f>
        <v>19</v>
      </c>
      <c r="I77" s="9">
        <f>LEN(E77)-FIND("-",E77)</f>
        <v>8</v>
      </c>
      <c r="J77" s="8" t="s">
        <v>45</v>
      </c>
      <c r="K77" s="9" t="str">
        <f>SUBSTITUTE(J77,"a","@",1)</f>
        <v>B@ngalore</v>
      </c>
      <c r="L77" s="8" t="s">
        <v>397</v>
      </c>
      <c r="M77" s="8" t="str">
        <f>TEXT(L77,"dddd")</f>
        <v>Saturday</v>
      </c>
      <c r="N77" s="8" t="str">
        <f>LEFT(M77,3)</f>
        <v>Sat</v>
      </c>
      <c r="O77" s="8" t="str">
        <f>RIGHT(M77,3)</f>
        <v>day</v>
      </c>
      <c r="P77" s="8">
        <f>MONTH(L77)</f>
        <v>2</v>
      </c>
      <c r="Q77" s="8">
        <f>YEAR(L77)</f>
        <v>2022</v>
      </c>
      <c r="R77" s="8" t="s">
        <v>398</v>
      </c>
      <c r="S77" s="8">
        <f>HOUR(R77)</f>
        <v>8</v>
      </c>
      <c r="T77" s="8">
        <f>MINUTE(R77)</f>
        <v>1</v>
      </c>
      <c r="U77" s="8">
        <f>SECOND(R77)</f>
        <v>2</v>
      </c>
      <c r="V77" s="8">
        <v>72184</v>
      </c>
      <c r="W77" s="8">
        <v>56046</v>
      </c>
      <c r="X77" s="9" t="str">
        <f>IF(W77&gt;50000,"Highe Target","Low Target")</f>
        <v>Highe Target</v>
      </c>
      <c r="Y77" s="9" t="str">
        <f t="shared" si="1"/>
        <v>Highe target</v>
      </c>
      <c r="Z77" s="9" t="str" cm="1">
        <f t="array" ref="Z77">_xlfn.IFS(W77&lt;60000,"LOWERTarget",W77&lt;80000,"Medium Target",W77,"Highe Target")</f>
        <v>LOWERTarget</v>
      </c>
      <c r="AA77" s="8" t="s">
        <v>79</v>
      </c>
      <c r="AB77" s="5" t="str">
        <f>UPPER(AA77)</f>
        <v>EXCELLENT LEADERSHIP</v>
      </c>
      <c r="AC77" s="5" t="str">
        <f>LOWER(AA77)</f>
        <v>excellent leadership</v>
      </c>
      <c r="AD77" s="5" t="str">
        <f>PROPER(AA77)</f>
        <v>Excellent Leadership</v>
      </c>
      <c r="AF77" s="6"/>
    </row>
    <row r="78" ht="14.25" customHeight="1" spans="1:32">
      <c r="A78" s="8" t="s">
        <v>399</v>
      </c>
      <c r="B78" s="8" t="s">
        <v>400</v>
      </c>
      <c r="C78" s="9">
        <f>LEN(B78)</f>
        <v>12</v>
      </c>
      <c r="D78" s="8" t="s">
        <v>93</v>
      </c>
      <c r="E78" s="8" t="str">
        <f>_xlfn.CONCAT(B78,"(",A78,")"," - ",D78)</f>
        <v>Kavita Verma(E1084) - Sales</v>
      </c>
      <c r="F78" s="9" t="str">
        <f>LEFT(E78,FIND("-",E78))</f>
        <v>Kavita Verma(E1084) -</v>
      </c>
      <c r="G78" s="9" t="str">
        <f>RIGHT(E78,LEN(E78)-FIND("-",E78)-1)</f>
        <v>Sales</v>
      </c>
      <c r="H78" s="9">
        <f>FIND("-",E78)</f>
        <v>21</v>
      </c>
      <c r="I78" s="9">
        <f>LEN(E78)-FIND("-",E78)</f>
        <v>6</v>
      </c>
      <c r="J78" s="8" t="s">
        <v>53</v>
      </c>
      <c r="K78" s="9" t="str">
        <f>SUBSTITUTE(J78,"a","@",1)</f>
        <v>Delhi</v>
      </c>
      <c r="L78" s="8" t="s">
        <v>401</v>
      </c>
      <c r="M78" s="8" t="str">
        <f>TEXT(L78,"dddd")</f>
        <v>Tuesday</v>
      </c>
      <c r="N78" s="8" t="str">
        <f>LEFT(M78,3)</f>
        <v>Tue</v>
      </c>
      <c r="O78" s="8" t="str">
        <f>RIGHT(M78,3)</f>
        <v>day</v>
      </c>
      <c r="P78" s="8">
        <f>MONTH(L78)</f>
        <v>11</v>
      </c>
      <c r="Q78" s="8">
        <f>YEAR(L78)</f>
        <v>2021</v>
      </c>
      <c r="R78" s="8" t="s">
        <v>402</v>
      </c>
      <c r="S78" s="8">
        <f>HOUR(R78)</f>
        <v>10</v>
      </c>
      <c r="T78" s="8">
        <f>MINUTE(R78)</f>
        <v>19</v>
      </c>
      <c r="U78" s="8">
        <f>SECOND(R78)</f>
        <v>5</v>
      </c>
      <c r="V78" s="8">
        <v>49027</v>
      </c>
      <c r="W78" s="8">
        <v>56265</v>
      </c>
      <c r="X78" s="9" t="str">
        <f>IF(W78&gt;50000,"Highe Target","Low Target")</f>
        <v>Highe Target</v>
      </c>
      <c r="Y78" s="9" t="str">
        <f t="shared" si="1"/>
        <v>Highe target</v>
      </c>
      <c r="Z78" s="9" t="str" cm="1">
        <f t="array" ref="Z78">_xlfn.IFS(W78&lt;60000,"LOWERTarget",W78&lt;80000,"Medium Target",W78,"Highe Target")</f>
        <v>LOWERTarget</v>
      </c>
      <c r="AA78" s="8" t="s">
        <v>229</v>
      </c>
      <c r="AB78" s="5" t="str">
        <f>UPPER(AA78)</f>
        <v>STRONG PRESENTATION</v>
      </c>
      <c r="AC78" s="5" t="str">
        <f>LOWER(AA78)</f>
        <v>strong presentation</v>
      </c>
      <c r="AD78" s="5" t="str">
        <f>PROPER(AA78)</f>
        <v>Strong Presentation</v>
      </c>
      <c r="AF78" s="6"/>
    </row>
    <row r="79" ht="14.25" customHeight="1" spans="1:32">
      <c r="A79" s="8" t="s">
        <v>403</v>
      </c>
      <c r="B79" s="8" t="s">
        <v>404</v>
      </c>
      <c r="C79" s="9">
        <f>LEN(B79)</f>
        <v>11</v>
      </c>
      <c r="D79" s="8" t="s">
        <v>35</v>
      </c>
      <c r="E79" s="8" t="str">
        <f>_xlfn.CONCAT(B79,"(",A79,")"," - ",D79)</f>
        <v>Arjun Patel(E1040) - Finance</v>
      </c>
      <c r="F79" s="9" t="str">
        <f>LEFT(E79,FIND("-",E79))</f>
        <v>Arjun Patel(E1040) -</v>
      </c>
      <c r="G79" s="9" t="str">
        <f>RIGHT(E79,LEN(E79)-FIND("-",E79)-1)</f>
        <v>Finance</v>
      </c>
      <c r="H79" s="9">
        <f>FIND("-",E79)</f>
        <v>20</v>
      </c>
      <c r="I79" s="9">
        <f>LEN(E79)-FIND("-",E79)</f>
        <v>8</v>
      </c>
      <c r="J79" s="8" t="s">
        <v>172</v>
      </c>
      <c r="K79" s="9" t="str">
        <f>SUBSTITUTE(J79,"a","@",1)</f>
        <v>Hyder@bad</v>
      </c>
      <c r="L79" s="8" t="s">
        <v>405</v>
      </c>
      <c r="M79" s="8" t="str">
        <f>TEXT(L79,"dddd")</f>
        <v>Tuesday</v>
      </c>
      <c r="N79" s="8" t="str">
        <f>LEFT(M79,3)</f>
        <v>Tue</v>
      </c>
      <c r="O79" s="8" t="str">
        <f>RIGHT(M79,3)</f>
        <v>day</v>
      </c>
      <c r="P79" s="8">
        <f>MONTH(L79)</f>
        <v>3</v>
      </c>
      <c r="Q79" s="8">
        <f>YEAR(L79)</f>
        <v>2021</v>
      </c>
      <c r="R79" s="8" t="s">
        <v>406</v>
      </c>
      <c r="S79" s="8">
        <f>HOUR(R79)</f>
        <v>9</v>
      </c>
      <c r="T79" s="8">
        <f>MINUTE(R79)</f>
        <v>13</v>
      </c>
      <c r="U79" s="8">
        <f>SECOND(R79)</f>
        <v>43</v>
      </c>
      <c r="V79" s="8">
        <v>48089</v>
      </c>
      <c r="W79" s="8">
        <v>56353</v>
      </c>
      <c r="X79" s="9" t="str">
        <f>IF(W79&gt;50000,"Highe Target","Low Target")</f>
        <v>Highe Target</v>
      </c>
      <c r="Y79" s="9" t="str">
        <f t="shared" si="1"/>
        <v>Highe target</v>
      </c>
      <c r="Z79" s="9" t="str" cm="1">
        <f t="array" ref="Z79">_xlfn.IFS(W79&lt;60000,"LOWERTarget",W79&lt;80000,"Medium Target",W79,"Highe Target")</f>
        <v>LOWERTarget</v>
      </c>
      <c r="AA79" s="8" t="s">
        <v>48</v>
      </c>
      <c r="AB79" s="5" t="str">
        <f>UPPER(AA79)</f>
        <v>CREATIVE IDEAS</v>
      </c>
      <c r="AC79" s="5" t="str">
        <f>LOWER(AA79)</f>
        <v>creative ideas</v>
      </c>
      <c r="AD79" s="5" t="str">
        <f>PROPER(AA79)</f>
        <v>Creative Ideas</v>
      </c>
      <c r="AF79" s="6"/>
    </row>
    <row r="80" ht="14.25" customHeight="1" spans="1:32">
      <c r="A80" s="8" t="s">
        <v>407</v>
      </c>
      <c r="B80" s="8" t="s">
        <v>171</v>
      </c>
      <c r="C80" s="9">
        <f>LEN(B80)</f>
        <v>14</v>
      </c>
      <c r="D80" s="8" t="s">
        <v>60</v>
      </c>
      <c r="E80" s="8" t="str">
        <f>_xlfn.CONCAT(B80,"(",A80,")"," - ",D80)</f>
        <v>Madhuri Mishra(E1113) - HR</v>
      </c>
      <c r="F80" s="9" t="str">
        <f>LEFT(E80,FIND("-",E80))</f>
        <v>Madhuri Mishra(E1113) -</v>
      </c>
      <c r="G80" s="9" t="str">
        <f>RIGHT(E80,LEN(E80)-FIND("-",E80)-1)</f>
        <v>HR</v>
      </c>
      <c r="H80" s="9">
        <f>FIND("-",E80)</f>
        <v>23</v>
      </c>
      <c r="I80" s="9">
        <f>LEN(E80)-FIND("-",E80)</f>
        <v>3</v>
      </c>
      <c r="J80" s="8" t="s">
        <v>45</v>
      </c>
      <c r="K80" s="9" t="str">
        <f>SUBSTITUTE(J80,"a","@",1)</f>
        <v>B@ngalore</v>
      </c>
      <c r="L80" s="8" t="s">
        <v>408</v>
      </c>
      <c r="M80" s="8" t="str">
        <f>TEXT(L80,"dddd")</f>
        <v>Thursday</v>
      </c>
      <c r="N80" s="8" t="str">
        <f>LEFT(M80,3)</f>
        <v>Thu</v>
      </c>
      <c r="O80" s="8" t="str">
        <f>RIGHT(M80,3)</f>
        <v>day</v>
      </c>
      <c r="P80" s="8">
        <f>MONTH(L80)</f>
        <v>8</v>
      </c>
      <c r="Q80" s="8">
        <f>YEAR(L80)</f>
        <v>2023</v>
      </c>
      <c r="R80" s="8" t="s">
        <v>409</v>
      </c>
      <c r="S80" s="8">
        <f>HOUR(R80)</f>
        <v>10</v>
      </c>
      <c r="T80" s="8">
        <f>MINUTE(R80)</f>
        <v>16</v>
      </c>
      <c r="U80" s="8">
        <f>SECOND(R80)</f>
        <v>29</v>
      </c>
      <c r="V80" s="8">
        <v>42348</v>
      </c>
      <c r="W80" s="8">
        <v>56733</v>
      </c>
      <c r="X80" s="9" t="str">
        <f>IF(W80&gt;50000,"Highe Target","Low Target")</f>
        <v>Highe Target</v>
      </c>
      <c r="Y80" s="9" t="str">
        <f t="shared" si="1"/>
        <v>Highe target</v>
      </c>
      <c r="Z80" s="9" t="str" cm="1">
        <f t="array" ref="Z80">_xlfn.IFS(W80&lt;60000,"LOWERTarget",W80&lt;80000,"Medium Target",W80,"Highe Target")</f>
        <v>LOWERTarget</v>
      </c>
      <c r="AA80" s="8" t="s">
        <v>71</v>
      </c>
      <c r="AB80" s="5" t="str">
        <f>UPPER(AA80)</f>
        <v>GREAT SUPPORT</v>
      </c>
      <c r="AC80" s="5" t="str">
        <f>LOWER(AA80)</f>
        <v>great support</v>
      </c>
      <c r="AD80" s="5" t="str">
        <f>PROPER(AA80)</f>
        <v>Great Support</v>
      </c>
      <c r="AF80" s="6"/>
    </row>
    <row r="81" ht="14.25" customHeight="1" spans="1:32">
      <c r="A81" s="8" t="s">
        <v>410</v>
      </c>
      <c r="B81" s="8" t="s">
        <v>411</v>
      </c>
      <c r="C81" s="9">
        <f>LEN(B81)</f>
        <v>13</v>
      </c>
      <c r="D81" s="8" t="s">
        <v>93</v>
      </c>
      <c r="E81" s="8" t="str">
        <f>_xlfn.CONCAT(B81,"(",A81,")"," - ",D81)</f>
        <v>Manish Sharma(E1063) - Sales</v>
      </c>
      <c r="F81" s="9" t="str">
        <f>LEFT(E81,FIND("-",E81))</f>
        <v>Manish Sharma(E1063) -</v>
      </c>
      <c r="G81" s="9" t="str">
        <f>RIGHT(E81,LEN(E81)-FIND("-",E81)-1)</f>
        <v>Sales</v>
      </c>
      <c r="H81" s="9">
        <f>FIND("-",E81)</f>
        <v>22</v>
      </c>
      <c r="I81" s="9">
        <f>LEN(E81)-FIND("-",E81)</f>
        <v>6</v>
      </c>
      <c r="J81" s="8" t="s">
        <v>182</v>
      </c>
      <c r="K81" s="9" t="str">
        <f>SUBSTITUTE(J81,"a","@",1)</f>
        <v>Kolk@ta</v>
      </c>
      <c r="L81" s="8" t="s">
        <v>412</v>
      </c>
      <c r="M81" s="8" t="str">
        <f>TEXT(L81,"dddd")</f>
        <v>Tuesday</v>
      </c>
      <c r="N81" s="8" t="str">
        <f>LEFT(M81,3)</f>
        <v>Tue</v>
      </c>
      <c r="O81" s="8" t="str">
        <f>RIGHT(M81,3)</f>
        <v>day</v>
      </c>
      <c r="P81" s="8">
        <f>MONTH(L81)</f>
        <v>10</v>
      </c>
      <c r="Q81" s="8">
        <f>YEAR(L81)</f>
        <v>2021</v>
      </c>
      <c r="R81" s="8" t="s">
        <v>413</v>
      </c>
      <c r="S81" s="8">
        <f>HOUR(R81)</f>
        <v>9</v>
      </c>
      <c r="T81" s="8">
        <f>MINUTE(R81)</f>
        <v>11</v>
      </c>
      <c r="U81" s="8">
        <f>SECOND(R81)</f>
        <v>3</v>
      </c>
      <c r="V81" s="8">
        <v>66893</v>
      </c>
      <c r="W81" s="8">
        <v>57049</v>
      </c>
      <c r="X81" s="9" t="str">
        <f>IF(W81&gt;50000,"Highe Target","Low Target")</f>
        <v>Highe Target</v>
      </c>
      <c r="Y81" s="9" t="str">
        <f t="shared" si="1"/>
        <v>Highe target</v>
      </c>
      <c r="Z81" s="9" t="str" cm="1">
        <f t="array" ref="Z81">_xlfn.IFS(W81&lt;60000,"LOWERTarget",W81&lt;80000,"Medium Target",W81,"Highe Target")</f>
        <v>LOWERTarget</v>
      </c>
      <c r="AA81" s="8" t="s">
        <v>48</v>
      </c>
      <c r="AB81" s="5" t="str">
        <f>UPPER(AA81)</f>
        <v>CREATIVE IDEAS</v>
      </c>
      <c r="AC81" s="5" t="str">
        <f>LOWER(AA81)</f>
        <v>creative ideas</v>
      </c>
      <c r="AD81" s="5" t="str">
        <f>PROPER(AA81)</f>
        <v>Creative Ideas</v>
      </c>
      <c r="AF81" s="6"/>
    </row>
    <row r="82" ht="14.25" customHeight="1" spans="1:32">
      <c r="A82" s="8" t="s">
        <v>414</v>
      </c>
      <c r="B82" s="8" t="s">
        <v>415</v>
      </c>
      <c r="C82" s="9">
        <f>LEN(B82)</f>
        <v>11</v>
      </c>
      <c r="D82" s="8" t="s">
        <v>44</v>
      </c>
      <c r="E82" s="8" t="str">
        <f>_xlfn.CONCAT(B82,"(",A82,")"," - ",D82)</f>
        <v>Rohan Gupta(E1263) - Marketing</v>
      </c>
      <c r="F82" s="9" t="str">
        <f>LEFT(E82,FIND("-",E82))</f>
        <v>Rohan Gupta(E1263) -</v>
      </c>
      <c r="G82" s="9" t="str">
        <f>RIGHT(E82,LEN(E82)-FIND("-",E82)-1)</f>
        <v>Marketing</v>
      </c>
      <c r="H82" s="9">
        <f>FIND("-",E82)</f>
        <v>20</v>
      </c>
      <c r="I82" s="9">
        <f>LEN(E82)-FIND("-",E82)</f>
        <v>10</v>
      </c>
      <c r="J82" s="8" t="s">
        <v>36</v>
      </c>
      <c r="K82" s="9" t="str">
        <f>SUBSTITUTE(J82,"a","@",1)</f>
        <v>Ahmed@bad</v>
      </c>
      <c r="L82" s="8" t="s">
        <v>416</v>
      </c>
      <c r="M82" s="8" t="str">
        <f>TEXT(L82,"dddd")</f>
        <v>Friday</v>
      </c>
      <c r="N82" s="8" t="str">
        <f>LEFT(M82,3)</f>
        <v>Fri</v>
      </c>
      <c r="O82" s="8" t="str">
        <f>RIGHT(M82,3)</f>
        <v>day</v>
      </c>
      <c r="P82" s="8">
        <f>MONTH(L82)</f>
        <v>12</v>
      </c>
      <c r="Q82" s="8">
        <f>YEAR(L82)</f>
        <v>2023</v>
      </c>
      <c r="R82" s="8" t="s">
        <v>417</v>
      </c>
      <c r="S82" s="8">
        <f>HOUR(R82)</f>
        <v>10</v>
      </c>
      <c r="T82" s="8">
        <f>MINUTE(R82)</f>
        <v>22</v>
      </c>
      <c r="U82" s="8">
        <f>SECOND(R82)</f>
        <v>19</v>
      </c>
      <c r="V82" s="8">
        <v>65710</v>
      </c>
      <c r="W82" s="8">
        <v>57141</v>
      </c>
      <c r="X82" s="9" t="str">
        <f>IF(W82&gt;50000,"Highe Target","Low Target")</f>
        <v>Highe Target</v>
      </c>
      <c r="Y82" s="9" t="str">
        <f t="shared" si="1"/>
        <v>Highe target</v>
      </c>
      <c r="Z82" s="9" t="str" cm="1">
        <f t="array" ref="Z82">_xlfn.IFS(W82&lt;60000,"LOWERTarget",W82&lt;80000,"Medium Target",W82,"Highe Target")</f>
        <v>LOWERTarget</v>
      </c>
      <c r="AA82" s="8" t="s">
        <v>229</v>
      </c>
      <c r="AB82" s="5" t="str">
        <f>UPPER(AA82)</f>
        <v>STRONG PRESENTATION</v>
      </c>
      <c r="AC82" s="5" t="str">
        <f>LOWER(AA82)</f>
        <v>strong presentation</v>
      </c>
      <c r="AD82" s="5" t="str">
        <f>PROPER(AA82)</f>
        <v>Strong Presentation</v>
      </c>
      <c r="AF82" s="6"/>
    </row>
    <row r="83" ht="14.25" customHeight="1" spans="1:32">
      <c r="A83" s="8" t="s">
        <v>418</v>
      </c>
      <c r="B83" s="8" t="s">
        <v>419</v>
      </c>
      <c r="C83" s="9">
        <f>LEN(B83)</f>
        <v>13</v>
      </c>
      <c r="D83" s="8" t="s">
        <v>60</v>
      </c>
      <c r="E83" s="8" t="str">
        <f>_xlfn.CONCAT(B83,"(",A83,")"," - ",D83)</f>
        <v>Anjali Chopra(E1015) - HR</v>
      </c>
      <c r="F83" s="9" t="str">
        <f>LEFT(E83,FIND("-",E83))</f>
        <v>Anjali Chopra(E1015) -</v>
      </c>
      <c r="G83" s="9" t="str">
        <f>RIGHT(E83,LEN(E83)-FIND("-",E83)-1)</f>
        <v>HR</v>
      </c>
      <c r="H83" s="9">
        <f>FIND("-",E83)</f>
        <v>22</v>
      </c>
      <c r="I83" s="9">
        <f>LEN(E83)-FIND("-",E83)</f>
        <v>3</v>
      </c>
      <c r="J83" s="8" t="s">
        <v>36</v>
      </c>
      <c r="K83" s="9" t="str">
        <f>SUBSTITUTE(J83,"a","@",1)</f>
        <v>Ahmed@bad</v>
      </c>
      <c r="L83" s="8" t="s">
        <v>420</v>
      </c>
      <c r="M83" s="8" t="str">
        <f>TEXT(L83,"dddd")</f>
        <v>Thursday</v>
      </c>
      <c r="N83" s="8" t="str">
        <f>LEFT(M83,3)</f>
        <v>Thu</v>
      </c>
      <c r="O83" s="8" t="str">
        <f>RIGHT(M83,3)</f>
        <v>day</v>
      </c>
      <c r="P83" s="8">
        <f>MONTH(L83)</f>
        <v>1</v>
      </c>
      <c r="Q83" s="8">
        <f>YEAR(L83)</f>
        <v>2021</v>
      </c>
      <c r="R83" s="8" t="s">
        <v>421</v>
      </c>
      <c r="S83" s="8">
        <f>HOUR(R83)</f>
        <v>10</v>
      </c>
      <c r="T83" s="8">
        <f>MINUTE(R83)</f>
        <v>56</v>
      </c>
      <c r="U83" s="8">
        <f>SECOND(R83)</f>
        <v>46</v>
      </c>
      <c r="V83" s="8">
        <v>75067</v>
      </c>
      <c r="W83" s="8">
        <v>57261</v>
      </c>
      <c r="X83" s="9" t="str">
        <f>IF(W83&gt;50000,"Highe Target","Low Target")</f>
        <v>Highe Target</v>
      </c>
      <c r="Y83" s="9" t="str">
        <f t="shared" si="1"/>
        <v>Highe target</v>
      </c>
      <c r="Z83" s="9" t="str" cm="1">
        <f t="array" ref="Z83">_xlfn.IFS(W83&lt;60000,"LOWERTarget",W83&lt;80000,"Medium Target",W83,"Highe Target")</f>
        <v>LOWERTarget</v>
      </c>
      <c r="AA83" s="8" t="s">
        <v>118</v>
      </c>
      <c r="AB83" s="5" t="str">
        <f>UPPER(AA83)</f>
        <v>CUSTOMER FOCUSED</v>
      </c>
      <c r="AC83" s="5" t="str">
        <f>LOWER(AA83)</f>
        <v>customer focused</v>
      </c>
      <c r="AD83" s="5" t="str">
        <f>PROPER(AA83)</f>
        <v>Customer Focused</v>
      </c>
      <c r="AF83" s="6"/>
    </row>
    <row r="84" ht="14.25" customHeight="1" spans="1:32">
      <c r="A84" s="8" t="s">
        <v>422</v>
      </c>
      <c r="B84" s="8" t="s">
        <v>423</v>
      </c>
      <c r="C84" s="9">
        <f>LEN(B84)</f>
        <v>11</v>
      </c>
      <c r="D84" s="8" t="s">
        <v>35</v>
      </c>
      <c r="E84" s="8" t="str">
        <f>_xlfn.CONCAT(B84,"(",A84,")"," - ",D84)</f>
        <v>Nidhi Goyal(E1045) - Finance</v>
      </c>
      <c r="F84" s="9" t="str">
        <f>LEFT(E84,FIND("-",E84))</f>
        <v>Nidhi Goyal(E1045) -</v>
      </c>
      <c r="G84" s="9" t="str">
        <f>RIGHT(E84,LEN(E84)-FIND("-",E84)-1)</f>
        <v>Finance</v>
      </c>
      <c r="H84" s="9">
        <f>FIND("-",E84)</f>
        <v>20</v>
      </c>
      <c r="I84" s="9">
        <f>LEN(E84)-FIND("-",E84)</f>
        <v>8</v>
      </c>
      <c r="J84" s="8" t="s">
        <v>153</v>
      </c>
      <c r="K84" s="9" t="str">
        <f>SUBSTITUTE(J84,"a","@",1)</f>
        <v>Mumb@i</v>
      </c>
      <c r="L84" s="8" t="s">
        <v>424</v>
      </c>
      <c r="M84" s="8" t="str">
        <f>TEXT(L84,"dddd")</f>
        <v>Wednesday</v>
      </c>
      <c r="N84" s="8" t="str">
        <f>LEFT(M84,3)</f>
        <v>Wed</v>
      </c>
      <c r="O84" s="8" t="str">
        <f>RIGHT(M84,3)</f>
        <v>day</v>
      </c>
      <c r="P84" s="8">
        <f>MONTH(L84)</f>
        <v>8</v>
      </c>
      <c r="Q84" s="8">
        <f>YEAR(L84)</f>
        <v>2021</v>
      </c>
      <c r="R84" s="8" t="s">
        <v>425</v>
      </c>
      <c r="S84" s="8">
        <f>HOUR(R84)</f>
        <v>9</v>
      </c>
      <c r="T84" s="8">
        <f>MINUTE(R84)</f>
        <v>11</v>
      </c>
      <c r="U84" s="8">
        <f>SECOND(R84)</f>
        <v>37</v>
      </c>
      <c r="V84" s="8">
        <v>44904</v>
      </c>
      <c r="W84" s="8">
        <v>57397</v>
      </c>
      <c r="X84" s="9" t="str">
        <f>IF(W84&gt;50000,"Highe Target","Low Target")</f>
        <v>Highe Target</v>
      </c>
      <c r="Y84" s="9" t="str">
        <f t="shared" si="1"/>
        <v>Highe target</v>
      </c>
      <c r="Z84" s="9" t="str" cm="1">
        <f t="array" ref="Z84">_xlfn.IFS(W84&lt;60000,"LOWERTarget",W84&lt;80000,"Medium Target",W84,"Highe Target")</f>
        <v>LOWERTarget</v>
      </c>
      <c r="AA84" s="8" t="s">
        <v>160</v>
      </c>
      <c r="AB84" s="5" t="str">
        <f>UPPER(AA84)</f>
        <v>GOOD COMMUNICATION</v>
      </c>
      <c r="AC84" s="5" t="str">
        <f>LOWER(AA84)</f>
        <v>good communication</v>
      </c>
      <c r="AD84" s="5" t="str">
        <f>PROPER(AA84)</f>
        <v>Good Communication</v>
      </c>
      <c r="AF84" s="6"/>
    </row>
    <row r="85" ht="14.25" customHeight="1" spans="1:32">
      <c r="A85" s="8" t="s">
        <v>426</v>
      </c>
      <c r="B85" s="8" t="s">
        <v>427</v>
      </c>
      <c r="C85" s="9">
        <f>LEN(B85)</f>
        <v>10</v>
      </c>
      <c r="D85" s="8" t="s">
        <v>93</v>
      </c>
      <c r="E85" s="8" t="str">
        <f>_xlfn.CONCAT(B85,"(",A85,")"," - ",D85)</f>
        <v>Rohan Nair(E1238) - Sales</v>
      </c>
      <c r="F85" s="9" t="str">
        <f>LEFT(E85,FIND("-",E85))</f>
        <v>Rohan Nair(E1238) -</v>
      </c>
      <c r="G85" s="9" t="str">
        <f>RIGHT(E85,LEN(E85)-FIND("-",E85)-1)</f>
        <v>Sales</v>
      </c>
      <c r="H85" s="9">
        <f>FIND("-",E85)</f>
        <v>19</v>
      </c>
      <c r="I85" s="9">
        <f>LEN(E85)-FIND("-",E85)</f>
        <v>6</v>
      </c>
      <c r="J85" s="8" t="s">
        <v>61</v>
      </c>
      <c r="K85" s="9" t="str">
        <f>SUBSTITUTE(J85,"a","@",1)</f>
        <v>Chenn@i</v>
      </c>
      <c r="L85" s="8" t="s">
        <v>428</v>
      </c>
      <c r="M85" s="8" t="str">
        <f>TEXT(L85,"dddd")</f>
        <v>Saturday</v>
      </c>
      <c r="N85" s="8" t="str">
        <f>LEFT(M85,3)</f>
        <v>Sat</v>
      </c>
      <c r="O85" s="8" t="str">
        <f>RIGHT(M85,3)</f>
        <v>day</v>
      </c>
      <c r="P85" s="8">
        <f>MONTH(L85)</f>
        <v>2</v>
      </c>
      <c r="Q85" s="8">
        <f>YEAR(L85)</f>
        <v>2023</v>
      </c>
      <c r="R85" s="8" t="s">
        <v>429</v>
      </c>
      <c r="S85" s="8">
        <f>HOUR(R85)</f>
        <v>8</v>
      </c>
      <c r="T85" s="8">
        <f>MINUTE(R85)</f>
        <v>28</v>
      </c>
      <c r="U85" s="8">
        <f>SECOND(R85)</f>
        <v>48</v>
      </c>
      <c r="V85" s="8">
        <v>64099</v>
      </c>
      <c r="W85" s="8">
        <v>57497</v>
      </c>
      <c r="X85" s="9" t="str">
        <f>IF(W85&gt;50000,"Highe Target","Low Target")</f>
        <v>Highe Target</v>
      </c>
      <c r="Y85" s="9" t="str">
        <f t="shared" si="1"/>
        <v>Highe target</v>
      </c>
      <c r="Z85" s="9" t="str" cm="1">
        <f t="array" ref="Z85">_xlfn.IFS(W85&lt;60000,"LOWERTarget",W85&lt;80000,"Medium Target",W85,"Highe Target")</f>
        <v>LOWERTarget</v>
      </c>
      <c r="AA85" s="8" t="s">
        <v>64</v>
      </c>
      <c r="AB85" s="5" t="str">
        <f>UPPER(AA85)</f>
        <v>NEEDS IMPROVEMENT</v>
      </c>
      <c r="AC85" s="5" t="str">
        <f>LOWER(AA85)</f>
        <v>needs improvement</v>
      </c>
      <c r="AD85" s="5" t="str">
        <f>PROPER(AA85)</f>
        <v>Needs Improvement</v>
      </c>
      <c r="AF85" s="6"/>
    </row>
    <row r="86" ht="14.25" customHeight="1" spans="1:32">
      <c r="A86" s="8" t="s">
        <v>430</v>
      </c>
      <c r="B86" s="8" t="s">
        <v>431</v>
      </c>
      <c r="C86" s="9">
        <f>LEN(B86)</f>
        <v>12</v>
      </c>
      <c r="D86" s="8" t="s">
        <v>60</v>
      </c>
      <c r="E86" s="8" t="str">
        <f>_xlfn.CONCAT(B86,"(",A86,")"," - ",D86)</f>
        <v>Aditya Goyal(E1286) - HR</v>
      </c>
      <c r="F86" s="9" t="str">
        <f>LEFT(E86,FIND("-",E86))</f>
        <v>Aditya Goyal(E1286) -</v>
      </c>
      <c r="G86" s="9" t="str">
        <f>RIGHT(E86,LEN(E86)-FIND("-",E86)-1)</f>
        <v>HR</v>
      </c>
      <c r="H86" s="9">
        <f>FIND("-",E86)</f>
        <v>21</v>
      </c>
      <c r="I86" s="9">
        <f>LEN(E86)-FIND("-",E86)</f>
        <v>3</v>
      </c>
      <c r="J86" s="8" t="s">
        <v>53</v>
      </c>
      <c r="K86" s="9" t="str">
        <f>SUBSTITUTE(J86,"a","@",1)</f>
        <v>Delhi</v>
      </c>
      <c r="L86" s="8" t="s">
        <v>432</v>
      </c>
      <c r="M86" s="8" t="str">
        <f>TEXT(L86,"dddd")</f>
        <v>Monday</v>
      </c>
      <c r="N86" s="8" t="str">
        <f>LEFT(M86,3)</f>
        <v>Mon</v>
      </c>
      <c r="O86" s="8" t="str">
        <f>RIGHT(M86,3)</f>
        <v>day</v>
      </c>
      <c r="P86" s="8">
        <f>MONTH(L86)</f>
        <v>11</v>
      </c>
      <c r="Q86" s="8">
        <f>YEAR(L86)</f>
        <v>2024</v>
      </c>
      <c r="R86" s="8" t="s">
        <v>433</v>
      </c>
      <c r="S86" s="8">
        <f>HOUR(R86)</f>
        <v>9</v>
      </c>
      <c r="T86" s="8">
        <f>MINUTE(R86)</f>
        <v>10</v>
      </c>
      <c r="U86" s="8">
        <f>SECOND(R86)</f>
        <v>8</v>
      </c>
      <c r="V86" s="8">
        <v>62357</v>
      </c>
      <c r="W86" s="8">
        <v>57623</v>
      </c>
      <c r="X86" s="9" t="str">
        <f>IF(W86&gt;50000,"Highe Target","Low Target")</f>
        <v>Highe Target</v>
      </c>
      <c r="Y86" s="9" t="str">
        <f t="shared" si="1"/>
        <v>Highe target</v>
      </c>
      <c r="Z86" s="9" t="str" cm="1">
        <f t="array" ref="Z86">_xlfn.IFS(W86&lt;60000,"LOWERTarget",W86&lt;80000,"Medium Target",W86,"Highe Target")</f>
        <v>LOWERTarget</v>
      </c>
      <c r="AA86" s="8" t="s">
        <v>64</v>
      </c>
      <c r="AB86" s="5" t="str">
        <f>UPPER(AA86)</f>
        <v>NEEDS IMPROVEMENT</v>
      </c>
      <c r="AC86" s="5" t="str">
        <f>LOWER(AA86)</f>
        <v>needs improvement</v>
      </c>
      <c r="AD86" s="5" t="str">
        <f>PROPER(AA86)</f>
        <v>Needs Improvement</v>
      </c>
      <c r="AF86" s="6"/>
    </row>
    <row r="87" ht="14.25" customHeight="1" spans="1:32">
      <c r="A87" s="8" t="s">
        <v>434</v>
      </c>
      <c r="B87" s="8" t="s">
        <v>435</v>
      </c>
      <c r="C87" s="9">
        <f>LEN(B87)</f>
        <v>16</v>
      </c>
      <c r="D87" s="8" t="s">
        <v>35</v>
      </c>
      <c r="E87" s="8" t="str">
        <f>_xlfn.CONCAT(B87,"(",A87,")"," - ",D87)</f>
        <v>Madhuri Malhotra(E1229) - Finance</v>
      </c>
      <c r="F87" s="9" t="str">
        <f>LEFT(E87,FIND("-",E87))</f>
        <v>Madhuri Malhotra(E1229) -</v>
      </c>
      <c r="G87" s="9" t="str">
        <f>RIGHT(E87,LEN(E87)-FIND("-",E87)-1)</f>
        <v>Finance</v>
      </c>
      <c r="H87" s="9">
        <f>FIND("-",E87)</f>
        <v>25</v>
      </c>
      <c r="I87" s="9">
        <f>LEN(E87)-FIND("-",E87)</f>
        <v>8</v>
      </c>
      <c r="J87" s="8" t="s">
        <v>36</v>
      </c>
      <c r="K87" s="9" t="str">
        <f>SUBSTITUTE(J87,"a","@",1)</f>
        <v>Ahmed@bad</v>
      </c>
      <c r="L87" s="8" t="s">
        <v>436</v>
      </c>
      <c r="M87" s="8" t="str">
        <f>TEXT(L87,"dddd")</f>
        <v>Tuesday</v>
      </c>
      <c r="N87" s="8" t="str">
        <f>LEFT(M87,3)</f>
        <v>Tue</v>
      </c>
      <c r="O87" s="8" t="str">
        <f>RIGHT(M87,3)</f>
        <v>day</v>
      </c>
      <c r="P87" s="8">
        <f>MONTH(L87)</f>
        <v>3</v>
      </c>
      <c r="Q87" s="8">
        <f>YEAR(L87)</f>
        <v>2022</v>
      </c>
      <c r="R87" s="8" t="s">
        <v>437</v>
      </c>
      <c r="S87" s="8">
        <f>HOUR(R87)</f>
        <v>8</v>
      </c>
      <c r="T87" s="8">
        <f>MINUTE(R87)</f>
        <v>52</v>
      </c>
      <c r="U87" s="8">
        <f>SECOND(R87)</f>
        <v>34</v>
      </c>
      <c r="V87" s="8">
        <v>60568</v>
      </c>
      <c r="W87" s="8">
        <v>57768</v>
      </c>
      <c r="X87" s="9" t="str">
        <f>IF(W87&gt;50000,"Highe Target","Low Target")</f>
        <v>Highe Target</v>
      </c>
      <c r="Y87" s="9" t="str">
        <f t="shared" si="1"/>
        <v>Highe target</v>
      </c>
      <c r="Z87" s="9" t="str" cm="1">
        <f t="array" ref="Z87">_xlfn.IFS(W87&lt;60000,"LOWERTarget",W87&lt;80000,"Medium Target",W87,"Highe Target")</f>
        <v>LOWERTarget</v>
      </c>
      <c r="AA87" s="8" t="s">
        <v>285</v>
      </c>
      <c r="AB87" s="5" t="str">
        <f>UPPER(AA87)</f>
        <v>QUICK RESPONSE</v>
      </c>
      <c r="AC87" s="5" t="str">
        <f>LOWER(AA87)</f>
        <v>quick response</v>
      </c>
      <c r="AD87" s="5" t="str">
        <f>PROPER(AA87)</f>
        <v>Quick Response</v>
      </c>
      <c r="AF87" s="6"/>
    </row>
    <row r="88" ht="14.25" customHeight="1" spans="1:32">
      <c r="A88" s="8" t="s">
        <v>438</v>
      </c>
      <c r="B88" s="8" t="s">
        <v>439</v>
      </c>
      <c r="C88" s="9">
        <f>LEN(B88)</f>
        <v>10</v>
      </c>
      <c r="D88" s="8" t="s">
        <v>93</v>
      </c>
      <c r="E88" s="8" t="str">
        <f>_xlfn.CONCAT(B88,"(",A88,")"," - ",D88)</f>
        <v>Nidhi Shah(E1093) - Sales</v>
      </c>
      <c r="F88" s="9" t="str">
        <f>LEFT(E88,FIND("-",E88))</f>
        <v>Nidhi Shah(E1093) -</v>
      </c>
      <c r="G88" s="9" t="str">
        <f>RIGHT(E88,LEN(E88)-FIND("-",E88)-1)</f>
        <v>Sales</v>
      </c>
      <c r="H88" s="9">
        <f>FIND("-",E88)</f>
        <v>19</v>
      </c>
      <c r="I88" s="9">
        <f>LEN(E88)-FIND("-",E88)</f>
        <v>6</v>
      </c>
      <c r="J88" s="8" t="s">
        <v>53</v>
      </c>
      <c r="K88" s="9" t="str">
        <f>SUBSTITUTE(J88,"a","@",1)</f>
        <v>Delhi</v>
      </c>
      <c r="L88" s="8" t="s">
        <v>440</v>
      </c>
      <c r="M88" s="8" t="str">
        <f>TEXT(L88,"dddd")</f>
        <v>Tuesday</v>
      </c>
      <c r="N88" s="8" t="str">
        <f>LEFT(M88,3)</f>
        <v>Tue</v>
      </c>
      <c r="O88" s="8" t="str">
        <f>RIGHT(M88,3)</f>
        <v>day</v>
      </c>
      <c r="P88" s="8">
        <f>MONTH(L88)</f>
        <v>8</v>
      </c>
      <c r="Q88" s="8">
        <f>YEAR(L88)</f>
        <v>2023</v>
      </c>
      <c r="R88" s="8" t="s">
        <v>441</v>
      </c>
      <c r="S88" s="8">
        <f>HOUR(R88)</f>
        <v>10</v>
      </c>
      <c r="T88" s="8">
        <f>MINUTE(R88)</f>
        <v>41</v>
      </c>
      <c r="U88" s="8">
        <f>SECOND(R88)</f>
        <v>28</v>
      </c>
      <c r="V88" s="8">
        <v>55123</v>
      </c>
      <c r="W88" s="8">
        <v>58229</v>
      </c>
      <c r="X88" s="9" t="str">
        <f>IF(W88&gt;50000,"Highe Target","Low Target")</f>
        <v>Highe Target</v>
      </c>
      <c r="Y88" s="9" t="str">
        <f t="shared" si="1"/>
        <v>Highe target</v>
      </c>
      <c r="Z88" s="9" t="str" cm="1">
        <f t="array" ref="Z88">_xlfn.IFS(W88&lt;60000,"LOWERTarget",W88&lt;80000,"Medium Target",W88,"Highe Target")</f>
        <v>LOWERTarget</v>
      </c>
      <c r="AA88" s="8" t="s">
        <v>79</v>
      </c>
      <c r="AB88" s="5" t="str">
        <f>UPPER(AA88)</f>
        <v>EXCELLENT LEADERSHIP</v>
      </c>
      <c r="AC88" s="5" t="str">
        <f>LOWER(AA88)</f>
        <v>excellent leadership</v>
      </c>
      <c r="AD88" s="5" t="str">
        <f>PROPER(AA88)</f>
        <v>Excellent Leadership</v>
      </c>
      <c r="AF88" s="6"/>
    </row>
    <row r="89" ht="14.25" customHeight="1" spans="1:32">
      <c r="A89" s="8" t="s">
        <v>442</v>
      </c>
      <c r="B89" s="8" t="s">
        <v>443</v>
      </c>
      <c r="C89" s="9">
        <f>LEN(B89)</f>
        <v>11</v>
      </c>
      <c r="D89" s="8" t="s">
        <v>93</v>
      </c>
      <c r="E89" s="8" t="str">
        <f>_xlfn.CONCAT(B89,"(",A89,")"," - ",D89)</f>
        <v>Kavita Nair(E1142) - Sales</v>
      </c>
      <c r="F89" s="9" t="str">
        <f>LEFT(E89,FIND("-",E89))</f>
        <v>Kavita Nair(E1142) -</v>
      </c>
      <c r="G89" s="9" t="str">
        <f>RIGHT(E89,LEN(E89)-FIND("-",E89)-1)</f>
        <v>Sales</v>
      </c>
      <c r="H89" s="9">
        <f>FIND("-",E89)</f>
        <v>20</v>
      </c>
      <c r="I89" s="9">
        <f>LEN(E89)-FIND("-",E89)</f>
        <v>6</v>
      </c>
      <c r="J89" s="8" t="s">
        <v>172</v>
      </c>
      <c r="K89" s="9" t="str">
        <f>SUBSTITUTE(J89,"a","@",1)</f>
        <v>Hyder@bad</v>
      </c>
      <c r="L89" s="8" t="s">
        <v>444</v>
      </c>
      <c r="M89" s="8" t="str">
        <f>TEXT(L89,"dddd")</f>
        <v>Wednesday</v>
      </c>
      <c r="N89" s="8" t="str">
        <f>LEFT(M89,3)</f>
        <v>Wed</v>
      </c>
      <c r="O89" s="8" t="str">
        <f>RIGHT(M89,3)</f>
        <v>day</v>
      </c>
      <c r="P89" s="8">
        <f>MONTH(L89)</f>
        <v>2</v>
      </c>
      <c r="Q89" s="8">
        <f>YEAR(L89)</f>
        <v>2024</v>
      </c>
      <c r="R89" s="8" t="s">
        <v>445</v>
      </c>
      <c r="S89" s="8">
        <f>HOUR(R89)</f>
        <v>9</v>
      </c>
      <c r="T89" s="8">
        <f>MINUTE(R89)</f>
        <v>7</v>
      </c>
      <c r="U89" s="8">
        <f>SECOND(R89)</f>
        <v>48</v>
      </c>
      <c r="V89" s="8">
        <v>58077</v>
      </c>
      <c r="W89" s="8">
        <v>58256</v>
      </c>
      <c r="X89" s="9" t="str">
        <f>IF(W89&gt;50000,"Highe Target","Low Target")</f>
        <v>Highe Target</v>
      </c>
      <c r="Y89" s="9" t="str">
        <f t="shared" si="1"/>
        <v>Highe target</v>
      </c>
      <c r="Z89" s="9" t="str" cm="1">
        <f t="array" ref="Z89">_xlfn.IFS(W89&lt;60000,"LOWERTarget",W89&lt;80000,"Medium Target",W89,"Highe Target")</f>
        <v>LOWERTarget</v>
      </c>
      <c r="AA89" s="8" t="s">
        <v>118</v>
      </c>
      <c r="AB89" s="5" t="str">
        <f>UPPER(AA89)</f>
        <v>CUSTOMER FOCUSED</v>
      </c>
      <c r="AC89" s="5" t="str">
        <f>LOWER(AA89)</f>
        <v>customer focused</v>
      </c>
      <c r="AD89" s="5" t="str">
        <f>PROPER(AA89)</f>
        <v>Customer Focused</v>
      </c>
      <c r="AF89" s="6"/>
    </row>
    <row r="90" ht="14.25" customHeight="1" spans="1:32">
      <c r="A90" s="8" t="s">
        <v>446</v>
      </c>
      <c r="B90" s="8" t="s">
        <v>447</v>
      </c>
      <c r="C90" s="9">
        <f>LEN(B90)</f>
        <v>12</v>
      </c>
      <c r="D90" s="8" t="s">
        <v>93</v>
      </c>
      <c r="E90" s="8" t="str">
        <f>_xlfn.CONCAT(B90,"(",A90,")"," - ",D90)</f>
        <v>Ritika Gupta(E1216) - Sales</v>
      </c>
      <c r="F90" s="9" t="str">
        <f>LEFT(E90,FIND("-",E90))</f>
        <v>Ritika Gupta(E1216) -</v>
      </c>
      <c r="G90" s="9" t="str">
        <f>RIGHT(E90,LEN(E90)-FIND("-",E90)-1)</f>
        <v>Sales</v>
      </c>
      <c r="H90" s="9">
        <f>FIND("-",E90)</f>
        <v>21</v>
      </c>
      <c r="I90" s="9">
        <f>LEN(E90)-FIND("-",E90)</f>
        <v>6</v>
      </c>
      <c r="J90" s="8" t="s">
        <v>182</v>
      </c>
      <c r="K90" s="9" t="str">
        <f>SUBSTITUTE(J90,"a","@",1)</f>
        <v>Kolk@ta</v>
      </c>
      <c r="L90" s="8" t="s">
        <v>448</v>
      </c>
      <c r="M90" s="8" t="str">
        <f>TEXT(L90,"dddd")</f>
        <v>Monday</v>
      </c>
      <c r="N90" s="8" t="str">
        <f>LEFT(M90,3)</f>
        <v>Mon</v>
      </c>
      <c r="O90" s="8" t="str">
        <f>RIGHT(M90,3)</f>
        <v>day</v>
      </c>
      <c r="P90" s="8">
        <f>MONTH(L90)</f>
        <v>10</v>
      </c>
      <c r="Q90" s="8">
        <f>YEAR(L90)</f>
        <v>2023</v>
      </c>
      <c r="R90" s="8" t="s">
        <v>449</v>
      </c>
      <c r="S90" s="8">
        <f>HOUR(R90)</f>
        <v>9</v>
      </c>
      <c r="T90" s="8">
        <f>MINUTE(R90)</f>
        <v>48</v>
      </c>
      <c r="U90" s="8">
        <f>SECOND(R90)</f>
        <v>35</v>
      </c>
      <c r="V90" s="8">
        <v>51117</v>
      </c>
      <c r="W90" s="8">
        <v>58331</v>
      </c>
      <c r="X90" s="9" t="str">
        <f>IF(W90&gt;50000,"Highe Target","Low Target")</f>
        <v>Highe Target</v>
      </c>
      <c r="Y90" s="9" t="str">
        <f t="shared" si="1"/>
        <v>Highe target</v>
      </c>
      <c r="Z90" s="9" t="str" cm="1">
        <f t="array" ref="Z90">_xlfn.IFS(W90&lt;60000,"LOWERTarget",W90&lt;80000,"Medium Target",W90,"Highe Target")</f>
        <v>LOWERTarget</v>
      </c>
      <c r="AA90" s="8" t="s">
        <v>285</v>
      </c>
      <c r="AB90" s="5" t="str">
        <f>UPPER(AA90)</f>
        <v>QUICK RESPONSE</v>
      </c>
      <c r="AC90" s="5" t="str">
        <f>LOWER(AA90)</f>
        <v>quick response</v>
      </c>
      <c r="AD90" s="5" t="str">
        <f>PROPER(AA90)</f>
        <v>Quick Response</v>
      </c>
      <c r="AF90" s="6"/>
    </row>
    <row r="91" ht="14.25" customHeight="1" spans="1:32">
      <c r="A91" s="8" t="s">
        <v>450</v>
      </c>
      <c r="B91" s="8" t="s">
        <v>451</v>
      </c>
      <c r="C91" s="9">
        <f>LEN(B91)</f>
        <v>9</v>
      </c>
      <c r="D91" s="8" t="s">
        <v>93</v>
      </c>
      <c r="E91" s="8" t="str">
        <f>_xlfn.CONCAT(B91,"(",A91,")"," - ",D91)</f>
        <v>Yash Iyer(E1164) - Sales</v>
      </c>
      <c r="F91" s="9" t="str">
        <f>LEFT(E91,FIND("-",E91))</f>
        <v>Yash Iyer(E1164) -</v>
      </c>
      <c r="G91" s="9" t="str">
        <f>RIGHT(E91,LEN(E91)-FIND("-",E91)-1)</f>
        <v>Sales</v>
      </c>
      <c r="H91" s="9">
        <f>FIND("-",E91)</f>
        <v>18</v>
      </c>
      <c r="I91" s="9">
        <f>LEN(E91)-FIND("-",E91)</f>
        <v>6</v>
      </c>
      <c r="J91" s="8" t="s">
        <v>172</v>
      </c>
      <c r="K91" s="9" t="str">
        <f>SUBSTITUTE(J91,"a","@",1)</f>
        <v>Hyder@bad</v>
      </c>
      <c r="L91" s="8" t="s">
        <v>452</v>
      </c>
      <c r="M91" s="8" t="str">
        <f>TEXT(L91,"dddd")</f>
        <v>Tuesday</v>
      </c>
      <c r="N91" s="8" t="str">
        <f>LEFT(M91,3)</f>
        <v>Tue</v>
      </c>
      <c r="O91" s="8" t="str">
        <f>RIGHT(M91,3)</f>
        <v>day</v>
      </c>
      <c r="P91" s="8">
        <f>MONTH(L91)</f>
        <v>7</v>
      </c>
      <c r="Q91" s="8">
        <f>YEAR(L91)</f>
        <v>2021</v>
      </c>
      <c r="R91" s="8" t="s">
        <v>453</v>
      </c>
      <c r="S91" s="8">
        <f>HOUR(R91)</f>
        <v>10</v>
      </c>
      <c r="T91" s="8">
        <f>MINUTE(R91)</f>
        <v>43</v>
      </c>
      <c r="U91" s="8">
        <f>SECOND(R91)</f>
        <v>24</v>
      </c>
      <c r="V91" s="8">
        <v>60135</v>
      </c>
      <c r="W91" s="8">
        <v>58621</v>
      </c>
      <c r="X91" s="9" t="str">
        <f>IF(W91&gt;50000,"Highe Target","Low Target")</f>
        <v>Highe Target</v>
      </c>
      <c r="Y91" s="9" t="str">
        <f t="shared" si="1"/>
        <v>Highe target</v>
      </c>
      <c r="Z91" s="9" t="str" cm="1">
        <f t="array" ref="Z91">_xlfn.IFS(W91&lt;60000,"LOWERTarget",W91&lt;80000,"Medium Target",W91,"Highe Target")</f>
        <v>LOWERTarget</v>
      </c>
      <c r="AA91" s="8" t="s">
        <v>454</v>
      </c>
      <c r="AB91" s="5" t="str">
        <f>UPPER(AA91)</f>
        <v>   FAST DELIVERY   </v>
      </c>
      <c r="AC91" s="5" t="str">
        <f>LOWER(AA91)</f>
        <v>   fast delivery   </v>
      </c>
      <c r="AD91" s="5" t="str">
        <f>PROPER(AA91)</f>
        <v>   Fast Delivery   </v>
      </c>
      <c r="AF91" s="6"/>
    </row>
    <row r="92" ht="14.25" customHeight="1" spans="1:32">
      <c r="A92" s="8" t="s">
        <v>455</v>
      </c>
      <c r="B92" s="8" t="s">
        <v>456</v>
      </c>
      <c r="C92" s="9">
        <f>LEN(B92)</f>
        <v>13</v>
      </c>
      <c r="D92" s="8" t="s">
        <v>93</v>
      </c>
      <c r="E92" s="8" t="str">
        <f>_xlfn.CONCAT(B92,"(",A92,")"," - ",D92)</f>
        <v>Rohan Agarwal(E1109) - Sales</v>
      </c>
      <c r="F92" s="9" t="str">
        <f>LEFT(E92,FIND("-",E92))</f>
        <v>Rohan Agarwal(E1109) -</v>
      </c>
      <c r="G92" s="9" t="str">
        <f>RIGHT(E92,LEN(E92)-FIND("-",E92)-1)</f>
        <v>Sales</v>
      </c>
      <c r="H92" s="9">
        <f>FIND("-",E92)</f>
        <v>22</v>
      </c>
      <c r="I92" s="9">
        <f>LEN(E92)-FIND("-",E92)</f>
        <v>6</v>
      </c>
      <c r="J92" s="8" t="s">
        <v>76</v>
      </c>
      <c r="K92" s="9" t="str">
        <f>SUBSTITUTE(J92,"a","@",1)</f>
        <v>Pune</v>
      </c>
      <c r="L92" s="8" t="s">
        <v>457</v>
      </c>
      <c r="M92" s="8" t="str">
        <f>TEXT(L92,"dddd")</f>
        <v>Tuesday</v>
      </c>
      <c r="N92" s="8" t="str">
        <f>LEFT(M92,3)</f>
        <v>Tue</v>
      </c>
      <c r="O92" s="8" t="str">
        <f>RIGHT(M92,3)</f>
        <v>day</v>
      </c>
      <c r="P92" s="8">
        <f>MONTH(L92)</f>
        <v>4</v>
      </c>
      <c r="Q92" s="8">
        <f>YEAR(L92)</f>
        <v>2022</v>
      </c>
      <c r="R92" s="8" t="s">
        <v>458</v>
      </c>
      <c r="S92" s="8">
        <f>HOUR(R92)</f>
        <v>10</v>
      </c>
      <c r="T92" s="8">
        <f>MINUTE(R92)</f>
        <v>43</v>
      </c>
      <c r="U92" s="8">
        <f>SECOND(R92)</f>
        <v>58</v>
      </c>
      <c r="V92" s="8">
        <v>58741</v>
      </c>
      <c r="W92" s="8">
        <v>58833</v>
      </c>
      <c r="X92" s="9" t="str">
        <f>IF(W92&gt;50000,"Highe Target","Low Target")</f>
        <v>Highe Target</v>
      </c>
      <c r="Y92" s="9" t="str">
        <f t="shared" si="1"/>
        <v>Highe target</v>
      </c>
      <c r="Z92" s="9" t="str" cm="1">
        <f t="array" ref="Z92">_xlfn.IFS(W92&lt;60000,"LOWERTarget",W92&lt;80000,"Medium Target",W92,"Highe Target")</f>
        <v>LOWERTarget</v>
      </c>
      <c r="AA92" s="8" t="s">
        <v>96</v>
      </c>
      <c r="AB92" s="5" t="str">
        <f>UPPER(AA92)</f>
        <v>FAST DELIVERY</v>
      </c>
      <c r="AC92" s="5" t="str">
        <f>LOWER(AA92)</f>
        <v>fast delivery</v>
      </c>
      <c r="AD92" s="5" t="str">
        <f>PROPER(AA92)</f>
        <v>Fast Delivery</v>
      </c>
      <c r="AF92" s="6"/>
    </row>
    <row r="93" ht="14.25" customHeight="1" spans="1:32">
      <c r="A93" s="8" t="s">
        <v>459</v>
      </c>
      <c r="B93" s="8" t="s">
        <v>460</v>
      </c>
      <c r="C93" s="9">
        <f>LEN(B93)</f>
        <v>11</v>
      </c>
      <c r="D93" s="8" t="s">
        <v>44</v>
      </c>
      <c r="E93" s="8" t="str">
        <f>_xlfn.CONCAT(B93,"(",A93,")"," - ",D93)</f>
        <v>Neha Mishra(E1228) - Marketing</v>
      </c>
      <c r="F93" s="9" t="str">
        <f>LEFT(E93,FIND("-",E93))</f>
        <v>Neha Mishra(E1228) -</v>
      </c>
      <c r="G93" s="9" t="str">
        <f>RIGHT(E93,LEN(E93)-FIND("-",E93)-1)</f>
        <v>Marketing</v>
      </c>
      <c r="H93" s="9">
        <f>FIND("-",E93)</f>
        <v>20</v>
      </c>
      <c r="I93" s="9">
        <f>LEN(E93)-FIND("-",E93)</f>
        <v>10</v>
      </c>
      <c r="J93" s="8" t="s">
        <v>182</v>
      </c>
      <c r="K93" s="9" t="str">
        <f>SUBSTITUTE(J93,"a","@",1)</f>
        <v>Kolk@ta</v>
      </c>
      <c r="L93" s="8" t="s">
        <v>461</v>
      </c>
      <c r="M93" s="8" t="str">
        <f>TEXT(L93,"dddd")</f>
        <v>Thursday</v>
      </c>
      <c r="N93" s="8" t="str">
        <f>LEFT(M93,3)</f>
        <v>Thu</v>
      </c>
      <c r="O93" s="8" t="str">
        <f>RIGHT(M93,3)</f>
        <v>day</v>
      </c>
      <c r="P93" s="8">
        <f>MONTH(L93)</f>
        <v>12</v>
      </c>
      <c r="Q93" s="8">
        <f>YEAR(L93)</f>
        <v>2022</v>
      </c>
      <c r="R93" s="8" t="s">
        <v>462</v>
      </c>
      <c r="S93" s="8">
        <f>HOUR(R93)</f>
        <v>8</v>
      </c>
      <c r="T93" s="8">
        <f>MINUTE(R93)</f>
        <v>18</v>
      </c>
      <c r="U93" s="8">
        <f>SECOND(R93)</f>
        <v>2</v>
      </c>
      <c r="V93" s="8">
        <v>49029</v>
      </c>
      <c r="W93" s="8">
        <v>58850</v>
      </c>
      <c r="X93" s="9" t="str">
        <f>IF(W93&gt;50000,"Highe Target","Low Target")</f>
        <v>Highe Target</v>
      </c>
      <c r="Y93" s="9" t="str">
        <f t="shared" si="1"/>
        <v>Highe target</v>
      </c>
      <c r="Z93" s="9" t="str" cm="1">
        <f t="array" ref="Z93">_xlfn.IFS(W93&lt;60000,"LOWERTarget",W93&lt;80000,"Medium Target",W93,"Highe Target")</f>
        <v>LOWERTarget</v>
      </c>
      <c r="AA93" s="8" t="s">
        <v>48</v>
      </c>
      <c r="AB93" s="5" t="str">
        <f>UPPER(AA93)</f>
        <v>CREATIVE IDEAS</v>
      </c>
      <c r="AC93" s="5" t="str">
        <f>LOWER(AA93)</f>
        <v>creative ideas</v>
      </c>
      <c r="AD93" s="5" t="str">
        <f>PROPER(AA93)</f>
        <v>Creative Ideas</v>
      </c>
      <c r="AF93" s="6"/>
    </row>
    <row r="94" ht="14.25" customHeight="1" spans="1:32">
      <c r="A94" s="8" t="s">
        <v>463</v>
      </c>
      <c r="B94" s="8" t="s">
        <v>464</v>
      </c>
      <c r="C94" s="9">
        <f>LEN(B94)</f>
        <v>12</v>
      </c>
      <c r="D94" s="8" t="s">
        <v>60</v>
      </c>
      <c r="E94" s="8" t="str">
        <f>_xlfn.CONCAT(B94,"(",A94,")"," - ",D94)</f>
        <v>Priya Sharma(E1149) - HR</v>
      </c>
      <c r="F94" s="9" t="str">
        <f>LEFT(E94,FIND("-",E94))</f>
        <v>Priya Sharma(E1149) -</v>
      </c>
      <c r="G94" s="9" t="str">
        <f>RIGHT(E94,LEN(E94)-FIND("-",E94)-1)</f>
        <v>HR</v>
      </c>
      <c r="H94" s="9">
        <f>FIND("-",E94)</f>
        <v>21</v>
      </c>
      <c r="I94" s="9">
        <f>LEN(E94)-FIND("-",E94)</f>
        <v>3</v>
      </c>
      <c r="J94" s="8" t="s">
        <v>61</v>
      </c>
      <c r="K94" s="9" t="str">
        <f>SUBSTITUTE(J94,"a","@",1)</f>
        <v>Chenn@i</v>
      </c>
      <c r="L94" s="8" t="s">
        <v>465</v>
      </c>
      <c r="M94" s="8" t="str">
        <f>TEXT(L94,"dddd")</f>
        <v>Wednesday</v>
      </c>
      <c r="N94" s="8" t="str">
        <f>LEFT(M94,3)</f>
        <v>Wed</v>
      </c>
      <c r="O94" s="8" t="str">
        <f>RIGHT(M94,3)</f>
        <v>day</v>
      </c>
      <c r="P94" s="8">
        <f>MONTH(L94)</f>
        <v>3</v>
      </c>
      <c r="Q94" s="8">
        <f>YEAR(L94)</f>
        <v>2022</v>
      </c>
      <c r="R94" s="8" t="s">
        <v>466</v>
      </c>
      <c r="S94" s="8">
        <f>HOUR(R94)</f>
        <v>8</v>
      </c>
      <c r="T94" s="8">
        <f>MINUTE(R94)</f>
        <v>48</v>
      </c>
      <c r="U94" s="8">
        <f>SECOND(R94)</f>
        <v>16</v>
      </c>
      <c r="V94" s="8">
        <v>65472</v>
      </c>
      <c r="W94" s="8">
        <v>58969</v>
      </c>
      <c r="X94" s="9" t="str">
        <f>IF(W94&gt;50000,"Highe Target","Low Target")</f>
        <v>Highe Target</v>
      </c>
      <c r="Y94" s="9" t="str">
        <f t="shared" si="1"/>
        <v>Highe target</v>
      </c>
      <c r="Z94" s="9" t="str" cm="1">
        <f t="array" ref="Z94">_xlfn.IFS(W94&lt;60000,"LOWERTarget",W94&lt;80000,"Medium Target",W94,"Highe Target")</f>
        <v>LOWERTarget</v>
      </c>
      <c r="AA94" s="8" t="s">
        <v>160</v>
      </c>
      <c r="AB94" s="5" t="str">
        <f>UPPER(AA94)</f>
        <v>GOOD COMMUNICATION</v>
      </c>
      <c r="AC94" s="5" t="str">
        <f>LOWER(AA94)</f>
        <v>good communication</v>
      </c>
      <c r="AD94" s="5" t="str">
        <f>PROPER(AA94)</f>
        <v>Good Communication</v>
      </c>
      <c r="AF94" s="6"/>
    </row>
    <row r="95" ht="14.25" customHeight="1" spans="1:32">
      <c r="A95" s="8" t="s">
        <v>467</v>
      </c>
      <c r="B95" s="8" t="s">
        <v>468</v>
      </c>
      <c r="C95" s="9">
        <f>LEN(B95)</f>
        <v>12</v>
      </c>
      <c r="D95" s="8" t="s">
        <v>93</v>
      </c>
      <c r="E95" s="8" t="str">
        <f>_xlfn.CONCAT(B95,"(",A95,")"," - ",D95)</f>
        <v>Ritika Joshi(E1292) - Sales</v>
      </c>
      <c r="F95" s="9" t="str">
        <f>LEFT(E95,FIND("-",E95))</f>
        <v>Ritika Joshi(E1292) -</v>
      </c>
      <c r="G95" s="9" t="str">
        <f>RIGHT(E95,LEN(E95)-FIND("-",E95)-1)</f>
        <v>Sales</v>
      </c>
      <c r="H95" s="9">
        <f>FIND("-",E95)</f>
        <v>21</v>
      </c>
      <c r="I95" s="9">
        <f>LEN(E95)-FIND("-",E95)</f>
        <v>6</v>
      </c>
      <c r="J95" s="8" t="s">
        <v>36</v>
      </c>
      <c r="K95" s="9" t="str">
        <f>SUBSTITUTE(J95,"a","@",1)</f>
        <v>Ahmed@bad</v>
      </c>
      <c r="L95" s="8" t="s">
        <v>469</v>
      </c>
      <c r="M95" s="8" t="str">
        <f>TEXT(L95,"dddd")</f>
        <v>Saturday</v>
      </c>
      <c r="N95" s="8" t="str">
        <f>LEFT(M95,3)</f>
        <v>Sat</v>
      </c>
      <c r="O95" s="8" t="str">
        <f>RIGHT(M95,3)</f>
        <v>day</v>
      </c>
      <c r="P95" s="8">
        <f>MONTH(L95)</f>
        <v>12</v>
      </c>
      <c r="Q95" s="8">
        <f>YEAR(L95)</f>
        <v>2024</v>
      </c>
      <c r="R95" s="8" t="s">
        <v>470</v>
      </c>
      <c r="S95" s="8">
        <f>HOUR(R95)</f>
        <v>8</v>
      </c>
      <c r="T95" s="8">
        <f>MINUTE(R95)</f>
        <v>28</v>
      </c>
      <c r="U95" s="8">
        <f>SECOND(R95)</f>
        <v>51</v>
      </c>
      <c r="V95" s="8">
        <v>48624</v>
      </c>
      <c r="W95" s="8">
        <v>59092</v>
      </c>
      <c r="X95" s="9" t="str">
        <f>IF(W95&gt;50000,"Highe Target","Low Target")</f>
        <v>Highe Target</v>
      </c>
      <c r="Y95" s="9" t="str">
        <f t="shared" si="1"/>
        <v>Highe target</v>
      </c>
      <c r="Z95" s="9" t="str" cm="1">
        <f t="array" ref="Z95">_xlfn.IFS(W95&lt;60000,"LOWERTarget",W95&lt;80000,"Medium Target",W95,"Highe Target")</f>
        <v>LOWERTarget</v>
      </c>
      <c r="AA95" s="8" t="s">
        <v>243</v>
      </c>
      <c r="AB95" s="5" t="str">
        <f>UPPER(AA95)</f>
        <v>POSITIVE ATTITUDE</v>
      </c>
      <c r="AC95" s="5" t="str">
        <f>LOWER(AA95)</f>
        <v>positive attitude</v>
      </c>
      <c r="AD95" s="5" t="str">
        <f>PROPER(AA95)</f>
        <v>Positive Attitude</v>
      </c>
      <c r="AF95" s="6"/>
    </row>
    <row r="96" ht="14.25" customHeight="1" spans="1:32">
      <c r="A96" s="8" t="s">
        <v>471</v>
      </c>
      <c r="B96" s="8" t="s">
        <v>472</v>
      </c>
      <c r="C96" s="9">
        <f>LEN(B96)</f>
        <v>10</v>
      </c>
      <c r="D96" s="8" t="s">
        <v>60</v>
      </c>
      <c r="E96" s="8" t="str">
        <f>_xlfn.CONCAT(B96,"(",A96,")"," - ",D96)</f>
        <v>Rohan Jain(E1290) - HR</v>
      </c>
      <c r="F96" s="9" t="str">
        <f>LEFT(E96,FIND("-",E96))</f>
        <v>Rohan Jain(E1290) -</v>
      </c>
      <c r="G96" s="9" t="str">
        <f>RIGHT(E96,LEN(E96)-FIND("-",E96)-1)</f>
        <v>HR</v>
      </c>
      <c r="H96" s="9">
        <f>FIND("-",E96)</f>
        <v>19</v>
      </c>
      <c r="I96" s="9">
        <f>LEN(E96)-FIND("-",E96)</f>
        <v>3</v>
      </c>
      <c r="J96" s="8" t="s">
        <v>36</v>
      </c>
      <c r="K96" s="9" t="str">
        <f>SUBSTITUTE(J96,"a","@",1)</f>
        <v>Ahmed@bad</v>
      </c>
      <c r="L96" s="8" t="s">
        <v>246</v>
      </c>
      <c r="M96" s="8" t="str">
        <f>TEXT(L96,"dddd")</f>
        <v>Thursday</v>
      </c>
      <c r="N96" s="8" t="str">
        <f>LEFT(M96,3)</f>
        <v>Thu</v>
      </c>
      <c r="O96" s="8" t="str">
        <f>RIGHT(M96,3)</f>
        <v>day</v>
      </c>
      <c r="P96" s="8">
        <f>MONTH(L96)</f>
        <v>10</v>
      </c>
      <c r="Q96" s="8">
        <f>YEAR(L96)</f>
        <v>2022</v>
      </c>
      <c r="R96" s="8" t="s">
        <v>473</v>
      </c>
      <c r="S96" s="8">
        <f>HOUR(R96)</f>
        <v>8</v>
      </c>
      <c r="T96" s="8">
        <f>MINUTE(R96)</f>
        <v>25</v>
      </c>
      <c r="U96" s="8">
        <f>SECOND(R96)</f>
        <v>20</v>
      </c>
      <c r="V96" s="8">
        <v>76278</v>
      </c>
      <c r="W96" s="8">
        <v>59100</v>
      </c>
      <c r="X96" s="9" t="str">
        <f>IF(W96&gt;50000,"Highe Target","Low Target")</f>
        <v>Highe Target</v>
      </c>
      <c r="Y96" s="9" t="str">
        <f t="shared" si="1"/>
        <v>Highe target</v>
      </c>
      <c r="Z96" s="9" t="str" cm="1">
        <f t="array" ref="Z96">_xlfn.IFS(W96&lt;60000,"LOWERTarget",W96&lt;80000,"Medium Target",W96,"Highe Target")</f>
        <v>LOWERTarget</v>
      </c>
      <c r="AA96" s="8" t="s">
        <v>79</v>
      </c>
      <c r="AB96" s="5" t="str">
        <f>UPPER(AA96)</f>
        <v>EXCELLENT LEADERSHIP</v>
      </c>
      <c r="AC96" s="5" t="str">
        <f>LOWER(AA96)</f>
        <v>excellent leadership</v>
      </c>
      <c r="AD96" s="5" t="str">
        <f>PROPER(AA96)</f>
        <v>Excellent Leadership</v>
      </c>
      <c r="AF96" s="6"/>
    </row>
    <row r="97" ht="14.25" customHeight="1" spans="1:32">
      <c r="A97" s="8" t="s">
        <v>474</v>
      </c>
      <c r="B97" s="8" t="s">
        <v>475</v>
      </c>
      <c r="C97" s="9">
        <f>LEN(B97)</f>
        <v>14</v>
      </c>
      <c r="D97" s="8" t="s">
        <v>35</v>
      </c>
      <c r="E97" s="8" t="str">
        <f>_xlfn.CONCAT(B97,"(",A97,")"," - ",D97)</f>
        <v>Sneha Malhotra(E1236) - Finance</v>
      </c>
      <c r="F97" s="9" t="str">
        <f>LEFT(E97,FIND("-",E97))</f>
        <v>Sneha Malhotra(E1236) -</v>
      </c>
      <c r="G97" s="9" t="str">
        <f>RIGHT(E97,LEN(E97)-FIND("-",E97)-1)</f>
        <v>Finance</v>
      </c>
      <c r="H97" s="9">
        <f>FIND("-",E97)</f>
        <v>23</v>
      </c>
      <c r="I97" s="9">
        <f>LEN(E97)-FIND("-",E97)</f>
        <v>8</v>
      </c>
      <c r="J97" s="8" t="s">
        <v>53</v>
      </c>
      <c r="K97" s="9" t="str">
        <f>SUBSTITUTE(J97,"a","@",1)</f>
        <v>Delhi</v>
      </c>
      <c r="L97" s="8" t="s">
        <v>476</v>
      </c>
      <c r="M97" s="8" t="str">
        <f>TEXT(L97,"dddd")</f>
        <v>Friday</v>
      </c>
      <c r="N97" s="8" t="str">
        <f>LEFT(M97,3)</f>
        <v>Fri</v>
      </c>
      <c r="O97" s="8" t="str">
        <f>RIGHT(M97,3)</f>
        <v>day</v>
      </c>
      <c r="P97" s="8">
        <f>MONTH(L97)</f>
        <v>1</v>
      </c>
      <c r="Q97" s="8">
        <f>YEAR(L97)</f>
        <v>2021</v>
      </c>
      <c r="R97" s="8" t="s">
        <v>477</v>
      </c>
      <c r="S97" s="8">
        <f>HOUR(R97)</f>
        <v>10</v>
      </c>
      <c r="T97" s="8">
        <f>MINUTE(R97)</f>
        <v>21</v>
      </c>
      <c r="U97" s="8">
        <f>SECOND(R97)</f>
        <v>50</v>
      </c>
      <c r="V97" s="8">
        <v>56993</v>
      </c>
      <c r="W97" s="8">
        <v>59334</v>
      </c>
      <c r="X97" s="9" t="str">
        <f>IF(W97&gt;50000,"Highe Target","Low Target")</f>
        <v>Highe Target</v>
      </c>
      <c r="Y97" s="9" t="str">
        <f t="shared" si="1"/>
        <v>Highe target</v>
      </c>
      <c r="Z97" s="9" t="str" cm="1">
        <f t="array" ref="Z97">_xlfn.IFS(W97&lt;60000,"LOWERTarget",W97&lt;80000,"Medium Target",W97,"Highe Target")</f>
        <v>LOWERTarget</v>
      </c>
      <c r="AA97" s="8" t="s">
        <v>285</v>
      </c>
      <c r="AB97" s="5" t="str">
        <f>UPPER(AA97)</f>
        <v>QUICK RESPONSE</v>
      </c>
      <c r="AC97" s="5" t="str">
        <f>LOWER(AA97)</f>
        <v>quick response</v>
      </c>
      <c r="AD97" s="5" t="str">
        <f>PROPER(AA97)</f>
        <v>Quick Response</v>
      </c>
      <c r="AF97" s="6"/>
    </row>
    <row r="98" ht="14.25" customHeight="1" spans="1:32">
      <c r="A98" s="8" t="s">
        <v>478</v>
      </c>
      <c r="B98" s="8" t="s">
        <v>479</v>
      </c>
      <c r="C98" s="9">
        <f>LEN(B98)</f>
        <v>12</v>
      </c>
      <c r="D98" s="8" t="s">
        <v>44</v>
      </c>
      <c r="E98" s="8" t="str">
        <f>_xlfn.CONCAT(B98,"(",A98,")"," - ",D98)</f>
        <v>Anjali Joshi(E1240) - Marketing</v>
      </c>
      <c r="F98" s="9" t="str">
        <f>LEFT(E98,FIND("-",E98))</f>
        <v>Anjali Joshi(E1240) -</v>
      </c>
      <c r="G98" s="9" t="str">
        <f>RIGHT(E98,LEN(E98)-FIND("-",E98)-1)</f>
        <v>Marketing</v>
      </c>
      <c r="H98" s="9">
        <f>FIND("-",E98)</f>
        <v>21</v>
      </c>
      <c r="I98" s="9">
        <f>LEN(E98)-FIND("-",E98)</f>
        <v>10</v>
      </c>
      <c r="J98" s="8" t="s">
        <v>61</v>
      </c>
      <c r="K98" s="9" t="str">
        <f>SUBSTITUTE(J98,"a","@",1)</f>
        <v>Chenn@i</v>
      </c>
      <c r="L98" s="8" t="s">
        <v>480</v>
      </c>
      <c r="M98" s="8" t="str">
        <f>TEXT(L98,"dddd")</f>
        <v>Thursday</v>
      </c>
      <c r="N98" s="8" t="str">
        <f>LEFT(M98,3)</f>
        <v>Thu</v>
      </c>
      <c r="O98" s="8" t="str">
        <f>RIGHT(M98,3)</f>
        <v>day</v>
      </c>
      <c r="P98" s="8">
        <f>MONTH(L98)</f>
        <v>11</v>
      </c>
      <c r="Q98" s="8">
        <f>YEAR(L98)</f>
        <v>2024</v>
      </c>
      <c r="R98" s="8" t="s">
        <v>481</v>
      </c>
      <c r="S98" s="8">
        <f>HOUR(R98)</f>
        <v>8</v>
      </c>
      <c r="T98" s="8">
        <f>MINUTE(R98)</f>
        <v>40</v>
      </c>
      <c r="U98" s="8">
        <f>SECOND(R98)</f>
        <v>58</v>
      </c>
      <c r="V98" s="8">
        <v>68422</v>
      </c>
      <c r="W98" s="8">
        <v>59335</v>
      </c>
      <c r="X98" s="9" t="str">
        <f>IF(W98&gt;50000,"Highe Target","Low Target")</f>
        <v>Highe Target</v>
      </c>
      <c r="Y98" s="9" t="str">
        <f t="shared" si="1"/>
        <v>Highe target</v>
      </c>
      <c r="Z98" s="9" t="str" cm="1">
        <f t="array" ref="Z98">_xlfn.IFS(W98&lt;60000,"LOWERTarget",W98&lt;80000,"Medium Target",W98,"Highe Target")</f>
        <v>LOWERTarget</v>
      </c>
      <c r="AA98" s="8" t="s">
        <v>79</v>
      </c>
      <c r="AB98" s="5" t="str">
        <f>UPPER(AA98)</f>
        <v>EXCELLENT LEADERSHIP</v>
      </c>
      <c r="AC98" s="5" t="str">
        <f>LOWER(AA98)</f>
        <v>excellent leadership</v>
      </c>
      <c r="AD98" s="5" t="str">
        <f>PROPER(AA98)</f>
        <v>Excellent Leadership</v>
      </c>
      <c r="AF98" s="6"/>
    </row>
    <row r="99" ht="14.25" customHeight="1" spans="1:32">
      <c r="A99" s="8" t="s">
        <v>482</v>
      </c>
      <c r="B99" s="8" t="s">
        <v>483</v>
      </c>
      <c r="C99" s="9">
        <f>LEN(B99)</f>
        <v>14</v>
      </c>
      <c r="D99" s="8" t="s">
        <v>35</v>
      </c>
      <c r="E99" s="8" t="str">
        <f>_xlfn.CONCAT(B99,"(",A99,")"," - ",D99)</f>
        <v>Tanya Malhotra(E1114) - Finance</v>
      </c>
      <c r="F99" s="9" t="str">
        <f>LEFT(E99,FIND("-",E99))</f>
        <v>Tanya Malhotra(E1114) -</v>
      </c>
      <c r="G99" s="9" t="str">
        <f>RIGHT(E99,LEN(E99)-FIND("-",E99)-1)</f>
        <v>Finance</v>
      </c>
      <c r="H99" s="9">
        <f>FIND("-",E99)</f>
        <v>23</v>
      </c>
      <c r="I99" s="9">
        <f>LEN(E99)-FIND("-",E99)</f>
        <v>8</v>
      </c>
      <c r="J99" s="8" t="s">
        <v>53</v>
      </c>
      <c r="K99" s="9" t="str">
        <f>SUBSTITUTE(J99,"a","@",1)</f>
        <v>Delhi</v>
      </c>
      <c r="L99" s="8" t="s">
        <v>484</v>
      </c>
      <c r="M99" s="8" t="str">
        <f>TEXT(L99,"dddd")</f>
        <v>Tuesday</v>
      </c>
      <c r="N99" s="8" t="str">
        <f>LEFT(M99,3)</f>
        <v>Tue</v>
      </c>
      <c r="O99" s="8" t="str">
        <f>RIGHT(M99,3)</f>
        <v>day</v>
      </c>
      <c r="P99" s="8">
        <f>MONTH(L99)</f>
        <v>6</v>
      </c>
      <c r="Q99" s="8">
        <f>YEAR(L99)</f>
        <v>2021</v>
      </c>
      <c r="R99" s="8" t="s">
        <v>485</v>
      </c>
      <c r="S99" s="8">
        <f>HOUR(R99)</f>
        <v>9</v>
      </c>
      <c r="T99" s="8">
        <f>MINUTE(R99)</f>
        <v>22</v>
      </c>
      <c r="U99" s="8">
        <f>SECOND(R99)</f>
        <v>37</v>
      </c>
      <c r="V99" s="8">
        <v>72412</v>
      </c>
      <c r="W99" s="8">
        <v>59605</v>
      </c>
      <c r="X99" s="9" t="str">
        <f>IF(W99&gt;50000,"Highe Target","Low Target")</f>
        <v>Highe Target</v>
      </c>
      <c r="Y99" s="9" t="str">
        <f t="shared" si="1"/>
        <v>Highe target</v>
      </c>
      <c r="Z99" s="9" t="str" cm="1">
        <f t="array" ref="Z99">_xlfn.IFS(W99&lt;60000,"LOWERTarget",W99&lt;80000,"Medium Target",W99,"Highe Target")</f>
        <v>LOWERTarget</v>
      </c>
      <c r="AA99" s="8" t="s">
        <v>96</v>
      </c>
      <c r="AB99" s="5" t="str">
        <f>UPPER(AA99)</f>
        <v>FAST DELIVERY</v>
      </c>
      <c r="AC99" s="5" t="str">
        <f>LOWER(AA99)</f>
        <v>fast delivery</v>
      </c>
      <c r="AD99" s="5" t="str">
        <f>PROPER(AA99)</f>
        <v>Fast Delivery</v>
      </c>
      <c r="AF99" s="6"/>
    </row>
    <row r="100" ht="14.25" customHeight="1" spans="1:32">
      <c r="A100" s="8" t="s">
        <v>486</v>
      </c>
      <c r="B100" s="8" t="s">
        <v>487</v>
      </c>
      <c r="C100" s="9">
        <f>LEN(B100)</f>
        <v>10</v>
      </c>
      <c r="D100" s="8" t="s">
        <v>35</v>
      </c>
      <c r="E100" s="8" t="str">
        <f>_xlfn.CONCAT(B100,"(",A100,")"," - ",D100)</f>
        <v>Tanya Iyer(E1198) - Finance</v>
      </c>
      <c r="F100" s="9" t="str">
        <f>LEFT(E100,FIND("-",E100))</f>
        <v>Tanya Iyer(E1198) -</v>
      </c>
      <c r="G100" s="9" t="str">
        <f>RIGHT(E100,LEN(E100)-FIND("-",E100)-1)</f>
        <v>Finance</v>
      </c>
      <c r="H100" s="9">
        <f>FIND("-",E100)</f>
        <v>19</v>
      </c>
      <c r="I100" s="9">
        <f>LEN(E100)-FIND("-",E100)</f>
        <v>8</v>
      </c>
      <c r="J100" s="8" t="s">
        <v>76</v>
      </c>
      <c r="K100" s="9" t="str">
        <f>SUBSTITUTE(J100,"a","@",1)</f>
        <v>Pune</v>
      </c>
      <c r="L100" s="8" t="s">
        <v>488</v>
      </c>
      <c r="M100" s="8" t="str">
        <f>TEXT(L100,"dddd")</f>
        <v>Thursday</v>
      </c>
      <c r="N100" s="8" t="str">
        <f>LEFT(M100,3)</f>
        <v>Thu</v>
      </c>
      <c r="O100" s="8" t="str">
        <f>RIGHT(M100,3)</f>
        <v>day</v>
      </c>
      <c r="P100" s="8">
        <f>MONTH(L100)</f>
        <v>2</v>
      </c>
      <c r="Q100" s="8">
        <f>YEAR(L100)</f>
        <v>2024</v>
      </c>
      <c r="R100" s="8" t="s">
        <v>489</v>
      </c>
      <c r="S100" s="8">
        <f>HOUR(R100)</f>
        <v>10</v>
      </c>
      <c r="T100" s="8">
        <f>MINUTE(R100)</f>
        <v>18</v>
      </c>
      <c r="U100" s="8">
        <f>SECOND(R100)</f>
        <v>57</v>
      </c>
      <c r="V100" s="8">
        <v>54979</v>
      </c>
      <c r="W100" s="8">
        <v>59657</v>
      </c>
      <c r="X100" s="9" t="str">
        <f>IF(W100&gt;50000,"Highe Target","Low Target")</f>
        <v>Highe Target</v>
      </c>
      <c r="Y100" s="9" t="str">
        <f t="shared" si="1"/>
        <v>Highe target</v>
      </c>
      <c r="Z100" s="9" t="str" cm="1">
        <f t="array" ref="Z100">_xlfn.IFS(W100&lt;60000,"LOWERTarget",W100&lt;80000,"Medium Target",W100,"Highe Target")</f>
        <v>LOWERTarget</v>
      </c>
      <c r="AA100" s="8" t="s">
        <v>96</v>
      </c>
      <c r="AB100" s="5" t="str">
        <f>UPPER(AA100)</f>
        <v>FAST DELIVERY</v>
      </c>
      <c r="AC100" s="5" t="str">
        <f>LOWER(AA100)</f>
        <v>fast delivery</v>
      </c>
      <c r="AD100" s="5" t="str">
        <f>PROPER(AA100)</f>
        <v>Fast Delivery</v>
      </c>
      <c r="AF100" s="6"/>
    </row>
    <row r="101" ht="14.25" customHeight="1" spans="1:32">
      <c r="A101" s="8" t="s">
        <v>490</v>
      </c>
      <c r="B101" s="8" t="s">
        <v>451</v>
      </c>
      <c r="C101" s="9">
        <f>LEN(B101)</f>
        <v>9</v>
      </c>
      <c r="D101" s="8" t="s">
        <v>60</v>
      </c>
      <c r="E101" s="8" t="str">
        <f>_xlfn.CONCAT(B101,"(",A101,")"," - ",D101)</f>
        <v>Yash Iyer(E1158) - HR</v>
      </c>
      <c r="F101" s="9" t="str">
        <f>LEFT(E101,FIND("-",E101))</f>
        <v>Yash Iyer(E1158) -</v>
      </c>
      <c r="G101" s="9" t="str">
        <f>RIGHT(E101,LEN(E101)-FIND("-",E101)-1)</f>
        <v>HR</v>
      </c>
      <c r="H101" s="9">
        <f>FIND("-",E101)</f>
        <v>18</v>
      </c>
      <c r="I101" s="9">
        <f>LEN(E101)-FIND("-",E101)</f>
        <v>3</v>
      </c>
      <c r="J101" s="8" t="s">
        <v>36</v>
      </c>
      <c r="K101" s="9" t="str">
        <f>SUBSTITUTE(J101,"a","@",1)</f>
        <v>Ahmed@bad</v>
      </c>
      <c r="L101" s="8" t="s">
        <v>362</v>
      </c>
      <c r="M101" s="8" t="str">
        <f>TEXT(L101,"dddd")</f>
        <v>Thursday</v>
      </c>
      <c r="N101" s="8" t="str">
        <f>LEFT(M101,3)</f>
        <v>Thu</v>
      </c>
      <c r="O101" s="8" t="str">
        <f>RIGHT(M101,3)</f>
        <v>day</v>
      </c>
      <c r="P101" s="8">
        <f>MONTH(L101)</f>
        <v>5</v>
      </c>
      <c r="Q101" s="8">
        <f>YEAR(L101)</f>
        <v>2021</v>
      </c>
      <c r="R101" s="8" t="s">
        <v>491</v>
      </c>
      <c r="S101" s="8">
        <f>HOUR(R101)</f>
        <v>9</v>
      </c>
      <c r="T101" s="8">
        <f>MINUTE(R101)</f>
        <v>28</v>
      </c>
      <c r="U101" s="8">
        <f>SECOND(R101)</f>
        <v>40</v>
      </c>
      <c r="V101" s="8">
        <v>62846</v>
      </c>
      <c r="W101" s="8">
        <v>59845</v>
      </c>
      <c r="X101" s="9" t="str">
        <f>IF(W101&gt;50000,"Highe Target","Low Target")</f>
        <v>Highe Target</v>
      </c>
      <c r="Y101" s="9" t="str">
        <f t="shared" si="1"/>
        <v>Highe target</v>
      </c>
      <c r="Z101" s="9" t="str" cm="1">
        <f t="array" ref="Z101">_xlfn.IFS(W101&lt;60000,"LOWERTarget",W101&lt;80000,"Medium Target",W101,"Highe Target")</f>
        <v>LOWERTarget</v>
      </c>
      <c r="AA101" s="8" t="s">
        <v>79</v>
      </c>
      <c r="AB101" s="5" t="str">
        <f>UPPER(AA101)</f>
        <v>EXCELLENT LEADERSHIP</v>
      </c>
      <c r="AC101" s="5" t="str">
        <f>LOWER(AA101)</f>
        <v>excellent leadership</v>
      </c>
      <c r="AD101" s="5" t="str">
        <f>PROPER(AA101)</f>
        <v>Excellent Leadership</v>
      </c>
      <c r="AF101" s="6"/>
    </row>
    <row r="102" ht="14.25" customHeight="1" spans="1:32">
      <c r="A102" s="8" t="s">
        <v>492</v>
      </c>
      <c r="B102" s="8" t="s">
        <v>245</v>
      </c>
      <c r="C102" s="9">
        <f>LEN(B102)</f>
        <v>12</v>
      </c>
      <c r="D102" s="8" t="s">
        <v>93</v>
      </c>
      <c r="E102" s="8" t="str">
        <f>_xlfn.CONCAT(B102,"(",A102,")"," - ",D102)</f>
        <v>Arjun Saxena(E1167) - Sales</v>
      </c>
      <c r="F102" s="9" t="str">
        <f>LEFT(E102,FIND("-",E102))</f>
        <v>Arjun Saxena(E1167) -</v>
      </c>
      <c r="G102" s="9" t="str">
        <f>RIGHT(E102,LEN(E102)-FIND("-",E102)-1)</f>
        <v>Sales</v>
      </c>
      <c r="H102" s="9">
        <f>FIND("-",E102)</f>
        <v>21</v>
      </c>
      <c r="I102" s="9">
        <f>LEN(E102)-FIND("-",E102)</f>
        <v>6</v>
      </c>
      <c r="J102" s="8" t="s">
        <v>182</v>
      </c>
      <c r="K102" s="9" t="str">
        <f>SUBSTITUTE(J102,"a","@",1)</f>
        <v>Kolk@ta</v>
      </c>
      <c r="L102" s="8" t="s">
        <v>493</v>
      </c>
      <c r="M102" s="8" t="str">
        <f>TEXT(L102,"dddd")</f>
        <v>Wednesday</v>
      </c>
      <c r="N102" s="8" t="str">
        <f>LEFT(M102,3)</f>
        <v>Wed</v>
      </c>
      <c r="O102" s="8" t="str">
        <f>RIGHT(M102,3)</f>
        <v>day</v>
      </c>
      <c r="P102" s="8">
        <f>MONTH(L102)</f>
        <v>11</v>
      </c>
      <c r="Q102" s="8">
        <f>YEAR(L102)</f>
        <v>2023</v>
      </c>
      <c r="R102" s="8" t="s">
        <v>494</v>
      </c>
      <c r="S102" s="8">
        <f>HOUR(R102)</f>
        <v>9</v>
      </c>
      <c r="T102" s="8">
        <f>MINUTE(R102)</f>
        <v>1</v>
      </c>
      <c r="U102" s="8">
        <f>SECOND(R102)</f>
        <v>23</v>
      </c>
      <c r="V102" s="8">
        <v>57054</v>
      </c>
      <c r="W102" s="8">
        <v>60241</v>
      </c>
      <c r="X102" s="9" t="str">
        <f>IF(W102&gt;50000,"Highe Target","Low Target")</f>
        <v>Highe Target</v>
      </c>
      <c r="Y102" s="9" t="str">
        <f t="shared" si="1"/>
        <v>Highe target</v>
      </c>
      <c r="Z102" s="9" t="str" cm="1">
        <f t="array" ref="Z102">_xlfn.IFS(W102&lt;60000,"LOWERTarget",W102&lt;80000,"Medium Target",W102,"Highe Target")</f>
        <v>Medium Target</v>
      </c>
      <c r="AA102" s="8" t="s">
        <v>126</v>
      </c>
      <c r="AB102" s="5" t="str">
        <f>UPPER(AA102)</f>
        <v>ACCURATE REPORTS</v>
      </c>
      <c r="AC102" s="5" t="str">
        <f>LOWER(AA102)</f>
        <v>accurate reports</v>
      </c>
      <c r="AD102" s="5" t="str">
        <f>PROPER(AA102)</f>
        <v>Accurate Reports</v>
      </c>
      <c r="AF102" s="6"/>
    </row>
    <row r="103" ht="14.25" customHeight="1" spans="1:32">
      <c r="A103" s="8" t="s">
        <v>495</v>
      </c>
      <c r="B103" s="8" t="s">
        <v>337</v>
      </c>
      <c r="C103" s="9">
        <f>LEN(B103)</f>
        <v>12</v>
      </c>
      <c r="D103" s="8" t="s">
        <v>60</v>
      </c>
      <c r="E103" s="8" t="str">
        <f>_xlfn.CONCAT(B103,"(",A103,")"," - ",D103)</f>
        <v>Aakash Reddy(E1176) - HR</v>
      </c>
      <c r="F103" s="9" t="str">
        <f>LEFT(E103,FIND("-",E103))</f>
        <v>Aakash Reddy(E1176) -</v>
      </c>
      <c r="G103" s="9" t="str">
        <f>RIGHT(E103,LEN(E103)-FIND("-",E103)-1)</f>
        <v>HR</v>
      </c>
      <c r="H103" s="9">
        <f>FIND("-",E103)</f>
        <v>21</v>
      </c>
      <c r="I103" s="9">
        <f>LEN(E103)-FIND("-",E103)</f>
        <v>3</v>
      </c>
      <c r="J103" s="8" t="s">
        <v>182</v>
      </c>
      <c r="K103" s="9" t="str">
        <f>SUBSTITUTE(J103,"a","@",1)</f>
        <v>Kolk@ta</v>
      </c>
      <c r="L103" s="8" t="s">
        <v>496</v>
      </c>
      <c r="M103" s="8" t="str">
        <f>TEXT(L103,"dddd")</f>
        <v>Thursday</v>
      </c>
      <c r="N103" s="8" t="str">
        <f>LEFT(M103,3)</f>
        <v>Thu</v>
      </c>
      <c r="O103" s="8" t="str">
        <f>RIGHT(M103,3)</f>
        <v>day</v>
      </c>
      <c r="P103" s="8">
        <f>MONTH(L103)</f>
        <v>6</v>
      </c>
      <c r="Q103" s="8">
        <f>YEAR(L103)</f>
        <v>2021</v>
      </c>
      <c r="R103" s="8" t="s">
        <v>497</v>
      </c>
      <c r="S103" s="8">
        <f>HOUR(R103)</f>
        <v>9</v>
      </c>
      <c r="T103" s="8">
        <f>MINUTE(R103)</f>
        <v>14</v>
      </c>
      <c r="U103" s="8">
        <f>SECOND(R103)</f>
        <v>1</v>
      </c>
      <c r="V103" s="8">
        <v>52378</v>
      </c>
      <c r="W103" s="8">
        <v>60885</v>
      </c>
      <c r="X103" s="9" t="str">
        <f>IF(W103&gt;50000,"Highe Target","Low Target")</f>
        <v>Highe Target</v>
      </c>
      <c r="Y103" s="9" t="str">
        <f t="shared" si="1"/>
        <v>Highe target</v>
      </c>
      <c r="Z103" s="9" t="str" cm="1">
        <f t="array" ref="Z103">_xlfn.IFS(W103&lt;60000,"LOWERTarget",W103&lt;80000,"Medium Target",W103,"Highe Target")</f>
        <v>Medium Target</v>
      </c>
      <c r="AA103" s="8" t="s">
        <v>185</v>
      </c>
      <c r="AB103" s="5" t="str">
        <f>UPPER(AA103)</f>
        <v>   POSITIVE ATTITUDE   </v>
      </c>
      <c r="AC103" s="5" t="str">
        <f>LOWER(AA103)</f>
        <v>   positive attitude   </v>
      </c>
      <c r="AD103" s="5" t="str">
        <f>PROPER(AA103)</f>
        <v>   Positive Attitude   </v>
      </c>
      <c r="AF103" s="6"/>
    </row>
    <row r="104" ht="14.25" customHeight="1" spans="1:32">
      <c r="A104" s="8" t="s">
        <v>498</v>
      </c>
      <c r="B104" s="8" t="s">
        <v>191</v>
      </c>
      <c r="C104" s="9">
        <f>LEN(B104)</f>
        <v>14</v>
      </c>
      <c r="D104" s="8" t="s">
        <v>35</v>
      </c>
      <c r="E104" s="8" t="str">
        <f>_xlfn.CONCAT(B104,"(",A104,")"," - ",D104)</f>
        <v>Ritika Agarwal(E1104) - Finance</v>
      </c>
      <c r="F104" s="9" t="str">
        <f>LEFT(E104,FIND("-",E104))</f>
        <v>Ritika Agarwal(E1104) -</v>
      </c>
      <c r="G104" s="9" t="str">
        <f>RIGHT(E104,LEN(E104)-FIND("-",E104)-1)</f>
        <v>Finance</v>
      </c>
      <c r="H104" s="9">
        <f>FIND("-",E104)</f>
        <v>23</v>
      </c>
      <c r="I104" s="9">
        <f>LEN(E104)-FIND("-",E104)</f>
        <v>8</v>
      </c>
      <c r="J104" s="8" t="s">
        <v>172</v>
      </c>
      <c r="K104" s="9" t="str">
        <f>SUBSTITUTE(J104,"a","@",1)</f>
        <v>Hyder@bad</v>
      </c>
      <c r="L104" s="8" t="s">
        <v>499</v>
      </c>
      <c r="M104" s="8" t="str">
        <f>TEXT(L104,"dddd")</f>
        <v>Monday</v>
      </c>
      <c r="N104" s="8" t="str">
        <f>LEFT(M104,3)</f>
        <v>Mon</v>
      </c>
      <c r="O104" s="8" t="str">
        <f>RIGHT(M104,3)</f>
        <v>day</v>
      </c>
      <c r="P104" s="8">
        <f>MONTH(L104)</f>
        <v>2</v>
      </c>
      <c r="Q104" s="8">
        <f>YEAR(L104)</f>
        <v>2024</v>
      </c>
      <c r="R104" s="8" t="s">
        <v>500</v>
      </c>
      <c r="S104" s="8">
        <f>HOUR(R104)</f>
        <v>10</v>
      </c>
      <c r="T104" s="8">
        <f>MINUTE(R104)</f>
        <v>24</v>
      </c>
      <c r="U104" s="8">
        <f>SECOND(R104)</f>
        <v>29</v>
      </c>
      <c r="V104" s="8">
        <v>58451</v>
      </c>
      <c r="W104" s="8">
        <v>61088</v>
      </c>
      <c r="X104" s="9" t="str">
        <f>IF(W104&gt;50000,"Highe Target","Low Target")</f>
        <v>Highe Target</v>
      </c>
      <c r="Y104" s="9" t="str">
        <f t="shared" si="1"/>
        <v>Highe target</v>
      </c>
      <c r="Z104" s="9" t="str" cm="1">
        <f t="array" ref="Z104">_xlfn.IFS(W104&lt;60000,"LOWERTarget",W104&lt;80000,"Medium Target",W104,"Highe Target")</f>
        <v>Medium Target</v>
      </c>
      <c r="AA104" s="8" t="s">
        <v>96</v>
      </c>
      <c r="AB104" s="5" t="str">
        <f>UPPER(AA104)</f>
        <v>FAST DELIVERY</v>
      </c>
      <c r="AC104" s="5" t="str">
        <f>LOWER(AA104)</f>
        <v>fast delivery</v>
      </c>
      <c r="AD104" s="5" t="str">
        <f>PROPER(AA104)</f>
        <v>Fast Delivery</v>
      </c>
      <c r="AF104" s="6"/>
    </row>
    <row r="105" ht="14.25" customHeight="1" spans="1:32">
      <c r="A105" s="8" t="s">
        <v>501</v>
      </c>
      <c r="B105" s="8" t="s">
        <v>502</v>
      </c>
      <c r="C105" s="9">
        <f>LEN(B105)</f>
        <v>12</v>
      </c>
      <c r="D105" s="8" t="s">
        <v>44</v>
      </c>
      <c r="E105" s="8" t="str">
        <f>_xlfn.CONCAT(B105,"(",A105,")"," - ",D105)</f>
        <v>Nisha Mishra(E1152) - Marketing</v>
      </c>
      <c r="F105" s="9" t="str">
        <f>LEFT(E105,FIND("-",E105))</f>
        <v>Nisha Mishra(E1152) -</v>
      </c>
      <c r="G105" s="9" t="str">
        <f>RIGHT(E105,LEN(E105)-FIND("-",E105)-1)</f>
        <v>Marketing</v>
      </c>
      <c r="H105" s="9">
        <f>FIND("-",E105)</f>
        <v>21</v>
      </c>
      <c r="I105" s="9">
        <f>LEN(E105)-FIND("-",E105)</f>
        <v>10</v>
      </c>
      <c r="J105" s="8" t="s">
        <v>182</v>
      </c>
      <c r="K105" s="9" t="str">
        <f>SUBSTITUTE(J105,"a","@",1)</f>
        <v>Kolk@ta</v>
      </c>
      <c r="L105" s="8" t="s">
        <v>503</v>
      </c>
      <c r="M105" s="8" t="str">
        <f>TEXT(L105,"dddd")</f>
        <v>Tuesday</v>
      </c>
      <c r="N105" s="8" t="str">
        <f>LEFT(M105,3)</f>
        <v>Tue</v>
      </c>
      <c r="O105" s="8" t="str">
        <f>RIGHT(M105,3)</f>
        <v>day</v>
      </c>
      <c r="P105" s="8">
        <f>MONTH(L105)</f>
        <v>8</v>
      </c>
      <c r="Q105" s="8">
        <f>YEAR(L105)</f>
        <v>2022</v>
      </c>
      <c r="R105" s="8" t="s">
        <v>504</v>
      </c>
      <c r="S105" s="8">
        <f>HOUR(R105)</f>
        <v>8</v>
      </c>
      <c r="T105" s="8">
        <f>MINUTE(R105)</f>
        <v>25</v>
      </c>
      <c r="U105" s="8">
        <f>SECOND(R105)</f>
        <v>1</v>
      </c>
      <c r="V105" s="8">
        <v>57547</v>
      </c>
      <c r="W105" s="8">
        <v>61284</v>
      </c>
      <c r="X105" s="9" t="str">
        <f>IF(W105&gt;50000,"Highe Target","Low Target")</f>
        <v>Highe Target</v>
      </c>
      <c r="Y105" s="9" t="str">
        <f t="shared" si="1"/>
        <v>Highe target</v>
      </c>
      <c r="Z105" s="9" t="str" cm="1">
        <f t="array" ref="Z105">_xlfn.IFS(W105&lt;60000,"LOWERTarget",W105&lt;80000,"Medium Target",W105,"Highe Target")</f>
        <v>Medium Target</v>
      </c>
      <c r="AA105" s="8" t="s">
        <v>118</v>
      </c>
      <c r="AB105" s="5" t="str">
        <f>UPPER(AA105)</f>
        <v>CUSTOMER FOCUSED</v>
      </c>
      <c r="AC105" s="5" t="str">
        <f>LOWER(AA105)</f>
        <v>customer focused</v>
      </c>
      <c r="AD105" s="5" t="str">
        <f>PROPER(AA105)</f>
        <v>Customer Focused</v>
      </c>
      <c r="AF105" s="6"/>
    </row>
    <row r="106" ht="14.25" customHeight="1" spans="1:32">
      <c r="A106" s="8" t="s">
        <v>505</v>
      </c>
      <c r="B106" s="8" t="s">
        <v>506</v>
      </c>
      <c r="C106" s="9">
        <f>LEN(B106)</f>
        <v>12</v>
      </c>
      <c r="D106" s="8" t="s">
        <v>93</v>
      </c>
      <c r="E106" s="8" t="str">
        <f>_xlfn.CONCAT(B106,"(",A106,")"," - ",D106)</f>
        <v>Priya Chopra(E1047) - Sales</v>
      </c>
      <c r="F106" s="9" t="str">
        <f>LEFT(E106,FIND("-",E106))</f>
        <v>Priya Chopra(E1047) -</v>
      </c>
      <c r="G106" s="9" t="str">
        <f>RIGHT(E106,LEN(E106)-FIND("-",E106)-1)</f>
        <v>Sales</v>
      </c>
      <c r="H106" s="9">
        <f>FIND("-",E106)</f>
        <v>21</v>
      </c>
      <c r="I106" s="9">
        <f>LEN(E106)-FIND("-",E106)</f>
        <v>6</v>
      </c>
      <c r="J106" s="8" t="s">
        <v>45</v>
      </c>
      <c r="K106" s="9" t="str">
        <f>SUBSTITUTE(J106,"a","@",1)</f>
        <v>B@ngalore</v>
      </c>
      <c r="L106" s="8" t="s">
        <v>507</v>
      </c>
      <c r="M106" s="8" t="str">
        <f>TEXT(L106,"dddd")</f>
        <v>Monday</v>
      </c>
      <c r="N106" s="8" t="str">
        <f>LEFT(M106,3)</f>
        <v>Mon</v>
      </c>
      <c r="O106" s="8" t="str">
        <f>RIGHT(M106,3)</f>
        <v>day</v>
      </c>
      <c r="P106" s="8">
        <f>MONTH(L106)</f>
        <v>1</v>
      </c>
      <c r="Q106" s="8">
        <f>YEAR(L106)</f>
        <v>2023</v>
      </c>
      <c r="R106" s="8" t="s">
        <v>508</v>
      </c>
      <c r="S106" s="8">
        <f>HOUR(R106)</f>
        <v>9</v>
      </c>
      <c r="T106" s="8">
        <f>MINUTE(R106)</f>
        <v>4</v>
      </c>
      <c r="U106" s="8">
        <f>SECOND(R106)</f>
        <v>42</v>
      </c>
      <c r="V106" s="8">
        <v>67211</v>
      </c>
      <c r="W106" s="8">
        <v>61639</v>
      </c>
      <c r="X106" s="9" t="str">
        <f>IF(W106&gt;50000,"Highe Target","Low Target")</f>
        <v>Highe Target</v>
      </c>
      <c r="Y106" s="9" t="str">
        <f t="shared" si="1"/>
        <v>Highe target</v>
      </c>
      <c r="Z106" s="9" t="str" cm="1">
        <f t="array" ref="Z106">_xlfn.IFS(W106&lt;60000,"LOWERTarget",W106&lt;80000,"Medium Target",W106,"Highe Target")</f>
        <v>Medium Target</v>
      </c>
      <c r="AA106" s="8" t="s">
        <v>138</v>
      </c>
      <c r="AB106" s="5" t="str">
        <f>UPPER(AA106)</f>
        <v>GOOD TEAMWORK</v>
      </c>
      <c r="AC106" s="5" t="str">
        <f>LOWER(AA106)</f>
        <v>good teamwork</v>
      </c>
      <c r="AD106" s="5" t="str">
        <f>PROPER(AA106)</f>
        <v>Good Teamwork</v>
      </c>
      <c r="AF106" s="6"/>
    </row>
    <row r="107" ht="14.25" customHeight="1" spans="1:32">
      <c r="A107" s="8" t="s">
        <v>509</v>
      </c>
      <c r="B107" s="8" t="s">
        <v>510</v>
      </c>
      <c r="C107" s="9">
        <f>LEN(B107)</f>
        <v>11</v>
      </c>
      <c r="D107" s="8" t="s">
        <v>44</v>
      </c>
      <c r="E107" s="8" t="str">
        <f>_xlfn.CONCAT(B107,"(",A107,")"," - ",D107)</f>
        <v>Tanya Joshi(E1004) - Marketing</v>
      </c>
      <c r="F107" s="9" t="str">
        <f>LEFT(E107,FIND("-",E107))</f>
        <v>Tanya Joshi(E1004) -</v>
      </c>
      <c r="G107" s="9" t="str">
        <f>RIGHT(E107,LEN(E107)-FIND("-",E107)-1)</f>
        <v>Marketing</v>
      </c>
      <c r="H107" s="9">
        <f>FIND("-",E107)</f>
        <v>20</v>
      </c>
      <c r="I107" s="9">
        <f>LEN(E107)-FIND("-",E107)</f>
        <v>10</v>
      </c>
      <c r="J107" s="8" t="s">
        <v>172</v>
      </c>
      <c r="K107" s="9" t="str">
        <f>SUBSTITUTE(J107,"a","@",1)</f>
        <v>Hyder@bad</v>
      </c>
      <c r="L107" s="8" t="s">
        <v>511</v>
      </c>
      <c r="M107" s="8" t="str">
        <f>TEXT(L107,"dddd")</f>
        <v>Sunday</v>
      </c>
      <c r="N107" s="8" t="str">
        <f>LEFT(M107,3)</f>
        <v>Sun</v>
      </c>
      <c r="O107" s="8" t="str">
        <f>RIGHT(M107,3)</f>
        <v>day</v>
      </c>
      <c r="P107" s="8">
        <f>MONTH(L107)</f>
        <v>7</v>
      </c>
      <c r="Q107" s="8">
        <f>YEAR(L107)</f>
        <v>2022</v>
      </c>
      <c r="R107" s="8" t="s">
        <v>512</v>
      </c>
      <c r="S107" s="8">
        <f>HOUR(R107)</f>
        <v>8</v>
      </c>
      <c r="T107" s="8">
        <f>MINUTE(R107)</f>
        <v>13</v>
      </c>
      <c r="U107" s="8">
        <f>SECOND(R107)</f>
        <v>48</v>
      </c>
      <c r="V107" s="8">
        <v>53757</v>
      </c>
      <c r="W107" s="8">
        <v>62059</v>
      </c>
      <c r="X107" s="9" t="str">
        <f>IF(W107&gt;50000,"Highe Target","Low Target")</f>
        <v>Highe Target</v>
      </c>
      <c r="Y107" s="9" t="str">
        <f t="shared" si="1"/>
        <v>Highe target</v>
      </c>
      <c r="Z107" s="9" t="str" cm="1">
        <f t="array" ref="Z107">_xlfn.IFS(W107&lt;60000,"LOWERTarget",W107&lt;80000,"Medium Target",W107,"Highe Target")</f>
        <v>Medium Target</v>
      </c>
      <c r="AA107" s="8" t="s">
        <v>160</v>
      </c>
      <c r="AB107" s="5" t="str">
        <f>UPPER(AA107)</f>
        <v>GOOD COMMUNICATION</v>
      </c>
      <c r="AC107" s="5" t="str">
        <f>LOWER(AA107)</f>
        <v>good communication</v>
      </c>
      <c r="AD107" s="5" t="str">
        <f>PROPER(AA107)</f>
        <v>Good Communication</v>
      </c>
      <c r="AF107" s="6"/>
    </row>
    <row r="108" ht="14.25" customHeight="1" spans="1:32">
      <c r="A108" s="8" t="s">
        <v>513</v>
      </c>
      <c r="B108" s="8" t="s">
        <v>514</v>
      </c>
      <c r="C108" s="9">
        <f>LEN(B108)</f>
        <v>12</v>
      </c>
      <c r="D108" s="8" t="s">
        <v>35</v>
      </c>
      <c r="E108" s="8" t="str">
        <f>_xlfn.CONCAT(B108,"(",A108,")"," - ",D108)</f>
        <v>Shreya Joshi(E1163) - Finance</v>
      </c>
      <c r="F108" s="9" t="str">
        <f>LEFT(E108,FIND("-",E108))</f>
        <v>Shreya Joshi(E1163) -</v>
      </c>
      <c r="G108" s="9" t="str">
        <f>RIGHT(E108,LEN(E108)-FIND("-",E108)-1)</f>
        <v>Finance</v>
      </c>
      <c r="H108" s="9">
        <f>FIND("-",E108)</f>
        <v>21</v>
      </c>
      <c r="I108" s="9">
        <f>LEN(E108)-FIND("-",E108)</f>
        <v>8</v>
      </c>
      <c r="J108" s="8" t="s">
        <v>172</v>
      </c>
      <c r="K108" s="9" t="str">
        <f>SUBSTITUTE(J108,"a","@",1)</f>
        <v>Hyder@bad</v>
      </c>
      <c r="L108" s="8" t="s">
        <v>515</v>
      </c>
      <c r="M108" s="8" t="str">
        <f>TEXT(L108,"dddd")</f>
        <v>Wednesday</v>
      </c>
      <c r="N108" s="8" t="str">
        <f>LEFT(M108,3)</f>
        <v>Wed</v>
      </c>
      <c r="O108" s="8" t="str">
        <f>RIGHT(M108,3)</f>
        <v>day</v>
      </c>
      <c r="P108" s="8">
        <f>MONTH(L108)</f>
        <v>8</v>
      </c>
      <c r="Q108" s="8">
        <f>YEAR(L108)</f>
        <v>2022</v>
      </c>
      <c r="R108" s="8" t="s">
        <v>516</v>
      </c>
      <c r="S108" s="8">
        <f>HOUR(R108)</f>
        <v>9</v>
      </c>
      <c r="T108" s="8">
        <f>MINUTE(R108)</f>
        <v>26</v>
      </c>
      <c r="U108" s="8">
        <f>SECOND(R108)</f>
        <v>49</v>
      </c>
      <c r="V108" s="8">
        <v>50606</v>
      </c>
      <c r="W108" s="8">
        <v>62175</v>
      </c>
      <c r="X108" s="9" t="str">
        <f>IF(W108&gt;50000,"Highe Target","Low Target")</f>
        <v>Highe Target</v>
      </c>
      <c r="Y108" s="9" t="str">
        <f t="shared" si="1"/>
        <v>Highe target</v>
      </c>
      <c r="Z108" s="9" t="str" cm="1">
        <f t="array" ref="Z108">_xlfn.IFS(W108&lt;60000,"LOWERTarget",W108&lt;80000,"Medium Target",W108,"Highe Target")</f>
        <v>Medium Target</v>
      </c>
      <c r="AA108" s="8" t="s">
        <v>118</v>
      </c>
      <c r="AB108" s="5" t="str">
        <f>UPPER(AA108)</f>
        <v>CUSTOMER FOCUSED</v>
      </c>
      <c r="AC108" s="5" t="str">
        <f>LOWER(AA108)</f>
        <v>customer focused</v>
      </c>
      <c r="AD108" s="5" t="str">
        <f>PROPER(AA108)</f>
        <v>Customer Focused</v>
      </c>
      <c r="AF108" s="6"/>
    </row>
    <row r="109" ht="14.25" customHeight="1" spans="1:32">
      <c r="A109" s="8" t="s">
        <v>517</v>
      </c>
      <c r="B109" s="8" t="s">
        <v>518</v>
      </c>
      <c r="C109" s="9">
        <f>LEN(B109)</f>
        <v>11</v>
      </c>
      <c r="D109" s="8" t="s">
        <v>60</v>
      </c>
      <c r="E109" s="8" t="str">
        <f>_xlfn.CONCAT(B109,"(",A109,")"," - ",D109)</f>
        <v>Aakash Shah(E1120) - HR</v>
      </c>
      <c r="F109" s="9" t="str">
        <f>LEFT(E109,FIND("-",E109))</f>
        <v>Aakash Shah(E1120) -</v>
      </c>
      <c r="G109" s="9" t="str">
        <f>RIGHT(E109,LEN(E109)-FIND("-",E109)-1)</f>
        <v>HR</v>
      </c>
      <c r="H109" s="9">
        <f>FIND("-",E109)</f>
        <v>20</v>
      </c>
      <c r="I109" s="9">
        <f>LEN(E109)-FIND("-",E109)</f>
        <v>3</v>
      </c>
      <c r="J109" s="8" t="s">
        <v>61</v>
      </c>
      <c r="K109" s="9" t="str">
        <f>SUBSTITUTE(J109,"a","@",1)</f>
        <v>Chenn@i</v>
      </c>
      <c r="L109" s="8" t="s">
        <v>519</v>
      </c>
      <c r="M109" s="8" t="str">
        <f>TEXT(L109,"dddd")</f>
        <v>Thursday</v>
      </c>
      <c r="N109" s="8" t="str">
        <f>LEFT(M109,3)</f>
        <v>Thu</v>
      </c>
      <c r="O109" s="8" t="str">
        <f>RIGHT(M109,3)</f>
        <v>day</v>
      </c>
      <c r="P109" s="8">
        <f>MONTH(L109)</f>
        <v>9</v>
      </c>
      <c r="Q109" s="8">
        <f>YEAR(L109)</f>
        <v>2023</v>
      </c>
      <c r="R109" s="8" t="s">
        <v>520</v>
      </c>
      <c r="S109" s="8">
        <f>HOUR(R109)</f>
        <v>9</v>
      </c>
      <c r="T109" s="8">
        <f>MINUTE(R109)</f>
        <v>47</v>
      </c>
      <c r="U109" s="8">
        <f>SECOND(R109)</f>
        <v>55</v>
      </c>
      <c r="V109" s="8">
        <v>54745</v>
      </c>
      <c r="W109" s="8">
        <v>62198</v>
      </c>
      <c r="X109" s="9" t="str">
        <f>IF(W109&gt;50000,"Highe Target","Low Target")</f>
        <v>Highe Target</v>
      </c>
      <c r="Y109" s="9" t="str">
        <f t="shared" si="1"/>
        <v>Highe target</v>
      </c>
      <c r="Z109" s="9" t="str" cm="1">
        <f t="array" ref="Z109">_xlfn.IFS(W109&lt;60000,"LOWERTarget",W109&lt;80000,"Medium Target",W109,"Highe Target")</f>
        <v>Medium Target</v>
      </c>
      <c r="AA109" s="8" t="s">
        <v>179</v>
      </c>
      <c r="AB109" s="5" t="str">
        <f>UPPER(AA109)</f>
        <v>HELPFUL ATTITUDE</v>
      </c>
      <c r="AC109" s="5" t="str">
        <f>LOWER(AA109)</f>
        <v>helpful attitude</v>
      </c>
      <c r="AD109" s="5" t="str">
        <f>PROPER(AA109)</f>
        <v>Helpful Attitude</v>
      </c>
      <c r="AF109" s="6"/>
    </row>
    <row r="110" ht="14.25" customHeight="1" spans="1:32">
      <c r="A110" s="8" t="s">
        <v>521</v>
      </c>
      <c r="B110" s="8" t="s">
        <v>522</v>
      </c>
      <c r="C110" s="9">
        <f>LEN(B110)</f>
        <v>13</v>
      </c>
      <c r="D110" s="8" t="s">
        <v>44</v>
      </c>
      <c r="E110" s="8" t="str">
        <f>_xlfn.CONCAT(B110,"(",A110,")"," - ",D110)</f>
        <v>Kavita Saxena(E1225) - Marketing</v>
      </c>
      <c r="F110" s="9" t="str">
        <f>LEFT(E110,FIND("-",E110))</f>
        <v>Kavita Saxena(E1225) -</v>
      </c>
      <c r="G110" s="9" t="str">
        <f>RIGHT(E110,LEN(E110)-FIND("-",E110)-1)</f>
        <v>Marketing</v>
      </c>
      <c r="H110" s="9">
        <f>FIND("-",E110)</f>
        <v>22</v>
      </c>
      <c r="I110" s="9">
        <f>LEN(E110)-FIND("-",E110)</f>
        <v>10</v>
      </c>
      <c r="J110" s="8" t="s">
        <v>172</v>
      </c>
      <c r="K110" s="9" t="str">
        <f>SUBSTITUTE(J110,"a","@",1)</f>
        <v>Hyder@bad</v>
      </c>
      <c r="L110" s="8" t="s">
        <v>523</v>
      </c>
      <c r="M110" s="8" t="str">
        <f>TEXT(L110,"dddd")</f>
        <v>Tuesday</v>
      </c>
      <c r="N110" s="8" t="str">
        <f>LEFT(M110,3)</f>
        <v>Tue</v>
      </c>
      <c r="O110" s="8" t="str">
        <f>RIGHT(M110,3)</f>
        <v>day</v>
      </c>
      <c r="P110" s="8">
        <f>MONTH(L110)</f>
        <v>12</v>
      </c>
      <c r="Q110" s="8">
        <f>YEAR(L110)</f>
        <v>2021</v>
      </c>
      <c r="R110" s="8" t="s">
        <v>524</v>
      </c>
      <c r="S110" s="8">
        <f>HOUR(R110)</f>
        <v>9</v>
      </c>
      <c r="T110" s="8">
        <f>MINUTE(R110)</f>
        <v>58</v>
      </c>
      <c r="U110" s="8">
        <f>SECOND(R110)</f>
        <v>34</v>
      </c>
      <c r="V110" s="8">
        <v>70652</v>
      </c>
      <c r="W110" s="8">
        <v>62434</v>
      </c>
      <c r="X110" s="9" t="str">
        <f>IF(W110&gt;50000,"Highe Target","Low Target")</f>
        <v>Highe Target</v>
      </c>
      <c r="Y110" s="9" t="str">
        <f t="shared" si="1"/>
        <v>Highe target</v>
      </c>
      <c r="Z110" s="9" t="str" cm="1">
        <f t="array" ref="Z110">_xlfn.IFS(W110&lt;60000,"LOWERTarget",W110&lt;80000,"Medium Target",W110,"Highe Target")</f>
        <v>Medium Target</v>
      </c>
      <c r="AA110" s="8" t="s">
        <v>138</v>
      </c>
      <c r="AB110" s="5" t="str">
        <f>UPPER(AA110)</f>
        <v>GOOD TEAMWORK</v>
      </c>
      <c r="AC110" s="5" t="str">
        <f>LOWER(AA110)</f>
        <v>good teamwork</v>
      </c>
      <c r="AD110" s="5" t="str">
        <f>PROPER(AA110)</f>
        <v>Good Teamwork</v>
      </c>
      <c r="AF110" s="6"/>
    </row>
    <row r="111" ht="14.25" customHeight="1" spans="1:32">
      <c r="A111" s="8" t="s">
        <v>525</v>
      </c>
      <c r="B111" s="8" t="s">
        <v>526</v>
      </c>
      <c r="C111" s="9">
        <f>LEN(B111)</f>
        <v>9</v>
      </c>
      <c r="D111" s="8" t="s">
        <v>60</v>
      </c>
      <c r="E111" s="8" t="str">
        <f>_xlfn.CONCAT(B111,"(",A111,")"," - ",D111)</f>
        <v>Isha Jain(E1165) - HR</v>
      </c>
      <c r="F111" s="9" t="str">
        <f>LEFT(E111,FIND("-",E111))</f>
        <v>Isha Jain(E1165) -</v>
      </c>
      <c r="G111" s="9" t="str">
        <f>RIGHT(E111,LEN(E111)-FIND("-",E111)-1)</f>
        <v>HR</v>
      </c>
      <c r="H111" s="9">
        <f>FIND("-",E111)</f>
        <v>18</v>
      </c>
      <c r="I111" s="9">
        <f>LEN(E111)-FIND("-",E111)</f>
        <v>3</v>
      </c>
      <c r="J111" s="8" t="s">
        <v>172</v>
      </c>
      <c r="K111" s="9" t="str">
        <f>SUBSTITUTE(J111,"a","@",1)</f>
        <v>Hyder@bad</v>
      </c>
      <c r="L111" s="8" t="s">
        <v>527</v>
      </c>
      <c r="M111" s="8" t="str">
        <f>TEXT(L111,"dddd")</f>
        <v>Wednesday</v>
      </c>
      <c r="N111" s="8" t="str">
        <f>LEFT(M111,3)</f>
        <v>Wed</v>
      </c>
      <c r="O111" s="8" t="str">
        <f>RIGHT(M111,3)</f>
        <v>day</v>
      </c>
      <c r="P111" s="8">
        <f>MONTH(L111)</f>
        <v>6</v>
      </c>
      <c r="Q111" s="8">
        <f>YEAR(L111)</f>
        <v>2021</v>
      </c>
      <c r="R111" s="8" t="s">
        <v>528</v>
      </c>
      <c r="S111" s="8">
        <f>HOUR(R111)</f>
        <v>10</v>
      </c>
      <c r="T111" s="8">
        <f>MINUTE(R111)</f>
        <v>42</v>
      </c>
      <c r="U111" s="8">
        <f>SECOND(R111)</f>
        <v>9</v>
      </c>
      <c r="V111" s="8">
        <v>68256</v>
      </c>
      <c r="W111" s="8">
        <v>62925</v>
      </c>
      <c r="X111" s="9" t="str">
        <f>IF(W111&gt;50000,"Highe Target","Low Target")</f>
        <v>Highe Target</v>
      </c>
      <c r="Y111" s="9" t="str">
        <f t="shared" si="1"/>
        <v>Highe target</v>
      </c>
      <c r="Z111" s="9" t="str" cm="1">
        <f t="array" ref="Z111">_xlfn.IFS(W111&lt;60000,"LOWERTarget",W111&lt;80000,"Medium Target",W111,"Highe Target")</f>
        <v>Medium Target</v>
      </c>
      <c r="AA111" s="8" t="s">
        <v>138</v>
      </c>
      <c r="AB111" s="5" t="str">
        <f>UPPER(AA111)</f>
        <v>GOOD TEAMWORK</v>
      </c>
      <c r="AC111" s="5" t="str">
        <f>LOWER(AA111)</f>
        <v>good teamwork</v>
      </c>
      <c r="AD111" s="5" t="str">
        <f>PROPER(AA111)</f>
        <v>Good Teamwork</v>
      </c>
      <c r="AF111" s="6"/>
    </row>
    <row r="112" ht="14.25" customHeight="1" spans="1:32">
      <c r="A112" s="8" t="s">
        <v>529</v>
      </c>
      <c r="B112" s="8" t="s">
        <v>530</v>
      </c>
      <c r="C112" s="9">
        <f>LEN(B112)</f>
        <v>10</v>
      </c>
      <c r="D112" s="8" t="s">
        <v>44</v>
      </c>
      <c r="E112" s="8" t="str">
        <f>_xlfn.CONCAT(B112,"(",A112,")"," - ",D112)</f>
        <v>Amit Mehta(E1044) - Marketing</v>
      </c>
      <c r="F112" s="9" t="str">
        <f>LEFT(E112,FIND("-",E112))</f>
        <v>Amit Mehta(E1044) -</v>
      </c>
      <c r="G112" s="9" t="str">
        <f>RIGHT(E112,LEN(E112)-FIND("-",E112)-1)</f>
        <v>Marketing</v>
      </c>
      <c r="H112" s="9">
        <f>FIND("-",E112)</f>
        <v>19</v>
      </c>
      <c r="I112" s="9">
        <f>LEN(E112)-FIND("-",E112)</f>
        <v>10</v>
      </c>
      <c r="J112" s="8" t="s">
        <v>172</v>
      </c>
      <c r="K112" s="9" t="str">
        <f>SUBSTITUTE(J112,"a","@",1)</f>
        <v>Hyder@bad</v>
      </c>
      <c r="L112" s="8" t="s">
        <v>531</v>
      </c>
      <c r="M112" s="8" t="str">
        <f>TEXT(L112,"dddd")</f>
        <v>Monday</v>
      </c>
      <c r="N112" s="8" t="str">
        <f>LEFT(M112,3)</f>
        <v>Mon</v>
      </c>
      <c r="O112" s="8" t="str">
        <f>RIGHT(M112,3)</f>
        <v>day</v>
      </c>
      <c r="P112" s="8">
        <f>MONTH(L112)</f>
        <v>7</v>
      </c>
      <c r="Q112" s="8">
        <f>YEAR(L112)</f>
        <v>2022</v>
      </c>
      <c r="R112" s="8" t="s">
        <v>532</v>
      </c>
      <c r="S112" s="8">
        <f>HOUR(R112)</f>
        <v>8</v>
      </c>
      <c r="T112" s="8">
        <f>MINUTE(R112)</f>
        <v>49</v>
      </c>
      <c r="U112" s="8">
        <f>SECOND(R112)</f>
        <v>17</v>
      </c>
      <c r="V112" s="8">
        <v>81396</v>
      </c>
      <c r="W112" s="8">
        <v>63012</v>
      </c>
      <c r="X112" s="9" t="str">
        <f>IF(W112&gt;50000,"Highe Target","Low Target")</f>
        <v>Highe Target</v>
      </c>
      <c r="Y112" s="9" t="str">
        <f t="shared" si="1"/>
        <v>Highe target</v>
      </c>
      <c r="Z112" s="9" t="str" cm="1">
        <f t="array" ref="Z112">_xlfn.IFS(W112&lt;60000,"LOWERTarget",W112&lt;80000,"Medium Target",W112,"Highe Target")</f>
        <v>Medium Target</v>
      </c>
      <c r="AA112" s="8" t="s">
        <v>39</v>
      </c>
      <c r="AB112" s="5" t="str">
        <f>UPPER(AA112)</f>
        <v>DETAILED ANALYSIS</v>
      </c>
      <c r="AC112" s="5" t="str">
        <f>LOWER(AA112)</f>
        <v>detailed analysis</v>
      </c>
      <c r="AD112" s="5" t="str">
        <f>PROPER(AA112)</f>
        <v>Detailed Analysis</v>
      </c>
      <c r="AF112" s="6"/>
    </row>
    <row r="113" ht="14.25" customHeight="1" spans="1:32">
      <c r="A113" s="8" t="s">
        <v>533</v>
      </c>
      <c r="B113" s="8" t="s">
        <v>329</v>
      </c>
      <c r="C113" s="9">
        <f>LEN(B113)</f>
        <v>18</v>
      </c>
      <c r="D113" s="8" t="s">
        <v>35</v>
      </c>
      <c r="E113" s="8" t="str">
        <f>_xlfn.CONCAT(B113,"(",A113,")"," - ",D113)</f>
        <v>Siddharth Malhotra(E1191) - Finance</v>
      </c>
      <c r="F113" s="9" t="str">
        <f>LEFT(E113,FIND("-",E113))</f>
        <v>Siddharth Malhotra(E1191) -</v>
      </c>
      <c r="G113" s="9" t="str">
        <f>RIGHT(E113,LEN(E113)-FIND("-",E113)-1)</f>
        <v>Finance</v>
      </c>
      <c r="H113" s="9">
        <f>FIND("-",E113)</f>
        <v>27</v>
      </c>
      <c r="I113" s="9">
        <f>LEN(E113)-FIND("-",E113)</f>
        <v>8</v>
      </c>
      <c r="J113" s="8" t="s">
        <v>36</v>
      </c>
      <c r="K113" s="9" t="str">
        <f>SUBSTITUTE(J113,"a","@",1)</f>
        <v>Ahmed@bad</v>
      </c>
      <c r="L113" s="8" t="s">
        <v>203</v>
      </c>
      <c r="M113" s="8" t="str">
        <f>TEXT(L113,"dddd")</f>
        <v>Sunday</v>
      </c>
      <c r="N113" s="8" t="str">
        <f>LEFT(M113,3)</f>
        <v>Sun</v>
      </c>
      <c r="O113" s="8" t="str">
        <f>RIGHT(M113,3)</f>
        <v>day</v>
      </c>
      <c r="P113" s="8">
        <f>MONTH(L113)</f>
        <v>3</v>
      </c>
      <c r="Q113" s="8">
        <f>YEAR(L113)</f>
        <v>2021</v>
      </c>
      <c r="R113" s="8" t="s">
        <v>534</v>
      </c>
      <c r="S113" s="8">
        <f>HOUR(R113)</f>
        <v>10</v>
      </c>
      <c r="T113" s="8">
        <f>MINUTE(R113)</f>
        <v>55</v>
      </c>
      <c r="U113" s="8">
        <f>SECOND(R113)</f>
        <v>58</v>
      </c>
      <c r="V113" s="8">
        <v>76609</v>
      </c>
      <c r="W113" s="8">
        <v>63105</v>
      </c>
      <c r="X113" s="9" t="str">
        <f>IF(W113&gt;50000,"Highe Target","Low Target")</f>
        <v>Highe Target</v>
      </c>
      <c r="Y113" s="9" t="str">
        <f t="shared" si="1"/>
        <v>Highe target</v>
      </c>
      <c r="Z113" s="9" t="str" cm="1">
        <f t="array" ref="Z113">_xlfn.IFS(W113&lt;60000,"LOWERTarget",W113&lt;80000,"Medium Target",W113,"Highe Target")</f>
        <v>Medium Target</v>
      </c>
      <c r="AA113" s="8" t="s">
        <v>64</v>
      </c>
      <c r="AB113" s="5" t="str">
        <f>UPPER(AA113)</f>
        <v>NEEDS IMPROVEMENT</v>
      </c>
      <c r="AC113" s="5" t="str">
        <f>LOWER(AA113)</f>
        <v>needs improvement</v>
      </c>
      <c r="AD113" s="5" t="str">
        <f>PROPER(AA113)</f>
        <v>Needs Improvement</v>
      </c>
      <c r="AF113" s="6"/>
    </row>
    <row r="114" ht="14.25" customHeight="1" spans="1:32">
      <c r="A114" s="8" t="s">
        <v>535</v>
      </c>
      <c r="B114" s="8" t="s">
        <v>536</v>
      </c>
      <c r="C114" s="9">
        <f>LEN(B114)</f>
        <v>12</v>
      </c>
      <c r="D114" s="8" t="s">
        <v>93</v>
      </c>
      <c r="E114" s="8" t="str">
        <f>_xlfn.CONCAT(B114,"(",A114,")"," - ",D114)</f>
        <v>Isha Agarwal(E1183) - Sales</v>
      </c>
      <c r="F114" s="9" t="str">
        <f>LEFT(E114,FIND("-",E114))</f>
        <v>Isha Agarwal(E1183) -</v>
      </c>
      <c r="G114" s="9" t="str">
        <f>RIGHT(E114,LEN(E114)-FIND("-",E114)-1)</f>
        <v>Sales</v>
      </c>
      <c r="H114" s="9">
        <f>FIND("-",E114)</f>
        <v>21</v>
      </c>
      <c r="I114" s="9">
        <f>LEN(E114)-FIND("-",E114)</f>
        <v>6</v>
      </c>
      <c r="J114" s="8" t="s">
        <v>182</v>
      </c>
      <c r="K114" s="9" t="str">
        <f>SUBSTITUTE(J114,"a","@",1)</f>
        <v>Kolk@ta</v>
      </c>
      <c r="L114" s="8" t="s">
        <v>537</v>
      </c>
      <c r="M114" s="8" t="str">
        <f>TEXT(L114,"dddd")</f>
        <v>Saturday</v>
      </c>
      <c r="N114" s="8" t="str">
        <f>LEFT(M114,3)</f>
        <v>Sat</v>
      </c>
      <c r="O114" s="8" t="str">
        <f>RIGHT(M114,3)</f>
        <v>day</v>
      </c>
      <c r="P114" s="8">
        <f>MONTH(L114)</f>
        <v>2</v>
      </c>
      <c r="Q114" s="8">
        <f>YEAR(L114)</f>
        <v>2023</v>
      </c>
      <c r="R114" s="8" t="s">
        <v>538</v>
      </c>
      <c r="S114" s="8">
        <f>HOUR(R114)</f>
        <v>9</v>
      </c>
      <c r="T114" s="8">
        <f>MINUTE(R114)</f>
        <v>47</v>
      </c>
      <c r="U114" s="8">
        <f>SECOND(R114)</f>
        <v>1</v>
      </c>
      <c r="V114" s="8">
        <v>52829</v>
      </c>
      <c r="W114" s="8">
        <v>63402</v>
      </c>
      <c r="X114" s="9" t="str">
        <f>IF(W114&gt;50000,"Highe Target","Low Target")</f>
        <v>Highe Target</v>
      </c>
      <c r="Y114" s="9" t="str">
        <f t="shared" si="1"/>
        <v>Highe target</v>
      </c>
      <c r="Z114" s="9" t="str" cm="1">
        <f t="array" ref="Z114">_xlfn.IFS(W114&lt;60000,"LOWERTarget",W114&lt;80000,"Medium Target",W114,"Highe Target")</f>
        <v>Medium Target</v>
      </c>
      <c r="AA114" s="8" t="s">
        <v>48</v>
      </c>
      <c r="AB114" s="5" t="str">
        <f>UPPER(AA114)</f>
        <v>CREATIVE IDEAS</v>
      </c>
      <c r="AC114" s="5" t="str">
        <f>LOWER(AA114)</f>
        <v>creative ideas</v>
      </c>
      <c r="AD114" s="5" t="str">
        <f>PROPER(AA114)</f>
        <v>Creative Ideas</v>
      </c>
      <c r="AF114" s="6"/>
    </row>
    <row r="115" ht="14.25" customHeight="1" spans="1:32">
      <c r="A115" s="8" t="s">
        <v>539</v>
      </c>
      <c r="B115" s="8" t="s">
        <v>540</v>
      </c>
      <c r="C115" s="9">
        <f>LEN(B115)</f>
        <v>11</v>
      </c>
      <c r="D115" s="8" t="s">
        <v>35</v>
      </c>
      <c r="E115" s="8" t="str">
        <f>_xlfn.CONCAT(B115,"(",A115,")"," - ",D115)</f>
        <v>Suresh Iyer(E1283) - Finance</v>
      </c>
      <c r="F115" s="9" t="str">
        <f>LEFT(E115,FIND("-",E115))</f>
        <v>Suresh Iyer(E1283) -</v>
      </c>
      <c r="G115" s="9" t="str">
        <f>RIGHT(E115,LEN(E115)-FIND("-",E115)-1)</f>
        <v>Finance</v>
      </c>
      <c r="H115" s="9">
        <f>FIND("-",E115)</f>
        <v>20</v>
      </c>
      <c r="I115" s="9">
        <f>LEN(E115)-FIND("-",E115)</f>
        <v>8</v>
      </c>
      <c r="J115" s="8" t="s">
        <v>76</v>
      </c>
      <c r="K115" s="9" t="str">
        <f>SUBSTITUTE(J115,"a","@",1)</f>
        <v>Pune</v>
      </c>
      <c r="L115" s="8" t="s">
        <v>541</v>
      </c>
      <c r="M115" s="8" t="str">
        <f>TEXT(L115,"dddd")</f>
        <v>Wednesday</v>
      </c>
      <c r="N115" s="8" t="str">
        <f>LEFT(M115,3)</f>
        <v>Wed</v>
      </c>
      <c r="O115" s="8" t="str">
        <f>RIGHT(M115,3)</f>
        <v>day</v>
      </c>
      <c r="P115" s="8">
        <f>MONTH(L115)</f>
        <v>7</v>
      </c>
      <c r="Q115" s="8">
        <f>YEAR(L115)</f>
        <v>2021</v>
      </c>
      <c r="R115" s="8" t="s">
        <v>542</v>
      </c>
      <c r="S115" s="8">
        <f>HOUR(R115)</f>
        <v>8</v>
      </c>
      <c r="T115" s="8">
        <f>MINUTE(R115)</f>
        <v>19</v>
      </c>
      <c r="U115" s="8">
        <f>SECOND(R115)</f>
        <v>28</v>
      </c>
      <c r="V115" s="8">
        <v>66266</v>
      </c>
      <c r="W115" s="8">
        <v>63587</v>
      </c>
      <c r="X115" s="9" t="str">
        <f>IF(W115&gt;50000,"Highe Target","Low Target")</f>
        <v>Highe Target</v>
      </c>
      <c r="Y115" s="9" t="str">
        <f t="shared" si="1"/>
        <v>Highe target</v>
      </c>
      <c r="Z115" s="9" t="str" cm="1">
        <f t="array" ref="Z115">_xlfn.IFS(W115&lt;60000,"LOWERTarget",W115&lt;80000,"Medium Target",W115,"Highe Target")</f>
        <v>Medium Target</v>
      </c>
      <c r="AA115" s="8" t="s">
        <v>543</v>
      </c>
      <c r="AB115" s="5" t="str">
        <f>UPPER(AA115)</f>
        <v>   GOOD COMMUNICATION   </v>
      </c>
      <c r="AC115" s="5" t="str">
        <f>LOWER(AA115)</f>
        <v>   good communication   </v>
      </c>
      <c r="AD115" s="5" t="str">
        <f>PROPER(AA115)</f>
        <v>   Good Communication   </v>
      </c>
      <c r="AF115" s="6"/>
    </row>
    <row r="116" ht="14.25" customHeight="1" spans="1:32">
      <c r="A116" s="8" t="s">
        <v>544</v>
      </c>
      <c r="B116" s="8" t="s">
        <v>333</v>
      </c>
      <c r="C116" s="9">
        <f>LEN(B116)</f>
        <v>11</v>
      </c>
      <c r="D116" s="8" t="s">
        <v>93</v>
      </c>
      <c r="E116" s="8" t="str">
        <f>_xlfn.CONCAT(B116,"(",A116,")"," - ",D116)</f>
        <v>Neha Bansal(E1006) - Sales</v>
      </c>
      <c r="F116" s="9" t="str">
        <f>LEFT(E116,FIND("-",E116))</f>
        <v>Neha Bansal(E1006) -</v>
      </c>
      <c r="G116" s="9" t="str">
        <f>RIGHT(E116,LEN(E116)-FIND("-",E116)-1)</f>
        <v>Sales</v>
      </c>
      <c r="H116" s="9">
        <f>FIND("-",E116)</f>
        <v>20</v>
      </c>
      <c r="I116" s="9">
        <f>LEN(E116)-FIND("-",E116)</f>
        <v>6</v>
      </c>
      <c r="J116" s="8" t="s">
        <v>61</v>
      </c>
      <c r="K116" s="9" t="str">
        <f>SUBSTITUTE(J116,"a","@",1)</f>
        <v>Chenn@i</v>
      </c>
      <c r="L116" s="8" t="s">
        <v>545</v>
      </c>
      <c r="M116" s="8" t="str">
        <f>TEXT(L116,"dddd")</f>
        <v>Thursday</v>
      </c>
      <c r="N116" s="8" t="str">
        <f>LEFT(M116,3)</f>
        <v>Thu</v>
      </c>
      <c r="O116" s="8" t="str">
        <f>RIGHT(M116,3)</f>
        <v>day</v>
      </c>
      <c r="P116" s="8">
        <f>MONTH(L116)</f>
        <v>7</v>
      </c>
      <c r="Q116" s="8">
        <f>YEAR(L116)</f>
        <v>2024</v>
      </c>
      <c r="R116" s="8" t="s">
        <v>546</v>
      </c>
      <c r="S116" s="8">
        <f>HOUR(R116)</f>
        <v>10</v>
      </c>
      <c r="T116" s="8">
        <f>MINUTE(R116)</f>
        <v>56</v>
      </c>
      <c r="U116" s="8">
        <f>SECOND(R116)</f>
        <v>55</v>
      </c>
      <c r="V116" s="8">
        <v>61301</v>
      </c>
      <c r="W116" s="8">
        <v>63700</v>
      </c>
      <c r="X116" s="9" t="str">
        <f>IF(W116&gt;50000,"Highe Target","Low Target")</f>
        <v>Highe Target</v>
      </c>
      <c r="Y116" s="9" t="str">
        <f t="shared" si="1"/>
        <v>Highe target</v>
      </c>
      <c r="Z116" s="9" t="str" cm="1">
        <f t="array" ref="Z116">_xlfn.IFS(W116&lt;60000,"LOWERTarget",W116&lt;80000,"Medium Target",W116,"Highe Target")</f>
        <v>Medium Target</v>
      </c>
      <c r="AA116" s="8" t="s">
        <v>96</v>
      </c>
      <c r="AB116" s="5" t="str">
        <f>UPPER(AA116)</f>
        <v>FAST DELIVERY</v>
      </c>
      <c r="AC116" s="5" t="str">
        <f>LOWER(AA116)</f>
        <v>fast delivery</v>
      </c>
      <c r="AD116" s="5" t="str">
        <f>PROPER(AA116)</f>
        <v>Fast Delivery</v>
      </c>
      <c r="AF116" s="6"/>
    </row>
    <row r="117" ht="14.25" customHeight="1" spans="1:32">
      <c r="A117" s="8" t="s">
        <v>547</v>
      </c>
      <c r="B117" s="8" t="s">
        <v>548</v>
      </c>
      <c r="C117" s="9">
        <f>LEN(B117)</f>
        <v>11</v>
      </c>
      <c r="D117" s="8" t="s">
        <v>93</v>
      </c>
      <c r="E117" s="8" t="str">
        <f>_xlfn.CONCAT(B117,"(",A117,")"," - ",D117)</f>
        <v>Sneha Goyal(E1017) - Sales</v>
      </c>
      <c r="F117" s="9" t="str">
        <f>LEFT(E117,FIND("-",E117))</f>
        <v>Sneha Goyal(E1017) -</v>
      </c>
      <c r="G117" s="9" t="str">
        <f>RIGHT(E117,LEN(E117)-FIND("-",E117)-1)</f>
        <v>Sales</v>
      </c>
      <c r="H117" s="9">
        <f>FIND("-",E117)</f>
        <v>20</v>
      </c>
      <c r="I117" s="9">
        <f>LEN(E117)-FIND("-",E117)</f>
        <v>6</v>
      </c>
      <c r="J117" s="8" t="s">
        <v>172</v>
      </c>
      <c r="K117" s="9" t="str">
        <f>SUBSTITUTE(J117,"a","@",1)</f>
        <v>Hyder@bad</v>
      </c>
      <c r="L117" s="8" t="s">
        <v>549</v>
      </c>
      <c r="M117" s="8" t="str">
        <f>TEXT(L117,"dddd")</f>
        <v>Thursday</v>
      </c>
      <c r="N117" s="8" t="str">
        <f>LEFT(M117,3)</f>
        <v>Thu</v>
      </c>
      <c r="O117" s="8" t="str">
        <f>RIGHT(M117,3)</f>
        <v>day</v>
      </c>
      <c r="P117" s="8">
        <f>MONTH(L117)</f>
        <v>9</v>
      </c>
      <c r="Q117" s="8">
        <f>YEAR(L117)</f>
        <v>2023</v>
      </c>
      <c r="R117" s="8" t="s">
        <v>550</v>
      </c>
      <c r="S117" s="8">
        <f>HOUR(R117)</f>
        <v>8</v>
      </c>
      <c r="T117" s="8">
        <f>MINUTE(R117)</f>
        <v>7</v>
      </c>
      <c r="U117" s="8">
        <f>SECOND(R117)</f>
        <v>59</v>
      </c>
      <c r="V117" s="8">
        <v>68941</v>
      </c>
      <c r="W117" s="8">
        <v>63788</v>
      </c>
      <c r="X117" s="9" t="str">
        <f>IF(W117&gt;50000,"Highe Target","Low Target")</f>
        <v>Highe Target</v>
      </c>
      <c r="Y117" s="9" t="str">
        <f t="shared" si="1"/>
        <v>Highe target</v>
      </c>
      <c r="Z117" s="9" t="str" cm="1">
        <f t="array" ref="Z117">_xlfn.IFS(W117&lt;60000,"LOWERTarget",W117&lt;80000,"Medium Target",W117,"Highe Target")</f>
        <v>Medium Target</v>
      </c>
      <c r="AA117" s="8" t="s">
        <v>126</v>
      </c>
      <c r="AB117" s="5" t="str">
        <f>UPPER(AA117)</f>
        <v>ACCURATE REPORTS</v>
      </c>
      <c r="AC117" s="5" t="str">
        <f>LOWER(AA117)</f>
        <v>accurate reports</v>
      </c>
      <c r="AD117" s="5" t="str">
        <f>PROPER(AA117)</f>
        <v>Accurate Reports</v>
      </c>
      <c r="AF117" s="6"/>
    </row>
    <row r="118" ht="14.25" customHeight="1" spans="1:32">
      <c r="A118" s="8" t="s">
        <v>551</v>
      </c>
      <c r="B118" s="8" t="s">
        <v>552</v>
      </c>
      <c r="C118" s="9">
        <f>LEN(B118)</f>
        <v>11</v>
      </c>
      <c r="D118" s="8" t="s">
        <v>93</v>
      </c>
      <c r="E118" s="8" t="str">
        <f>_xlfn.CONCAT(B118,"(",A118,")"," - ",D118)</f>
        <v>Harsh Kumar(E1118) - Sales</v>
      </c>
      <c r="F118" s="9" t="str">
        <f>LEFT(E118,FIND("-",E118))</f>
        <v>Harsh Kumar(E1118) -</v>
      </c>
      <c r="G118" s="9" t="str">
        <f>RIGHT(E118,LEN(E118)-FIND("-",E118)-1)</f>
        <v>Sales</v>
      </c>
      <c r="H118" s="9">
        <f>FIND("-",E118)</f>
        <v>20</v>
      </c>
      <c r="I118" s="9">
        <f>LEN(E118)-FIND("-",E118)</f>
        <v>6</v>
      </c>
      <c r="J118" s="8" t="s">
        <v>153</v>
      </c>
      <c r="K118" s="9" t="str">
        <f>SUBSTITUTE(J118,"a","@",1)</f>
        <v>Mumb@i</v>
      </c>
      <c r="L118" s="8" t="s">
        <v>553</v>
      </c>
      <c r="M118" s="8" t="str">
        <f>TEXT(L118,"dddd")</f>
        <v>Sunday</v>
      </c>
      <c r="N118" s="8" t="str">
        <f>LEFT(M118,3)</f>
        <v>Sun</v>
      </c>
      <c r="O118" s="8" t="str">
        <f>RIGHT(M118,3)</f>
        <v>day</v>
      </c>
      <c r="P118" s="8">
        <f>MONTH(L118)</f>
        <v>9</v>
      </c>
      <c r="Q118" s="8">
        <f>YEAR(L118)</f>
        <v>2022</v>
      </c>
      <c r="R118" s="8" t="s">
        <v>554</v>
      </c>
      <c r="S118" s="8">
        <f>HOUR(R118)</f>
        <v>9</v>
      </c>
      <c r="T118" s="8">
        <f>MINUTE(R118)</f>
        <v>2</v>
      </c>
      <c r="U118" s="8">
        <f>SECOND(R118)</f>
        <v>37</v>
      </c>
      <c r="V118" s="8">
        <v>57523</v>
      </c>
      <c r="W118" s="8">
        <v>63911</v>
      </c>
      <c r="X118" s="9" t="str">
        <f>IF(W118&gt;50000,"Highe Target","Low Target")</f>
        <v>Highe Target</v>
      </c>
      <c r="Y118" s="9" t="str">
        <f t="shared" si="1"/>
        <v>Highe target</v>
      </c>
      <c r="Z118" s="9" t="str" cm="1">
        <f t="array" ref="Z118">_xlfn.IFS(W118&lt;60000,"LOWERTarget",W118&lt;80000,"Medium Target",W118,"Highe Target")</f>
        <v>Medium Target</v>
      </c>
      <c r="AA118" s="8" t="s">
        <v>160</v>
      </c>
      <c r="AB118" s="5" t="str">
        <f>UPPER(AA118)</f>
        <v>GOOD COMMUNICATION</v>
      </c>
      <c r="AC118" s="5" t="str">
        <f>LOWER(AA118)</f>
        <v>good communication</v>
      </c>
      <c r="AD118" s="5" t="str">
        <f>PROPER(AA118)</f>
        <v>Good Communication</v>
      </c>
      <c r="AF118" s="6"/>
    </row>
    <row r="119" ht="14.25" customHeight="1" spans="1:32">
      <c r="A119" s="8" t="s">
        <v>555</v>
      </c>
      <c r="B119" s="8" t="s">
        <v>226</v>
      </c>
      <c r="C119" s="9">
        <f>LEN(B119)</f>
        <v>11</v>
      </c>
      <c r="D119" s="8" t="s">
        <v>93</v>
      </c>
      <c r="E119" s="8" t="str">
        <f>_xlfn.CONCAT(B119,"(",A119,")"," - ",D119)</f>
        <v>Priya Reddy(E1159) - Sales</v>
      </c>
      <c r="F119" s="9" t="str">
        <f>LEFT(E119,FIND("-",E119))</f>
        <v>Priya Reddy(E1159) -</v>
      </c>
      <c r="G119" s="9" t="str">
        <f>RIGHT(E119,LEN(E119)-FIND("-",E119)-1)</f>
        <v>Sales</v>
      </c>
      <c r="H119" s="9">
        <f>FIND("-",E119)</f>
        <v>20</v>
      </c>
      <c r="I119" s="9">
        <f>LEN(E119)-FIND("-",E119)</f>
        <v>6</v>
      </c>
      <c r="J119" s="8" t="s">
        <v>61</v>
      </c>
      <c r="K119" s="9" t="str">
        <f>SUBSTITUTE(J119,"a","@",1)</f>
        <v>Chenn@i</v>
      </c>
      <c r="L119" s="8" t="s">
        <v>556</v>
      </c>
      <c r="M119" s="8" t="str">
        <f>TEXT(L119,"dddd")</f>
        <v>Friday</v>
      </c>
      <c r="N119" s="8" t="str">
        <f>LEFT(M119,3)</f>
        <v>Fri</v>
      </c>
      <c r="O119" s="8" t="str">
        <f>RIGHT(M119,3)</f>
        <v>day</v>
      </c>
      <c r="P119" s="8">
        <f>MONTH(L119)</f>
        <v>8</v>
      </c>
      <c r="Q119" s="8">
        <f>YEAR(L119)</f>
        <v>2023</v>
      </c>
      <c r="R119" s="8" t="s">
        <v>557</v>
      </c>
      <c r="S119" s="8">
        <f>HOUR(R119)</f>
        <v>9</v>
      </c>
      <c r="T119" s="8">
        <f>MINUTE(R119)</f>
        <v>2</v>
      </c>
      <c r="U119" s="8">
        <f>SECOND(R119)</f>
        <v>3</v>
      </c>
      <c r="V119" s="8">
        <v>67978</v>
      </c>
      <c r="W119" s="8">
        <v>64165</v>
      </c>
      <c r="X119" s="9" t="str">
        <f>IF(W119&gt;50000,"Highe Target","Low Target")</f>
        <v>Highe Target</v>
      </c>
      <c r="Y119" s="9" t="str">
        <f t="shared" si="1"/>
        <v>Highe target</v>
      </c>
      <c r="Z119" s="9" t="str" cm="1">
        <f t="array" ref="Z119">_xlfn.IFS(W119&lt;60000,"LOWERTarget",W119&lt;80000,"Medium Target",W119,"Highe Target")</f>
        <v>Medium Target</v>
      </c>
      <c r="AA119" s="8" t="s">
        <v>160</v>
      </c>
      <c r="AB119" s="5" t="str">
        <f>UPPER(AA119)</f>
        <v>GOOD COMMUNICATION</v>
      </c>
      <c r="AC119" s="5" t="str">
        <f>LOWER(AA119)</f>
        <v>good communication</v>
      </c>
      <c r="AD119" s="5" t="str">
        <f>PROPER(AA119)</f>
        <v>Good Communication</v>
      </c>
      <c r="AF119" s="6"/>
    </row>
    <row r="120" ht="14.25" customHeight="1" spans="1:32">
      <c r="A120" s="8" t="s">
        <v>558</v>
      </c>
      <c r="B120" s="8" t="s">
        <v>123</v>
      </c>
      <c r="C120" s="9">
        <f>LEN(B120)</f>
        <v>12</v>
      </c>
      <c r="D120" s="8" t="s">
        <v>35</v>
      </c>
      <c r="E120" s="8" t="str">
        <f>_xlfn.CONCAT(B120,"(",A120,")"," - ",D120)</f>
        <v>Ritika Mehta(E1034) - Finance</v>
      </c>
      <c r="F120" s="9" t="str">
        <f>LEFT(E120,FIND("-",E120))</f>
        <v>Ritika Mehta(E1034) -</v>
      </c>
      <c r="G120" s="9" t="str">
        <f>RIGHT(E120,LEN(E120)-FIND("-",E120)-1)</f>
        <v>Finance</v>
      </c>
      <c r="H120" s="9">
        <f>FIND("-",E120)</f>
        <v>21</v>
      </c>
      <c r="I120" s="9">
        <f>LEN(E120)-FIND("-",E120)</f>
        <v>8</v>
      </c>
      <c r="J120" s="8" t="s">
        <v>53</v>
      </c>
      <c r="K120" s="9" t="str">
        <f>SUBSTITUTE(J120,"a","@",1)</f>
        <v>Delhi</v>
      </c>
      <c r="L120" s="8" t="s">
        <v>559</v>
      </c>
      <c r="M120" s="8" t="str">
        <f>TEXT(L120,"dddd")</f>
        <v>Friday</v>
      </c>
      <c r="N120" s="8" t="str">
        <f>LEFT(M120,3)</f>
        <v>Fri</v>
      </c>
      <c r="O120" s="8" t="str">
        <f>RIGHT(M120,3)</f>
        <v>day</v>
      </c>
      <c r="P120" s="8">
        <f>MONTH(L120)</f>
        <v>12</v>
      </c>
      <c r="Q120" s="8">
        <f>YEAR(L120)</f>
        <v>2022</v>
      </c>
      <c r="R120" s="8" t="s">
        <v>560</v>
      </c>
      <c r="S120" s="8">
        <f>HOUR(R120)</f>
        <v>8</v>
      </c>
      <c r="T120" s="8">
        <f>MINUTE(R120)</f>
        <v>56</v>
      </c>
      <c r="U120" s="8">
        <f>SECOND(R120)</f>
        <v>15</v>
      </c>
      <c r="V120" s="8">
        <v>67893</v>
      </c>
      <c r="W120" s="8">
        <v>64217</v>
      </c>
      <c r="X120" s="9" t="str">
        <f>IF(W120&gt;50000,"Highe Target","Low Target")</f>
        <v>Highe Target</v>
      </c>
      <c r="Y120" s="9" t="str">
        <f t="shared" si="1"/>
        <v>Highe target</v>
      </c>
      <c r="Z120" s="9" t="str" cm="1">
        <f t="array" ref="Z120">_xlfn.IFS(W120&lt;60000,"LOWERTarget",W120&lt;80000,"Medium Target",W120,"Highe Target")</f>
        <v>Medium Target</v>
      </c>
      <c r="AA120" s="8" t="s">
        <v>285</v>
      </c>
      <c r="AB120" s="5" t="str">
        <f>UPPER(AA120)</f>
        <v>QUICK RESPONSE</v>
      </c>
      <c r="AC120" s="5" t="str">
        <f>LOWER(AA120)</f>
        <v>quick response</v>
      </c>
      <c r="AD120" s="5" t="str">
        <f>PROPER(AA120)</f>
        <v>Quick Response</v>
      </c>
      <c r="AF120" s="6"/>
    </row>
    <row r="121" ht="14.25" customHeight="1" spans="1:32">
      <c r="A121" s="8" t="s">
        <v>561</v>
      </c>
      <c r="B121" s="8" t="s">
        <v>562</v>
      </c>
      <c r="C121" s="9">
        <f>LEN(B121)</f>
        <v>14</v>
      </c>
      <c r="D121" s="8" t="s">
        <v>44</v>
      </c>
      <c r="E121" s="8" t="str">
        <f>_xlfn.CONCAT(B121,"(",A121,")"," - ",D121)</f>
        <v>Aditya Agarwal(E1264) - Marketing</v>
      </c>
      <c r="F121" s="9" t="str">
        <f>LEFT(E121,FIND("-",E121))</f>
        <v>Aditya Agarwal(E1264) -</v>
      </c>
      <c r="G121" s="9" t="str">
        <f>RIGHT(E121,LEN(E121)-FIND("-",E121)-1)</f>
        <v>Marketing</v>
      </c>
      <c r="H121" s="9">
        <f>FIND("-",E121)</f>
        <v>23</v>
      </c>
      <c r="I121" s="9">
        <f>LEN(E121)-FIND("-",E121)</f>
        <v>10</v>
      </c>
      <c r="J121" s="8" t="s">
        <v>76</v>
      </c>
      <c r="K121" s="9" t="str">
        <f>SUBSTITUTE(J121,"a","@",1)</f>
        <v>Pune</v>
      </c>
      <c r="L121" s="8" t="s">
        <v>563</v>
      </c>
      <c r="M121" s="8" t="str">
        <f>TEXT(L121,"dddd")</f>
        <v>Sunday</v>
      </c>
      <c r="N121" s="8" t="str">
        <f>LEFT(M121,3)</f>
        <v>Sun</v>
      </c>
      <c r="O121" s="8" t="str">
        <f>RIGHT(M121,3)</f>
        <v>day</v>
      </c>
      <c r="P121" s="8">
        <f>MONTH(L121)</f>
        <v>8</v>
      </c>
      <c r="Q121" s="8">
        <f>YEAR(L121)</f>
        <v>2023</v>
      </c>
      <c r="R121" s="8" t="s">
        <v>564</v>
      </c>
      <c r="S121" s="8">
        <f>HOUR(R121)</f>
        <v>9</v>
      </c>
      <c r="T121" s="8">
        <f>MINUTE(R121)</f>
        <v>58</v>
      </c>
      <c r="U121" s="8">
        <f>SECOND(R121)</f>
        <v>13</v>
      </c>
      <c r="V121" s="8">
        <v>69801</v>
      </c>
      <c r="W121" s="8">
        <v>64294</v>
      </c>
      <c r="X121" s="9" t="str">
        <f>IF(W121&gt;50000,"Highe Target","Low Target")</f>
        <v>Highe Target</v>
      </c>
      <c r="Y121" s="9" t="str">
        <f t="shared" si="1"/>
        <v>Highe target</v>
      </c>
      <c r="Z121" s="9" t="str" cm="1">
        <f t="array" ref="Z121">_xlfn.IFS(W121&lt;60000,"LOWERTarget",W121&lt;80000,"Medium Target",W121,"Highe Target")</f>
        <v>Medium Target</v>
      </c>
      <c r="AA121" s="8" t="s">
        <v>39</v>
      </c>
      <c r="AB121" s="5" t="str">
        <f>UPPER(AA121)</f>
        <v>DETAILED ANALYSIS</v>
      </c>
      <c r="AC121" s="5" t="str">
        <f>LOWER(AA121)</f>
        <v>detailed analysis</v>
      </c>
      <c r="AD121" s="5" t="str">
        <f>PROPER(AA121)</f>
        <v>Detailed Analysis</v>
      </c>
      <c r="AF121" s="6"/>
    </row>
    <row r="122" ht="14.25" customHeight="1" spans="1:32">
      <c r="A122" s="8" t="s">
        <v>565</v>
      </c>
      <c r="B122" s="8" t="s">
        <v>566</v>
      </c>
      <c r="C122" s="9">
        <f>LEN(B122)</f>
        <v>11</v>
      </c>
      <c r="D122" s="8" t="s">
        <v>60</v>
      </c>
      <c r="E122" s="8" t="str">
        <f>_xlfn.CONCAT(B122,"(",A122,")"," - ",D122)</f>
        <v>Sneha Mehta(E1173) - HR</v>
      </c>
      <c r="F122" s="9" t="str">
        <f>LEFT(E122,FIND("-",E122))</f>
        <v>Sneha Mehta(E1173) -</v>
      </c>
      <c r="G122" s="9" t="str">
        <f>RIGHT(E122,LEN(E122)-FIND("-",E122)-1)</f>
        <v>HR</v>
      </c>
      <c r="H122" s="9">
        <f>FIND("-",E122)</f>
        <v>20</v>
      </c>
      <c r="I122" s="9">
        <f>LEN(E122)-FIND("-",E122)</f>
        <v>3</v>
      </c>
      <c r="J122" s="8" t="s">
        <v>61</v>
      </c>
      <c r="K122" s="9" t="str">
        <f>SUBSTITUTE(J122,"a","@",1)</f>
        <v>Chenn@i</v>
      </c>
      <c r="L122" s="8" t="s">
        <v>567</v>
      </c>
      <c r="M122" s="8" t="str">
        <f>TEXT(L122,"dddd")</f>
        <v>Saturday</v>
      </c>
      <c r="N122" s="8" t="str">
        <f>LEFT(M122,3)</f>
        <v>Sat</v>
      </c>
      <c r="O122" s="8" t="str">
        <f>RIGHT(M122,3)</f>
        <v>day</v>
      </c>
      <c r="P122" s="8">
        <f>MONTH(L122)</f>
        <v>4</v>
      </c>
      <c r="Q122" s="8">
        <f>YEAR(L122)</f>
        <v>2021</v>
      </c>
      <c r="R122" s="8" t="s">
        <v>568</v>
      </c>
      <c r="S122" s="8">
        <f>HOUR(R122)</f>
        <v>10</v>
      </c>
      <c r="T122" s="8">
        <f>MINUTE(R122)</f>
        <v>30</v>
      </c>
      <c r="U122" s="8">
        <f>SECOND(R122)</f>
        <v>55</v>
      </c>
      <c r="V122" s="8">
        <v>56050</v>
      </c>
      <c r="W122" s="8">
        <v>64327</v>
      </c>
      <c r="X122" s="9" t="str">
        <f>IF(W122&gt;50000,"Highe Target","Low Target")</f>
        <v>Highe Target</v>
      </c>
      <c r="Y122" s="9" t="str">
        <f t="shared" si="1"/>
        <v>Highe target</v>
      </c>
      <c r="Z122" s="9" t="str" cm="1">
        <f t="array" ref="Z122">_xlfn.IFS(W122&lt;60000,"LOWERTarget",W122&lt;80000,"Medium Target",W122,"Highe Target")</f>
        <v>Medium Target</v>
      </c>
      <c r="AA122" s="8" t="s">
        <v>96</v>
      </c>
      <c r="AB122" s="5" t="str">
        <f>UPPER(AA122)</f>
        <v>FAST DELIVERY</v>
      </c>
      <c r="AC122" s="5" t="str">
        <f>LOWER(AA122)</f>
        <v>fast delivery</v>
      </c>
      <c r="AD122" s="5" t="str">
        <f>PROPER(AA122)</f>
        <v>Fast Delivery</v>
      </c>
      <c r="AF122" s="6"/>
    </row>
    <row r="123" ht="14.25" customHeight="1" spans="1:32">
      <c r="A123" s="8" t="s">
        <v>569</v>
      </c>
      <c r="B123" s="8" t="s">
        <v>570</v>
      </c>
      <c r="C123" s="9">
        <f>LEN(B123)</f>
        <v>10</v>
      </c>
      <c r="D123" s="8" t="s">
        <v>60</v>
      </c>
      <c r="E123" s="8" t="str">
        <f>_xlfn.CONCAT(B123,"(",A123,")"," - ",D123)</f>
        <v>Pooja Nair(E1241) - HR</v>
      </c>
      <c r="F123" s="9" t="str">
        <f>LEFT(E123,FIND("-",E123))</f>
        <v>Pooja Nair(E1241) -</v>
      </c>
      <c r="G123" s="9" t="str">
        <f>RIGHT(E123,LEN(E123)-FIND("-",E123)-1)</f>
        <v>HR</v>
      </c>
      <c r="H123" s="9">
        <f>FIND("-",E123)</f>
        <v>19</v>
      </c>
      <c r="I123" s="9">
        <f>LEN(E123)-FIND("-",E123)</f>
        <v>3</v>
      </c>
      <c r="J123" s="8" t="s">
        <v>36</v>
      </c>
      <c r="K123" s="9" t="str">
        <f>SUBSTITUTE(J123,"a","@",1)</f>
        <v>Ahmed@bad</v>
      </c>
      <c r="L123" s="8" t="s">
        <v>571</v>
      </c>
      <c r="M123" s="8" t="str">
        <f>TEXT(L123,"dddd")</f>
        <v>Wednesday</v>
      </c>
      <c r="N123" s="8" t="str">
        <f>LEFT(M123,3)</f>
        <v>Wed</v>
      </c>
      <c r="O123" s="8" t="str">
        <f>RIGHT(M123,3)</f>
        <v>day</v>
      </c>
      <c r="P123" s="8">
        <f>MONTH(L123)</f>
        <v>11</v>
      </c>
      <c r="Q123" s="8">
        <f>YEAR(L123)</f>
        <v>2021</v>
      </c>
      <c r="R123" s="8" t="s">
        <v>572</v>
      </c>
      <c r="S123" s="8">
        <f>HOUR(R123)</f>
        <v>9</v>
      </c>
      <c r="T123" s="8">
        <f>MINUTE(R123)</f>
        <v>47</v>
      </c>
      <c r="U123" s="8">
        <f>SECOND(R123)</f>
        <v>38</v>
      </c>
      <c r="V123" s="8">
        <v>76737</v>
      </c>
      <c r="W123" s="8">
        <v>64485</v>
      </c>
      <c r="X123" s="9" t="str">
        <f>IF(W123&gt;50000,"Highe Target","Low Target")</f>
        <v>Highe Target</v>
      </c>
      <c r="Y123" s="9" t="str">
        <f t="shared" si="1"/>
        <v>Highe target</v>
      </c>
      <c r="Z123" s="9" t="str" cm="1">
        <f t="array" ref="Z123">_xlfn.IFS(W123&lt;60000,"LOWERTarget",W123&lt;80000,"Medium Target",W123,"Highe Target")</f>
        <v>Medium Target</v>
      </c>
      <c r="AA123" s="8" t="s">
        <v>96</v>
      </c>
      <c r="AB123" s="5" t="str">
        <f>UPPER(AA123)</f>
        <v>FAST DELIVERY</v>
      </c>
      <c r="AC123" s="5" t="str">
        <f>LOWER(AA123)</f>
        <v>fast delivery</v>
      </c>
      <c r="AD123" s="5" t="str">
        <f>PROPER(AA123)</f>
        <v>Fast Delivery</v>
      </c>
      <c r="AF123" s="6"/>
    </row>
    <row r="124" ht="14.25" customHeight="1" spans="1:32">
      <c r="A124" s="8" t="s">
        <v>573</v>
      </c>
      <c r="B124" s="8" t="s">
        <v>210</v>
      </c>
      <c r="C124" s="9">
        <f>LEN(B124)</f>
        <v>11</v>
      </c>
      <c r="D124" s="8" t="s">
        <v>44</v>
      </c>
      <c r="E124" s="8" t="str">
        <f>_xlfn.CONCAT(B124,"(",A124,")"," - ",D124)</f>
        <v>Meera Goyal(E1281) - Marketing</v>
      </c>
      <c r="F124" s="9" t="str">
        <f>LEFT(E124,FIND("-",E124))</f>
        <v>Meera Goyal(E1281) -</v>
      </c>
      <c r="G124" s="9" t="str">
        <f>RIGHT(E124,LEN(E124)-FIND("-",E124)-1)</f>
        <v>Marketing</v>
      </c>
      <c r="H124" s="9">
        <f>FIND("-",E124)</f>
        <v>20</v>
      </c>
      <c r="I124" s="9">
        <f>LEN(E124)-FIND("-",E124)</f>
        <v>10</v>
      </c>
      <c r="J124" s="8" t="s">
        <v>182</v>
      </c>
      <c r="K124" s="9" t="str">
        <f>SUBSTITUTE(J124,"a","@",1)</f>
        <v>Kolk@ta</v>
      </c>
      <c r="L124" s="8" t="s">
        <v>574</v>
      </c>
      <c r="M124" s="8" t="str">
        <f>TEXT(L124,"dddd")</f>
        <v>Sunday</v>
      </c>
      <c r="N124" s="8" t="str">
        <f>LEFT(M124,3)</f>
        <v>Sun</v>
      </c>
      <c r="O124" s="8" t="str">
        <f>RIGHT(M124,3)</f>
        <v>day</v>
      </c>
      <c r="P124" s="8">
        <f>MONTH(L124)</f>
        <v>1</v>
      </c>
      <c r="Q124" s="8">
        <f>YEAR(L124)</f>
        <v>2022</v>
      </c>
      <c r="R124" s="8" t="s">
        <v>575</v>
      </c>
      <c r="S124" s="8">
        <f>HOUR(R124)</f>
        <v>10</v>
      </c>
      <c r="T124" s="8">
        <f>MINUTE(R124)</f>
        <v>37</v>
      </c>
      <c r="U124" s="8">
        <f>SECOND(R124)</f>
        <v>42</v>
      </c>
      <c r="V124" s="8">
        <v>55524</v>
      </c>
      <c r="W124" s="8">
        <v>64908</v>
      </c>
      <c r="X124" s="9" t="str">
        <f>IF(W124&gt;50000,"Highe Target","Low Target")</f>
        <v>Highe Target</v>
      </c>
      <c r="Y124" s="9" t="str">
        <f t="shared" si="1"/>
        <v>Highe target</v>
      </c>
      <c r="Z124" s="9" t="str" cm="1">
        <f t="array" ref="Z124">_xlfn.IFS(W124&lt;60000,"LOWERTarget",W124&lt;80000,"Medium Target",W124,"Highe Target")</f>
        <v>Medium Target</v>
      </c>
      <c r="AA124" s="8" t="s">
        <v>118</v>
      </c>
      <c r="AB124" s="5" t="str">
        <f>UPPER(AA124)</f>
        <v>CUSTOMER FOCUSED</v>
      </c>
      <c r="AC124" s="5" t="str">
        <f>LOWER(AA124)</f>
        <v>customer focused</v>
      </c>
      <c r="AD124" s="5" t="str">
        <f>PROPER(AA124)</f>
        <v>Customer Focused</v>
      </c>
      <c r="AF124" s="6"/>
    </row>
    <row r="125" ht="14.25" customHeight="1" spans="1:32">
      <c r="A125" s="8" t="s">
        <v>576</v>
      </c>
      <c r="B125" s="8" t="s">
        <v>577</v>
      </c>
      <c r="C125" s="9">
        <f>LEN(B125)</f>
        <v>11</v>
      </c>
      <c r="D125" s="8" t="s">
        <v>60</v>
      </c>
      <c r="E125" s="8" t="str">
        <f>_xlfn.CONCAT(B125,"(",A125,")"," - ",D125)</f>
        <v>Rahul Patel(E1007) - HR</v>
      </c>
      <c r="F125" s="9" t="str">
        <f>LEFT(E125,FIND("-",E125))</f>
        <v>Rahul Patel(E1007) -</v>
      </c>
      <c r="G125" s="9" t="str">
        <f>RIGHT(E125,LEN(E125)-FIND("-",E125)-1)</f>
        <v>HR</v>
      </c>
      <c r="H125" s="9">
        <f>FIND("-",E125)</f>
        <v>20</v>
      </c>
      <c r="I125" s="9">
        <f>LEN(E125)-FIND("-",E125)</f>
        <v>3</v>
      </c>
      <c r="J125" s="8" t="s">
        <v>61</v>
      </c>
      <c r="K125" s="9" t="str">
        <f>SUBSTITUTE(J125,"a","@",1)</f>
        <v>Chenn@i</v>
      </c>
      <c r="L125" s="8" t="s">
        <v>578</v>
      </c>
      <c r="M125" s="8" t="str">
        <f>TEXT(L125,"dddd")</f>
        <v>Sunday</v>
      </c>
      <c r="N125" s="8" t="str">
        <f>LEFT(M125,3)</f>
        <v>Sun</v>
      </c>
      <c r="O125" s="8" t="str">
        <f>RIGHT(M125,3)</f>
        <v>day</v>
      </c>
      <c r="P125" s="8">
        <f>MONTH(L125)</f>
        <v>6</v>
      </c>
      <c r="Q125" s="8">
        <f>YEAR(L125)</f>
        <v>2021</v>
      </c>
      <c r="R125" s="8" t="s">
        <v>579</v>
      </c>
      <c r="S125" s="8">
        <f>HOUR(R125)</f>
        <v>8</v>
      </c>
      <c r="T125" s="8">
        <f>MINUTE(R125)</f>
        <v>55</v>
      </c>
      <c r="U125" s="8">
        <f>SECOND(R125)</f>
        <v>6</v>
      </c>
      <c r="V125" s="8">
        <v>68128</v>
      </c>
      <c r="W125" s="8">
        <v>64911</v>
      </c>
      <c r="X125" s="9" t="str">
        <f>IF(W125&gt;50000,"Highe Target","Low Target")</f>
        <v>Highe Target</v>
      </c>
      <c r="Y125" s="9" t="str">
        <f t="shared" si="1"/>
        <v>Highe target</v>
      </c>
      <c r="Z125" s="9" t="str" cm="1">
        <f t="array" ref="Z125">_xlfn.IFS(W125&lt;60000,"LOWERTarget",W125&lt;80000,"Medium Target",W125,"Highe Target")</f>
        <v>Medium Target</v>
      </c>
      <c r="AA125" s="8" t="s">
        <v>179</v>
      </c>
      <c r="AB125" s="5" t="str">
        <f>UPPER(AA125)</f>
        <v>HELPFUL ATTITUDE</v>
      </c>
      <c r="AC125" s="5" t="str">
        <f>LOWER(AA125)</f>
        <v>helpful attitude</v>
      </c>
      <c r="AD125" s="5" t="str">
        <f>PROPER(AA125)</f>
        <v>Helpful Attitude</v>
      </c>
      <c r="AF125" s="6"/>
    </row>
    <row r="126" ht="14.25" customHeight="1" spans="1:32">
      <c r="A126" s="8" t="s">
        <v>580</v>
      </c>
      <c r="B126" s="8" t="s">
        <v>581</v>
      </c>
      <c r="C126" s="9">
        <f>LEN(B126)</f>
        <v>15</v>
      </c>
      <c r="D126" s="8" t="s">
        <v>35</v>
      </c>
      <c r="E126" s="8" t="str">
        <f>_xlfn.CONCAT(B126,"(",A126,")"," - ",D126)</f>
        <v>Vikram Malhotra(E1115) - Finance</v>
      </c>
      <c r="F126" s="9" t="str">
        <f>LEFT(E126,FIND("-",E126))</f>
        <v>Vikram Malhotra(E1115) -</v>
      </c>
      <c r="G126" s="9" t="str">
        <f>RIGHT(E126,LEN(E126)-FIND("-",E126)-1)</f>
        <v>Finance</v>
      </c>
      <c r="H126" s="9">
        <f>FIND("-",E126)</f>
        <v>24</v>
      </c>
      <c r="I126" s="9">
        <f>LEN(E126)-FIND("-",E126)</f>
        <v>8</v>
      </c>
      <c r="J126" s="8" t="s">
        <v>45</v>
      </c>
      <c r="K126" s="9" t="str">
        <f>SUBSTITUTE(J126,"a","@",1)</f>
        <v>B@ngalore</v>
      </c>
      <c r="L126" s="8" t="s">
        <v>582</v>
      </c>
      <c r="M126" s="8" t="str">
        <f>TEXT(L126,"dddd")</f>
        <v>Monday</v>
      </c>
      <c r="N126" s="8" t="str">
        <f>LEFT(M126,3)</f>
        <v>Mon</v>
      </c>
      <c r="O126" s="8" t="str">
        <f>RIGHT(M126,3)</f>
        <v>day</v>
      </c>
      <c r="P126" s="8">
        <f>MONTH(L126)</f>
        <v>2</v>
      </c>
      <c r="Q126" s="8">
        <f>YEAR(L126)</f>
        <v>2023</v>
      </c>
      <c r="R126" s="8" t="s">
        <v>583</v>
      </c>
      <c r="S126" s="8">
        <f>HOUR(R126)</f>
        <v>9</v>
      </c>
      <c r="T126" s="8">
        <f>MINUTE(R126)</f>
        <v>6</v>
      </c>
      <c r="U126" s="8">
        <f>SECOND(R126)</f>
        <v>15</v>
      </c>
      <c r="V126" s="8">
        <v>73517</v>
      </c>
      <c r="W126" s="8">
        <v>64993</v>
      </c>
      <c r="X126" s="9" t="str">
        <f>IF(W126&gt;50000,"Highe Target","Low Target")</f>
        <v>Highe Target</v>
      </c>
      <c r="Y126" s="9" t="str">
        <f t="shared" si="1"/>
        <v>Highe target</v>
      </c>
      <c r="Z126" s="9" t="str" cm="1">
        <f t="array" ref="Z126">_xlfn.IFS(W126&lt;60000,"LOWERTarget",W126&lt;80000,"Medium Target",W126,"Highe Target")</f>
        <v>Medium Target</v>
      </c>
      <c r="AA126" s="8" t="s">
        <v>79</v>
      </c>
      <c r="AB126" s="5" t="str">
        <f>UPPER(AA126)</f>
        <v>EXCELLENT LEADERSHIP</v>
      </c>
      <c r="AC126" s="5" t="str">
        <f>LOWER(AA126)</f>
        <v>excellent leadership</v>
      </c>
      <c r="AD126" s="5" t="str">
        <f>PROPER(AA126)</f>
        <v>Excellent Leadership</v>
      </c>
      <c r="AF126" s="6"/>
    </row>
    <row r="127" ht="14.25" customHeight="1" spans="1:32">
      <c r="A127" s="8" t="s">
        <v>584</v>
      </c>
      <c r="B127" s="8" t="s">
        <v>585</v>
      </c>
      <c r="C127" s="9">
        <f>LEN(B127)</f>
        <v>13</v>
      </c>
      <c r="D127" s="8" t="s">
        <v>35</v>
      </c>
      <c r="E127" s="8" t="str">
        <f>_xlfn.CONCAT(B127,"(",A127,")"," - ",D127)</f>
        <v>Shreya Chopra(E1046) - Finance</v>
      </c>
      <c r="F127" s="9" t="str">
        <f>LEFT(E127,FIND("-",E127))</f>
        <v>Shreya Chopra(E1046) -</v>
      </c>
      <c r="G127" s="9" t="str">
        <f>RIGHT(E127,LEN(E127)-FIND("-",E127)-1)</f>
        <v>Finance</v>
      </c>
      <c r="H127" s="9">
        <f>FIND("-",E127)</f>
        <v>22</v>
      </c>
      <c r="I127" s="9">
        <f>LEN(E127)-FIND("-",E127)</f>
        <v>8</v>
      </c>
      <c r="J127" s="8" t="s">
        <v>172</v>
      </c>
      <c r="K127" s="9" t="str">
        <f>SUBSTITUTE(J127,"a","@",1)</f>
        <v>Hyder@bad</v>
      </c>
      <c r="L127" s="8" t="s">
        <v>586</v>
      </c>
      <c r="M127" s="8" t="str">
        <f>TEXT(L127,"dddd")</f>
        <v>Tuesday</v>
      </c>
      <c r="N127" s="8" t="str">
        <f>LEFT(M127,3)</f>
        <v>Tue</v>
      </c>
      <c r="O127" s="8" t="str">
        <f>RIGHT(M127,3)</f>
        <v>day</v>
      </c>
      <c r="P127" s="8">
        <f>MONTH(L127)</f>
        <v>6</v>
      </c>
      <c r="Q127" s="8">
        <f>YEAR(L127)</f>
        <v>2023</v>
      </c>
      <c r="R127" s="8" t="s">
        <v>587</v>
      </c>
      <c r="S127" s="8">
        <f>HOUR(R127)</f>
        <v>10</v>
      </c>
      <c r="T127" s="8">
        <f>MINUTE(R127)</f>
        <v>32</v>
      </c>
      <c r="U127" s="8">
        <f>SECOND(R127)</f>
        <v>7</v>
      </c>
      <c r="V127" s="8">
        <v>62701</v>
      </c>
      <c r="W127" s="8">
        <v>65244</v>
      </c>
      <c r="X127" s="9" t="str">
        <f>IF(W127&gt;50000,"Highe Target","Low Target")</f>
        <v>Highe Target</v>
      </c>
      <c r="Y127" s="9" t="str">
        <f t="shared" si="1"/>
        <v>Highe target</v>
      </c>
      <c r="Z127" s="9" t="str" cm="1">
        <f t="array" ref="Z127">_xlfn.IFS(W127&lt;60000,"LOWERTarget",W127&lt;80000,"Medium Target",W127,"Highe Target")</f>
        <v>Medium Target</v>
      </c>
      <c r="AA127" s="8" t="s">
        <v>64</v>
      </c>
      <c r="AB127" s="5" t="str">
        <f>UPPER(AA127)</f>
        <v>NEEDS IMPROVEMENT</v>
      </c>
      <c r="AC127" s="5" t="str">
        <f>LOWER(AA127)</f>
        <v>needs improvement</v>
      </c>
      <c r="AD127" s="5" t="str">
        <f>PROPER(AA127)</f>
        <v>Needs Improvement</v>
      </c>
      <c r="AF127" s="6"/>
    </row>
    <row r="128" ht="14.25" customHeight="1" spans="1:32">
      <c r="A128" s="8" t="s">
        <v>588</v>
      </c>
      <c r="B128" s="8" t="s">
        <v>589</v>
      </c>
      <c r="C128" s="9">
        <f>LEN(B128)</f>
        <v>11</v>
      </c>
      <c r="D128" s="8" t="s">
        <v>93</v>
      </c>
      <c r="E128" s="8" t="str">
        <f>_xlfn.CONCAT(B128,"(",A128,")"," - ",D128)</f>
        <v>Rahul Reddy(E1285) - Sales</v>
      </c>
      <c r="F128" s="9" t="str">
        <f>LEFT(E128,FIND("-",E128))</f>
        <v>Rahul Reddy(E1285) -</v>
      </c>
      <c r="G128" s="9" t="str">
        <f>RIGHT(E128,LEN(E128)-FIND("-",E128)-1)</f>
        <v>Sales</v>
      </c>
      <c r="H128" s="9">
        <f>FIND("-",E128)</f>
        <v>20</v>
      </c>
      <c r="I128" s="9">
        <f>LEN(E128)-FIND("-",E128)</f>
        <v>6</v>
      </c>
      <c r="J128" s="8" t="s">
        <v>172</v>
      </c>
      <c r="K128" s="9" t="str">
        <f>SUBSTITUTE(J128,"a","@",1)</f>
        <v>Hyder@bad</v>
      </c>
      <c r="L128" s="8" t="s">
        <v>590</v>
      </c>
      <c r="M128" s="8" t="str">
        <f>TEXT(L128,"dddd")</f>
        <v>Tuesday</v>
      </c>
      <c r="N128" s="8" t="str">
        <f>LEFT(M128,3)</f>
        <v>Tue</v>
      </c>
      <c r="O128" s="8" t="str">
        <f>RIGHT(M128,3)</f>
        <v>day</v>
      </c>
      <c r="P128" s="8">
        <f>MONTH(L128)</f>
        <v>2</v>
      </c>
      <c r="Q128" s="8">
        <f>YEAR(L128)</f>
        <v>2023</v>
      </c>
      <c r="R128" s="8" t="s">
        <v>591</v>
      </c>
      <c r="S128" s="8">
        <f>HOUR(R128)</f>
        <v>8</v>
      </c>
      <c r="T128" s="8">
        <f>MINUTE(R128)</f>
        <v>18</v>
      </c>
      <c r="U128" s="8">
        <f>SECOND(R128)</f>
        <v>26</v>
      </c>
      <c r="V128" s="8">
        <v>55964</v>
      </c>
      <c r="W128" s="8">
        <v>65414</v>
      </c>
      <c r="X128" s="9" t="str">
        <f>IF(W128&gt;50000,"Highe Target","Low Target")</f>
        <v>Highe Target</v>
      </c>
      <c r="Y128" s="9" t="str">
        <f t="shared" si="1"/>
        <v>Highe target</v>
      </c>
      <c r="Z128" s="9" t="str" cm="1">
        <f t="array" ref="Z128">_xlfn.IFS(W128&lt;60000,"LOWERTarget",W128&lt;80000,"Medium Target",W128,"Highe Target")</f>
        <v>Medium Target</v>
      </c>
      <c r="AA128" s="8" t="s">
        <v>96</v>
      </c>
      <c r="AB128" s="5" t="str">
        <f>UPPER(AA128)</f>
        <v>FAST DELIVERY</v>
      </c>
      <c r="AC128" s="5" t="str">
        <f>LOWER(AA128)</f>
        <v>fast delivery</v>
      </c>
      <c r="AD128" s="5" t="str">
        <f>PROPER(AA128)</f>
        <v>Fast Delivery</v>
      </c>
      <c r="AF128" s="6"/>
    </row>
    <row r="129" ht="14.25" customHeight="1" spans="1:32">
      <c r="A129" s="8" t="s">
        <v>592</v>
      </c>
      <c r="B129" s="8" t="s">
        <v>593</v>
      </c>
      <c r="C129" s="9">
        <f>LEN(B129)</f>
        <v>11</v>
      </c>
      <c r="D129" s="8" t="s">
        <v>60</v>
      </c>
      <c r="E129" s="8" t="str">
        <f>_xlfn.CONCAT(B129,"(",A129,")"," - ",D129)</f>
        <v>Rahul Kumar(E1121) - HR</v>
      </c>
      <c r="F129" s="9" t="str">
        <f>LEFT(E129,FIND("-",E129))</f>
        <v>Rahul Kumar(E1121) -</v>
      </c>
      <c r="G129" s="9" t="str">
        <f>RIGHT(E129,LEN(E129)-FIND("-",E129)-1)</f>
        <v>HR</v>
      </c>
      <c r="H129" s="9">
        <f>FIND("-",E129)</f>
        <v>20</v>
      </c>
      <c r="I129" s="9">
        <f>LEN(E129)-FIND("-",E129)</f>
        <v>3</v>
      </c>
      <c r="J129" s="8" t="s">
        <v>182</v>
      </c>
      <c r="K129" s="9" t="str">
        <f>SUBSTITUTE(J129,"a","@",1)</f>
        <v>Kolk@ta</v>
      </c>
      <c r="L129" s="8" t="s">
        <v>594</v>
      </c>
      <c r="M129" s="8" t="str">
        <f>TEXT(L129,"dddd")</f>
        <v>Friday</v>
      </c>
      <c r="N129" s="8" t="str">
        <f>LEFT(M129,3)</f>
        <v>Fri</v>
      </c>
      <c r="O129" s="8" t="str">
        <f>RIGHT(M129,3)</f>
        <v>day</v>
      </c>
      <c r="P129" s="8">
        <f>MONTH(L129)</f>
        <v>2</v>
      </c>
      <c r="Q129" s="8">
        <f>YEAR(L129)</f>
        <v>2024</v>
      </c>
      <c r="R129" s="8" t="s">
        <v>595</v>
      </c>
      <c r="S129" s="8">
        <f>HOUR(R129)</f>
        <v>9</v>
      </c>
      <c r="T129" s="8">
        <f>MINUTE(R129)</f>
        <v>5</v>
      </c>
      <c r="U129" s="8">
        <f>SECOND(R129)</f>
        <v>50</v>
      </c>
      <c r="V129" s="8">
        <v>51770</v>
      </c>
      <c r="W129" s="8">
        <v>65858</v>
      </c>
      <c r="X129" s="9" t="str">
        <f>IF(W129&gt;50000,"Highe Target","Low Target")</f>
        <v>Highe Target</v>
      </c>
      <c r="Y129" s="9" t="str">
        <f t="shared" si="1"/>
        <v>Highe target</v>
      </c>
      <c r="Z129" s="9" t="str" cm="1">
        <f t="array" ref="Z129">_xlfn.IFS(W129&lt;60000,"LOWERTarget",W129&lt;80000,"Medium Target",W129,"Highe Target")</f>
        <v>Medium Target</v>
      </c>
      <c r="AA129" s="8" t="s">
        <v>64</v>
      </c>
      <c r="AB129" s="5" t="str">
        <f>UPPER(AA129)</f>
        <v>NEEDS IMPROVEMENT</v>
      </c>
      <c r="AC129" s="5" t="str">
        <f>LOWER(AA129)</f>
        <v>needs improvement</v>
      </c>
      <c r="AD129" s="5" t="str">
        <f>PROPER(AA129)</f>
        <v>Needs Improvement</v>
      </c>
      <c r="AF129" s="6"/>
    </row>
    <row r="130" ht="14.25" customHeight="1" spans="1:32">
      <c r="A130" s="8" t="s">
        <v>596</v>
      </c>
      <c r="B130" s="8" t="s">
        <v>597</v>
      </c>
      <c r="C130" s="9">
        <f>LEN(B130)</f>
        <v>11</v>
      </c>
      <c r="D130" s="8" t="s">
        <v>44</v>
      </c>
      <c r="E130" s="8" t="str">
        <f>_xlfn.CONCAT(B130,"(",A130,")"," - ",D130)</f>
        <v>Karan Singh(E1262) - Marketing</v>
      </c>
      <c r="F130" s="9" t="str">
        <f>LEFT(E130,FIND("-",E130))</f>
        <v>Karan Singh(E1262) -</v>
      </c>
      <c r="G130" s="9" t="str">
        <f>RIGHT(E130,LEN(E130)-FIND("-",E130)-1)</f>
        <v>Marketing</v>
      </c>
      <c r="H130" s="9">
        <f>FIND("-",E130)</f>
        <v>20</v>
      </c>
      <c r="I130" s="9">
        <f>LEN(E130)-FIND("-",E130)</f>
        <v>10</v>
      </c>
      <c r="J130" s="8" t="s">
        <v>45</v>
      </c>
      <c r="K130" s="9" t="str">
        <f>SUBSTITUTE(J130,"a","@",1)</f>
        <v>B@ngalore</v>
      </c>
      <c r="L130" s="8" t="s">
        <v>598</v>
      </c>
      <c r="M130" s="8" t="str">
        <f>TEXT(L130,"dddd")</f>
        <v>Monday</v>
      </c>
      <c r="N130" s="8" t="str">
        <f>LEFT(M130,3)</f>
        <v>Mon</v>
      </c>
      <c r="O130" s="8" t="str">
        <f>RIGHT(M130,3)</f>
        <v>day</v>
      </c>
      <c r="P130" s="8">
        <f>MONTH(L130)</f>
        <v>11</v>
      </c>
      <c r="Q130" s="8">
        <f>YEAR(L130)</f>
        <v>2024</v>
      </c>
      <c r="R130" s="8" t="s">
        <v>599</v>
      </c>
      <c r="S130" s="8">
        <f>HOUR(R130)</f>
        <v>10</v>
      </c>
      <c r="T130" s="8">
        <f>MINUTE(R130)</f>
        <v>45</v>
      </c>
      <c r="U130" s="8">
        <f>SECOND(R130)</f>
        <v>13</v>
      </c>
      <c r="V130" s="8">
        <v>66677</v>
      </c>
      <c r="W130" s="8">
        <v>65993</v>
      </c>
      <c r="X130" s="9" t="str">
        <f>IF(W130&gt;50000,"Highe Target","Low Target")</f>
        <v>Highe Target</v>
      </c>
      <c r="Y130" s="9" t="str">
        <f t="shared" ref="Y130:Y193" si="2">IF(NOT(W130&lt;50000),"Highe target","Lower Target")</f>
        <v>Highe target</v>
      </c>
      <c r="Z130" s="9" t="str" cm="1">
        <f t="array" ref="Z130">_xlfn.IFS(W130&lt;60000,"LOWERTarget",W130&lt;80000,"Medium Target",W130,"Highe Target")</f>
        <v>Medium Target</v>
      </c>
      <c r="AA130" s="8" t="s">
        <v>229</v>
      </c>
      <c r="AB130" s="5" t="str">
        <f>UPPER(AA130)</f>
        <v>STRONG PRESENTATION</v>
      </c>
      <c r="AC130" s="5" t="str">
        <f>LOWER(AA130)</f>
        <v>strong presentation</v>
      </c>
      <c r="AD130" s="5" t="str">
        <f>PROPER(AA130)</f>
        <v>Strong Presentation</v>
      </c>
      <c r="AF130" s="6"/>
    </row>
    <row r="131" ht="14.25" customHeight="1" spans="1:32">
      <c r="A131" s="8" t="s">
        <v>600</v>
      </c>
      <c r="B131" s="8" t="s">
        <v>601</v>
      </c>
      <c r="C131" s="9">
        <f>LEN(B131)</f>
        <v>12</v>
      </c>
      <c r="D131" s="8" t="s">
        <v>60</v>
      </c>
      <c r="E131" s="8" t="str">
        <f>_xlfn.CONCAT(B131,"(",A131,")"," - ",D131)</f>
        <v>Madhuri Nair(E1027) - HR</v>
      </c>
      <c r="F131" s="9" t="str">
        <f>LEFT(E131,FIND("-",E131))</f>
        <v>Madhuri Nair(E1027) -</v>
      </c>
      <c r="G131" s="9" t="str">
        <f>RIGHT(E131,LEN(E131)-FIND("-",E131)-1)</f>
        <v>HR</v>
      </c>
      <c r="H131" s="9">
        <f>FIND("-",E131)</f>
        <v>21</v>
      </c>
      <c r="I131" s="9">
        <f>LEN(E131)-FIND("-",E131)</f>
        <v>3</v>
      </c>
      <c r="J131" s="8" t="s">
        <v>182</v>
      </c>
      <c r="K131" s="9" t="str">
        <f>SUBSTITUTE(J131,"a","@",1)</f>
        <v>Kolk@ta</v>
      </c>
      <c r="L131" s="8" t="s">
        <v>602</v>
      </c>
      <c r="M131" s="8" t="str">
        <f>TEXT(L131,"dddd")</f>
        <v>Friday</v>
      </c>
      <c r="N131" s="8" t="str">
        <f>LEFT(M131,3)</f>
        <v>Fri</v>
      </c>
      <c r="O131" s="8" t="str">
        <f>RIGHT(M131,3)</f>
        <v>day</v>
      </c>
      <c r="P131" s="8">
        <f>MONTH(L131)</f>
        <v>9</v>
      </c>
      <c r="Q131" s="8">
        <f>YEAR(L131)</f>
        <v>2023</v>
      </c>
      <c r="R131" s="8" t="s">
        <v>603</v>
      </c>
      <c r="S131" s="8">
        <f>HOUR(R131)</f>
        <v>9</v>
      </c>
      <c r="T131" s="8">
        <f>MINUTE(R131)</f>
        <v>13</v>
      </c>
      <c r="U131" s="8">
        <f>SECOND(R131)</f>
        <v>55</v>
      </c>
      <c r="V131" s="8">
        <v>55124</v>
      </c>
      <c r="W131" s="8">
        <v>66282</v>
      </c>
      <c r="X131" s="9" t="str">
        <f>IF(W131&gt;50000,"Highe Target","Low Target")</f>
        <v>Highe Target</v>
      </c>
      <c r="Y131" s="9" t="str">
        <f t="shared" si="2"/>
        <v>Highe target</v>
      </c>
      <c r="Z131" s="9" t="str" cm="1">
        <f t="array" ref="Z131">_xlfn.IFS(W131&lt;60000,"LOWERTarget",W131&lt;80000,"Medium Target",W131,"Highe Target")</f>
        <v>Medium Target</v>
      </c>
      <c r="AA131" s="8" t="s">
        <v>285</v>
      </c>
      <c r="AB131" s="5" t="str">
        <f>UPPER(AA131)</f>
        <v>QUICK RESPONSE</v>
      </c>
      <c r="AC131" s="5" t="str">
        <f>LOWER(AA131)</f>
        <v>quick response</v>
      </c>
      <c r="AD131" s="5" t="str">
        <f>PROPER(AA131)</f>
        <v>Quick Response</v>
      </c>
      <c r="AF131" s="6"/>
    </row>
    <row r="132" ht="14.25" customHeight="1" spans="1:32">
      <c r="A132" s="8" t="s">
        <v>604</v>
      </c>
      <c r="B132" s="8" t="s">
        <v>605</v>
      </c>
      <c r="C132" s="9">
        <f>LEN(B132)</f>
        <v>9</v>
      </c>
      <c r="D132" s="8" t="s">
        <v>60</v>
      </c>
      <c r="E132" s="8" t="str">
        <f>_xlfn.CONCAT(B132,"(",A132,")"," - ",D132)</f>
        <v>Amit Jain(E1099) - HR</v>
      </c>
      <c r="F132" s="9" t="str">
        <f>LEFT(E132,FIND("-",E132))</f>
        <v>Amit Jain(E1099) -</v>
      </c>
      <c r="G132" s="9" t="str">
        <f>RIGHT(E132,LEN(E132)-FIND("-",E132)-1)</f>
        <v>HR</v>
      </c>
      <c r="H132" s="9">
        <f>FIND("-",E132)</f>
        <v>18</v>
      </c>
      <c r="I132" s="9">
        <f>LEN(E132)-FIND("-",E132)</f>
        <v>3</v>
      </c>
      <c r="J132" s="8" t="s">
        <v>53</v>
      </c>
      <c r="K132" s="9" t="str">
        <f>SUBSTITUTE(J132,"a","@",1)</f>
        <v>Delhi</v>
      </c>
      <c r="L132" s="8" t="s">
        <v>606</v>
      </c>
      <c r="M132" s="8" t="str">
        <f>TEXT(L132,"dddd")</f>
        <v>Thursday</v>
      </c>
      <c r="N132" s="8" t="str">
        <f>LEFT(M132,3)</f>
        <v>Thu</v>
      </c>
      <c r="O132" s="8" t="str">
        <f>RIGHT(M132,3)</f>
        <v>day</v>
      </c>
      <c r="P132" s="8">
        <f>MONTH(L132)</f>
        <v>9</v>
      </c>
      <c r="Q132" s="8">
        <f>YEAR(L132)</f>
        <v>2022</v>
      </c>
      <c r="R132" s="8" t="s">
        <v>607</v>
      </c>
      <c r="S132" s="8">
        <f>HOUR(R132)</f>
        <v>10</v>
      </c>
      <c r="T132" s="8">
        <f>MINUTE(R132)</f>
        <v>0</v>
      </c>
      <c r="U132" s="8">
        <f>SECOND(R132)</f>
        <v>35</v>
      </c>
      <c r="V132" s="8">
        <v>57846</v>
      </c>
      <c r="W132" s="8">
        <v>66738</v>
      </c>
      <c r="X132" s="9" t="str">
        <f>IF(W132&gt;50000,"Highe Target","Low Target")</f>
        <v>Highe Target</v>
      </c>
      <c r="Y132" s="9" t="str">
        <f t="shared" si="2"/>
        <v>Highe target</v>
      </c>
      <c r="Z132" s="9" t="str" cm="1">
        <f t="array" ref="Z132">_xlfn.IFS(W132&lt;60000,"LOWERTarget",W132&lt;80000,"Medium Target",W132,"Highe Target")</f>
        <v>Medium Target</v>
      </c>
      <c r="AA132" s="8" t="s">
        <v>126</v>
      </c>
      <c r="AB132" s="5" t="str">
        <f>UPPER(AA132)</f>
        <v>ACCURATE REPORTS</v>
      </c>
      <c r="AC132" s="5" t="str">
        <f>LOWER(AA132)</f>
        <v>accurate reports</v>
      </c>
      <c r="AD132" s="5" t="str">
        <f>PROPER(AA132)</f>
        <v>Accurate Reports</v>
      </c>
      <c r="AF132" s="6"/>
    </row>
    <row r="133" ht="14.25" customHeight="1" spans="1:32">
      <c r="A133" s="8" t="s">
        <v>608</v>
      </c>
      <c r="B133" s="8" t="s">
        <v>609</v>
      </c>
      <c r="C133" s="9">
        <f>LEN(B133)</f>
        <v>11</v>
      </c>
      <c r="D133" s="8" t="s">
        <v>60</v>
      </c>
      <c r="E133" s="8" t="str">
        <f>_xlfn.CONCAT(B133,"(",A133,")"," - ",D133)</f>
        <v>Arjun Verma(E1284) - HR</v>
      </c>
      <c r="F133" s="9" t="str">
        <f>LEFT(E133,FIND("-",E133))</f>
        <v>Arjun Verma(E1284) -</v>
      </c>
      <c r="G133" s="9" t="str">
        <f>RIGHT(E133,LEN(E133)-FIND("-",E133)-1)</f>
        <v>HR</v>
      </c>
      <c r="H133" s="9">
        <f>FIND("-",E133)</f>
        <v>20</v>
      </c>
      <c r="I133" s="9">
        <f>LEN(E133)-FIND("-",E133)</f>
        <v>3</v>
      </c>
      <c r="J133" s="8" t="s">
        <v>182</v>
      </c>
      <c r="K133" s="9" t="str">
        <f>SUBSTITUTE(J133,"a","@",1)</f>
        <v>Kolk@ta</v>
      </c>
      <c r="L133" s="8" t="s">
        <v>610</v>
      </c>
      <c r="M133" s="8" t="str">
        <f>TEXT(L133,"dddd")</f>
        <v>Sunday</v>
      </c>
      <c r="N133" s="8" t="str">
        <f>LEFT(M133,3)</f>
        <v>Sun</v>
      </c>
      <c r="O133" s="8" t="str">
        <f>RIGHT(M133,3)</f>
        <v>day</v>
      </c>
      <c r="P133" s="8">
        <f>MONTH(L133)</f>
        <v>7</v>
      </c>
      <c r="Q133" s="8">
        <f>YEAR(L133)</f>
        <v>2023</v>
      </c>
      <c r="R133" s="8" t="s">
        <v>611</v>
      </c>
      <c r="S133" s="8">
        <f>HOUR(R133)</f>
        <v>10</v>
      </c>
      <c r="T133" s="8">
        <f>MINUTE(R133)</f>
        <v>35</v>
      </c>
      <c r="U133" s="8">
        <f>SECOND(R133)</f>
        <v>32</v>
      </c>
      <c r="V133" s="8">
        <v>58510</v>
      </c>
      <c r="W133" s="8">
        <v>66741</v>
      </c>
      <c r="X133" s="9" t="str">
        <f>IF(W133&gt;50000,"Highe Target","Low Target")</f>
        <v>Highe Target</v>
      </c>
      <c r="Y133" s="9" t="str">
        <f t="shared" si="2"/>
        <v>Highe target</v>
      </c>
      <c r="Z133" s="9" t="str" cm="1">
        <f t="array" ref="Z133">_xlfn.IFS(W133&lt;60000,"LOWERTarget",W133&lt;80000,"Medium Target",W133,"Highe Target")</f>
        <v>Medium Target</v>
      </c>
      <c r="AA133" s="8" t="s">
        <v>87</v>
      </c>
      <c r="AB133" s="5" t="str">
        <f>UPPER(AA133)</f>
        <v>EXCELLENT SERVICE</v>
      </c>
      <c r="AC133" s="5" t="str">
        <f>LOWER(AA133)</f>
        <v>excellent service</v>
      </c>
      <c r="AD133" s="5" t="str">
        <f>PROPER(AA133)</f>
        <v>Excellent Service</v>
      </c>
      <c r="AF133" s="6"/>
    </row>
    <row r="134" ht="14.25" customHeight="1" spans="1:32">
      <c r="A134" s="8" t="s">
        <v>612</v>
      </c>
      <c r="B134" s="8" t="s">
        <v>613</v>
      </c>
      <c r="C134" s="9">
        <f>LEN(B134)</f>
        <v>11</v>
      </c>
      <c r="D134" s="8" t="s">
        <v>93</v>
      </c>
      <c r="E134" s="8" t="str">
        <f>_xlfn.CONCAT(B134,"(",A134,")"," - ",D134)</f>
        <v>Nisha Reddy(E1247) - Sales</v>
      </c>
      <c r="F134" s="9" t="str">
        <f>LEFT(E134,FIND("-",E134))</f>
        <v>Nisha Reddy(E1247) -</v>
      </c>
      <c r="G134" s="9" t="str">
        <f>RIGHT(E134,LEN(E134)-FIND("-",E134)-1)</f>
        <v>Sales</v>
      </c>
      <c r="H134" s="9">
        <f>FIND("-",E134)</f>
        <v>20</v>
      </c>
      <c r="I134" s="9">
        <f>LEN(E134)-FIND("-",E134)</f>
        <v>6</v>
      </c>
      <c r="J134" s="8" t="s">
        <v>153</v>
      </c>
      <c r="K134" s="9" t="str">
        <f>SUBSTITUTE(J134,"a","@",1)</f>
        <v>Mumb@i</v>
      </c>
      <c r="L134" s="8" t="s">
        <v>614</v>
      </c>
      <c r="M134" s="8" t="str">
        <f>TEXT(L134,"dddd")</f>
        <v>Saturday</v>
      </c>
      <c r="N134" s="8" t="str">
        <f>LEFT(M134,3)</f>
        <v>Sat</v>
      </c>
      <c r="O134" s="8" t="str">
        <f>RIGHT(M134,3)</f>
        <v>day</v>
      </c>
      <c r="P134" s="8">
        <f>MONTH(L134)</f>
        <v>5</v>
      </c>
      <c r="Q134" s="8">
        <f>YEAR(L134)</f>
        <v>2021</v>
      </c>
      <c r="R134" s="8" t="s">
        <v>615</v>
      </c>
      <c r="S134" s="8">
        <f>HOUR(R134)</f>
        <v>9</v>
      </c>
      <c r="T134" s="8">
        <f>MINUTE(R134)</f>
        <v>2</v>
      </c>
      <c r="U134" s="8">
        <f>SECOND(R134)</f>
        <v>18</v>
      </c>
      <c r="V134" s="8">
        <v>63590</v>
      </c>
      <c r="W134" s="8">
        <v>66795</v>
      </c>
      <c r="X134" s="9" t="str">
        <f>IF(W134&gt;50000,"Highe Target","Low Target")</f>
        <v>Highe Target</v>
      </c>
      <c r="Y134" s="9" t="str">
        <f t="shared" si="2"/>
        <v>Highe target</v>
      </c>
      <c r="Z134" s="9" t="str" cm="1">
        <f t="array" ref="Z134">_xlfn.IFS(W134&lt;60000,"LOWERTarget",W134&lt;80000,"Medium Target",W134,"Highe Target")</f>
        <v>Medium Target</v>
      </c>
      <c r="AA134" s="8" t="s">
        <v>118</v>
      </c>
      <c r="AB134" s="5" t="str">
        <f>UPPER(AA134)</f>
        <v>CUSTOMER FOCUSED</v>
      </c>
      <c r="AC134" s="5" t="str">
        <f>LOWER(AA134)</f>
        <v>customer focused</v>
      </c>
      <c r="AD134" s="5" t="str">
        <f>PROPER(AA134)</f>
        <v>Customer Focused</v>
      </c>
      <c r="AF134" s="6"/>
    </row>
    <row r="135" ht="14.25" customHeight="1" spans="1:32">
      <c r="A135" s="8" t="s">
        <v>616</v>
      </c>
      <c r="B135" s="8" t="s">
        <v>617</v>
      </c>
      <c r="C135" s="9">
        <f>LEN(B135)</f>
        <v>11</v>
      </c>
      <c r="D135" s="8" t="s">
        <v>44</v>
      </c>
      <c r="E135" s="8" t="str">
        <f>_xlfn.CONCAT(B135,"(",A135,")"," - ",D135)</f>
        <v>Meera Patel(E1270) - Marketing</v>
      </c>
      <c r="F135" s="9" t="str">
        <f>LEFT(E135,FIND("-",E135))</f>
        <v>Meera Patel(E1270) -</v>
      </c>
      <c r="G135" s="9" t="str">
        <f>RIGHT(E135,LEN(E135)-FIND("-",E135)-1)</f>
        <v>Marketing</v>
      </c>
      <c r="H135" s="9">
        <f>FIND("-",E135)</f>
        <v>20</v>
      </c>
      <c r="I135" s="9">
        <f>LEN(E135)-FIND("-",E135)</f>
        <v>10</v>
      </c>
      <c r="J135" s="8" t="s">
        <v>36</v>
      </c>
      <c r="K135" s="9" t="str">
        <f>SUBSTITUTE(J135,"a","@",1)</f>
        <v>Ahmed@bad</v>
      </c>
      <c r="L135" s="8" t="s">
        <v>618</v>
      </c>
      <c r="M135" s="8" t="str">
        <f>TEXT(L135,"dddd")</f>
        <v>Tuesday</v>
      </c>
      <c r="N135" s="8" t="str">
        <f>LEFT(M135,3)</f>
        <v>Tue</v>
      </c>
      <c r="O135" s="8" t="str">
        <f>RIGHT(M135,3)</f>
        <v>day</v>
      </c>
      <c r="P135" s="8">
        <f>MONTH(L135)</f>
        <v>2</v>
      </c>
      <c r="Q135" s="8">
        <f>YEAR(L135)</f>
        <v>2021</v>
      </c>
      <c r="R135" s="8" t="s">
        <v>619</v>
      </c>
      <c r="S135" s="8">
        <f>HOUR(R135)</f>
        <v>8</v>
      </c>
      <c r="T135" s="8">
        <f>MINUTE(R135)</f>
        <v>34</v>
      </c>
      <c r="U135" s="8">
        <f>SECOND(R135)</f>
        <v>35</v>
      </c>
      <c r="V135" s="8">
        <v>52733</v>
      </c>
      <c r="W135" s="8">
        <v>66957</v>
      </c>
      <c r="X135" s="9" t="str">
        <f>IF(W135&gt;50000,"Highe Target","Low Target")</f>
        <v>Highe Target</v>
      </c>
      <c r="Y135" s="9" t="str">
        <f t="shared" si="2"/>
        <v>Highe target</v>
      </c>
      <c r="Z135" s="9" t="str" cm="1">
        <f t="array" ref="Z135">_xlfn.IFS(W135&lt;60000,"LOWERTarget",W135&lt;80000,"Medium Target",W135,"Highe Target")</f>
        <v>Medium Target</v>
      </c>
      <c r="AA135" s="8" t="s">
        <v>87</v>
      </c>
      <c r="AB135" s="5" t="str">
        <f>UPPER(AA135)</f>
        <v>EXCELLENT SERVICE</v>
      </c>
      <c r="AC135" s="5" t="str">
        <f>LOWER(AA135)</f>
        <v>excellent service</v>
      </c>
      <c r="AD135" s="5" t="str">
        <f>PROPER(AA135)</f>
        <v>Excellent Service</v>
      </c>
      <c r="AF135" s="6"/>
    </row>
    <row r="136" ht="14.25" customHeight="1" spans="1:32">
      <c r="A136" s="8" t="s">
        <v>620</v>
      </c>
      <c r="B136" s="8" t="s">
        <v>621</v>
      </c>
      <c r="C136" s="9">
        <f>LEN(B136)</f>
        <v>12</v>
      </c>
      <c r="D136" s="8" t="s">
        <v>93</v>
      </c>
      <c r="E136" s="8" t="str">
        <f>_xlfn.CONCAT(B136,"(",A136,")"," - ",D136)</f>
        <v>Varun Chopra(E1175) - Sales</v>
      </c>
      <c r="F136" s="9" t="str">
        <f>LEFT(E136,FIND("-",E136))</f>
        <v>Varun Chopra(E1175) -</v>
      </c>
      <c r="G136" s="9" t="str">
        <f>RIGHT(E136,LEN(E136)-FIND("-",E136)-1)</f>
        <v>Sales</v>
      </c>
      <c r="H136" s="9">
        <f>FIND("-",E136)</f>
        <v>21</v>
      </c>
      <c r="I136" s="9">
        <f>LEN(E136)-FIND("-",E136)</f>
        <v>6</v>
      </c>
      <c r="J136" s="8" t="s">
        <v>45</v>
      </c>
      <c r="K136" s="9" t="str">
        <f>SUBSTITUTE(J136,"a","@",1)</f>
        <v>B@ngalore</v>
      </c>
      <c r="L136" s="8" t="s">
        <v>622</v>
      </c>
      <c r="M136" s="8" t="str">
        <f>TEXT(L136,"dddd")</f>
        <v>Thursday</v>
      </c>
      <c r="N136" s="8" t="str">
        <f>LEFT(M136,3)</f>
        <v>Thu</v>
      </c>
      <c r="O136" s="8" t="str">
        <f>RIGHT(M136,3)</f>
        <v>day</v>
      </c>
      <c r="P136" s="8">
        <f>MONTH(L136)</f>
        <v>7</v>
      </c>
      <c r="Q136" s="8">
        <f>YEAR(L136)</f>
        <v>2023</v>
      </c>
      <c r="R136" s="8" t="s">
        <v>623</v>
      </c>
      <c r="S136" s="8">
        <f>HOUR(R136)</f>
        <v>9</v>
      </c>
      <c r="T136" s="8">
        <f>MINUTE(R136)</f>
        <v>59</v>
      </c>
      <c r="U136" s="8">
        <f>SECOND(R136)</f>
        <v>1</v>
      </c>
      <c r="V136" s="8">
        <v>55680</v>
      </c>
      <c r="W136" s="8">
        <v>67190</v>
      </c>
      <c r="X136" s="9" t="str">
        <f>IF(W136&gt;50000,"Highe Target","Low Target")</f>
        <v>Highe Target</v>
      </c>
      <c r="Y136" s="9" t="str">
        <f t="shared" si="2"/>
        <v>Highe target</v>
      </c>
      <c r="Z136" s="9" t="str" cm="1">
        <f t="array" ref="Z136">_xlfn.IFS(W136&lt;60000,"LOWERTarget",W136&lt;80000,"Medium Target",W136,"Highe Target")</f>
        <v>Medium Target</v>
      </c>
      <c r="AA136" s="8" t="s">
        <v>39</v>
      </c>
      <c r="AB136" s="5" t="str">
        <f>UPPER(AA136)</f>
        <v>DETAILED ANALYSIS</v>
      </c>
      <c r="AC136" s="5" t="str">
        <f>LOWER(AA136)</f>
        <v>detailed analysis</v>
      </c>
      <c r="AD136" s="5" t="str">
        <f>PROPER(AA136)</f>
        <v>Detailed Analysis</v>
      </c>
      <c r="AF136" s="6"/>
    </row>
    <row r="137" ht="14.25" customHeight="1" spans="1:32">
      <c r="A137" s="8" t="s">
        <v>624</v>
      </c>
      <c r="B137" s="8" t="s">
        <v>625</v>
      </c>
      <c r="C137" s="9">
        <f>LEN(B137)</f>
        <v>9</v>
      </c>
      <c r="D137" s="8" t="s">
        <v>35</v>
      </c>
      <c r="E137" s="8" t="str">
        <f>_xlfn.CONCAT(B137,"(",A137,")"," - ",D137)</f>
        <v>Isha Nair(E1258) - Finance</v>
      </c>
      <c r="F137" s="9" t="str">
        <f>LEFT(E137,FIND("-",E137))</f>
        <v>Isha Nair(E1258) -</v>
      </c>
      <c r="G137" s="9" t="str">
        <f>RIGHT(E137,LEN(E137)-FIND("-",E137)-1)</f>
        <v>Finance</v>
      </c>
      <c r="H137" s="9">
        <f>FIND("-",E137)</f>
        <v>18</v>
      </c>
      <c r="I137" s="9">
        <f>LEN(E137)-FIND("-",E137)</f>
        <v>8</v>
      </c>
      <c r="J137" s="8" t="s">
        <v>53</v>
      </c>
      <c r="K137" s="9" t="str">
        <f>SUBSTITUTE(J137,"a","@",1)</f>
        <v>Delhi</v>
      </c>
      <c r="L137" s="8" t="s">
        <v>626</v>
      </c>
      <c r="M137" s="8" t="str">
        <f>TEXT(L137,"dddd")</f>
        <v>Monday</v>
      </c>
      <c r="N137" s="8" t="str">
        <f>LEFT(M137,3)</f>
        <v>Mon</v>
      </c>
      <c r="O137" s="8" t="str">
        <f>RIGHT(M137,3)</f>
        <v>day</v>
      </c>
      <c r="P137" s="8">
        <f>MONTH(L137)</f>
        <v>8</v>
      </c>
      <c r="Q137" s="8">
        <f>YEAR(L137)</f>
        <v>2023</v>
      </c>
      <c r="R137" s="8" t="s">
        <v>627</v>
      </c>
      <c r="S137" s="8">
        <f>HOUR(R137)</f>
        <v>8</v>
      </c>
      <c r="T137" s="8">
        <f>MINUTE(R137)</f>
        <v>35</v>
      </c>
      <c r="U137" s="8">
        <f>SECOND(R137)</f>
        <v>26</v>
      </c>
      <c r="V137" s="8">
        <v>87029</v>
      </c>
      <c r="W137" s="8">
        <v>67296</v>
      </c>
      <c r="X137" s="9" t="str">
        <f>IF(W137&gt;50000,"Highe Target","Low Target")</f>
        <v>Highe Target</v>
      </c>
      <c r="Y137" s="9" t="str">
        <f t="shared" si="2"/>
        <v>Highe target</v>
      </c>
      <c r="Z137" s="9" t="str" cm="1">
        <f t="array" ref="Z137">_xlfn.IFS(W137&lt;60000,"LOWERTarget",W137&lt;80000,"Medium Target",W137,"Highe Target")</f>
        <v>Medium Target</v>
      </c>
      <c r="AA137" s="8" t="s">
        <v>285</v>
      </c>
      <c r="AB137" s="5" t="str">
        <f>UPPER(AA137)</f>
        <v>QUICK RESPONSE</v>
      </c>
      <c r="AC137" s="5" t="str">
        <f>LOWER(AA137)</f>
        <v>quick response</v>
      </c>
      <c r="AD137" s="5" t="str">
        <f>PROPER(AA137)</f>
        <v>Quick Response</v>
      </c>
      <c r="AF137" s="6"/>
    </row>
    <row r="138" ht="14.25" customHeight="1" spans="1:32">
      <c r="A138" s="8" t="s">
        <v>628</v>
      </c>
      <c r="B138" s="8" t="s">
        <v>396</v>
      </c>
      <c r="C138" s="9">
        <f>LEN(B138)</f>
        <v>10</v>
      </c>
      <c r="D138" s="8" t="s">
        <v>93</v>
      </c>
      <c r="E138" s="8" t="str">
        <f>_xlfn.CONCAT(B138,"(",A138,")"," - ",D138)</f>
        <v>Varun Nair(E1223) - Sales</v>
      </c>
      <c r="F138" s="9" t="str">
        <f>LEFT(E138,FIND("-",E138))</f>
        <v>Varun Nair(E1223) -</v>
      </c>
      <c r="G138" s="9" t="str">
        <f>RIGHT(E138,LEN(E138)-FIND("-",E138)-1)</f>
        <v>Sales</v>
      </c>
      <c r="H138" s="9">
        <f>FIND("-",E138)</f>
        <v>19</v>
      </c>
      <c r="I138" s="9">
        <f>LEN(E138)-FIND("-",E138)</f>
        <v>6</v>
      </c>
      <c r="J138" s="8" t="s">
        <v>76</v>
      </c>
      <c r="K138" s="9" t="str">
        <f>SUBSTITUTE(J138,"a","@",1)</f>
        <v>Pune</v>
      </c>
      <c r="L138" s="8" t="s">
        <v>629</v>
      </c>
      <c r="M138" s="8" t="str">
        <f>TEXT(L138,"dddd")</f>
        <v>Wednesday</v>
      </c>
      <c r="N138" s="8" t="str">
        <f>LEFT(M138,3)</f>
        <v>Wed</v>
      </c>
      <c r="O138" s="8" t="str">
        <f>RIGHT(M138,3)</f>
        <v>day</v>
      </c>
      <c r="P138" s="8">
        <f>MONTH(L138)</f>
        <v>1</v>
      </c>
      <c r="Q138" s="8">
        <f>YEAR(L138)</f>
        <v>2022</v>
      </c>
      <c r="R138" s="8" t="s">
        <v>630</v>
      </c>
      <c r="S138" s="8">
        <f>HOUR(R138)</f>
        <v>8</v>
      </c>
      <c r="T138" s="8">
        <f>MINUTE(R138)</f>
        <v>28</v>
      </c>
      <c r="U138" s="8">
        <f>SECOND(R138)</f>
        <v>20</v>
      </c>
      <c r="V138" s="8">
        <v>62369</v>
      </c>
      <c r="W138" s="8">
        <v>67445</v>
      </c>
      <c r="X138" s="9" t="str">
        <f>IF(W138&gt;50000,"Highe Target","Low Target")</f>
        <v>Highe Target</v>
      </c>
      <c r="Y138" s="9" t="str">
        <f t="shared" si="2"/>
        <v>Highe target</v>
      </c>
      <c r="Z138" s="9" t="str" cm="1">
        <f t="array" ref="Z138">_xlfn.IFS(W138&lt;60000,"LOWERTarget",W138&lt;80000,"Medium Target",W138,"Highe Target")</f>
        <v>Medium Target</v>
      </c>
      <c r="AA138" s="8" t="s">
        <v>39</v>
      </c>
      <c r="AB138" s="5" t="str">
        <f>UPPER(AA138)</f>
        <v>DETAILED ANALYSIS</v>
      </c>
      <c r="AC138" s="5" t="str">
        <f>LOWER(AA138)</f>
        <v>detailed analysis</v>
      </c>
      <c r="AD138" s="5" t="str">
        <f>PROPER(AA138)</f>
        <v>Detailed Analysis</v>
      </c>
      <c r="AF138" s="6"/>
    </row>
    <row r="139" ht="14.25" customHeight="1" spans="1:32">
      <c r="A139" s="8" t="s">
        <v>631</v>
      </c>
      <c r="B139" s="8" t="s">
        <v>632</v>
      </c>
      <c r="C139" s="9">
        <f>LEN(B139)</f>
        <v>14</v>
      </c>
      <c r="D139" s="8" t="s">
        <v>35</v>
      </c>
      <c r="E139" s="8" t="str">
        <f>_xlfn.CONCAT(B139,"(",A139,")"," - ",D139)</f>
        <v>Karan Malhotra(E1064) - Finance</v>
      </c>
      <c r="F139" s="9" t="str">
        <f>LEFT(E139,FIND("-",E139))</f>
        <v>Karan Malhotra(E1064) -</v>
      </c>
      <c r="G139" s="9" t="str">
        <f>RIGHT(E139,LEN(E139)-FIND("-",E139)-1)</f>
        <v>Finance</v>
      </c>
      <c r="H139" s="9">
        <f>FIND("-",E139)</f>
        <v>23</v>
      </c>
      <c r="I139" s="9">
        <f>LEN(E139)-FIND("-",E139)</f>
        <v>8</v>
      </c>
      <c r="J139" s="8" t="s">
        <v>172</v>
      </c>
      <c r="K139" s="9" t="str">
        <f>SUBSTITUTE(J139,"a","@",1)</f>
        <v>Hyder@bad</v>
      </c>
      <c r="L139" s="8" t="s">
        <v>633</v>
      </c>
      <c r="M139" s="8" t="str">
        <f>TEXT(L139,"dddd")</f>
        <v>Thursday</v>
      </c>
      <c r="N139" s="8" t="str">
        <f>LEFT(M139,3)</f>
        <v>Thu</v>
      </c>
      <c r="O139" s="8" t="str">
        <f>RIGHT(M139,3)</f>
        <v>day</v>
      </c>
      <c r="P139" s="8">
        <f>MONTH(L139)</f>
        <v>2</v>
      </c>
      <c r="Q139" s="8">
        <f>YEAR(L139)</f>
        <v>2023</v>
      </c>
      <c r="R139" s="8" t="s">
        <v>634</v>
      </c>
      <c r="S139" s="8">
        <f>HOUR(R139)</f>
        <v>9</v>
      </c>
      <c r="T139" s="8">
        <f>MINUTE(R139)</f>
        <v>48</v>
      </c>
      <c r="U139" s="8">
        <f>SECOND(R139)</f>
        <v>53</v>
      </c>
      <c r="V139" s="8">
        <v>69159</v>
      </c>
      <c r="W139" s="8">
        <v>67627</v>
      </c>
      <c r="X139" s="9" t="str">
        <f>IF(W139&gt;50000,"Highe Target","Low Target")</f>
        <v>Highe Target</v>
      </c>
      <c r="Y139" s="9" t="str">
        <f t="shared" si="2"/>
        <v>Highe target</v>
      </c>
      <c r="Z139" s="9" t="str" cm="1">
        <f t="array" ref="Z139">_xlfn.IFS(W139&lt;60000,"LOWERTarget",W139&lt;80000,"Medium Target",W139,"Highe Target")</f>
        <v>Medium Target</v>
      </c>
      <c r="AA139" s="8" t="s">
        <v>243</v>
      </c>
      <c r="AB139" s="5" t="str">
        <f>UPPER(AA139)</f>
        <v>POSITIVE ATTITUDE</v>
      </c>
      <c r="AC139" s="5" t="str">
        <f>LOWER(AA139)</f>
        <v>positive attitude</v>
      </c>
      <c r="AD139" s="5" t="str">
        <f>PROPER(AA139)</f>
        <v>Positive Attitude</v>
      </c>
      <c r="AF139" s="6"/>
    </row>
    <row r="140" ht="14.25" customHeight="1" spans="1:32">
      <c r="A140" s="8" t="s">
        <v>635</v>
      </c>
      <c r="B140" s="8" t="s">
        <v>636</v>
      </c>
      <c r="C140" s="9">
        <f>LEN(B140)</f>
        <v>11</v>
      </c>
      <c r="D140" s="8" t="s">
        <v>60</v>
      </c>
      <c r="E140" s="8" t="str">
        <f>_xlfn.CONCAT(B140,"(",A140,")"," - ",D140)</f>
        <v>Rohan Singh(E1025) - HR</v>
      </c>
      <c r="F140" s="9" t="str">
        <f>LEFT(E140,FIND("-",E140))</f>
        <v>Rohan Singh(E1025) -</v>
      </c>
      <c r="G140" s="9" t="str">
        <f>RIGHT(E140,LEN(E140)-FIND("-",E140)-1)</f>
        <v>HR</v>
      </c>
      <c r="H140" s="9">
        <f>FIND("-",E140)</f>
        <v>20</v>
      </c>
      <c r="I140" s="9">
        <f>LEN(E140)-FIND("-",E140)</f>
        <v>3</v>
      </c>
      <c r="J140" s="8" t="s">
        <v>45</v>
      </c>
      <c r="K140" s="9" t="str">
        <f>SUBSTITUTE(J140,"a","@",1)</f>
        <v>B@ngalore</v>
      </c>
      <c r="L140" s="8" t="s">
        <v>637</v>
      </c>
      <c r="M140" s="8" t="str">
        <f>TEXT(L140,"dddd")</f>
        <v>Tuesday</v>
      </c>
      <c r="N140" s="8" t="str">
        <f>LEFT(M140,3)</f>
        <v>Tue</v>
      </c>
      <c r="O140" s="8" t="str">
        <f>RIGHT(M140,3)</f>
        <v>day</v>
      </c>
      <c r="P140" s="8">
        <f>MONTH(L140)</f>
        <v>1</v>
      </c>
      <c r="Q140" s="8">
        <f>YEAR(L140)</f>
        <v>2022</v>
      </c>
      <c r="R140" s="8" t="s">
        <v>638</v>
      </c>
      <c r="S140" s="8">
        <f>HOUR(R140)</f>
        <v>10</v>
      </c>
      <c r="T140" s="8">
        <f>MINUTE(R140)</f>
        <v>28</v>
      </c>
      <c r="U140" s="8">
        <f>SECOND(R140)</f>
        <v>8</v>
      </c>
      <c r="V140" s="8">
        <v>64673</v>
      </c>
      <c r="W140" s="8">
        <v>67648</v>
      </c>
      <c r="X140" s="9" t="str">
        <f>IF(W140&gt;50000,"Highe Target","Low Target")</f>
        <v>Highe Target</v>
      </c>
      <c r="Y140" s="9" t="str">
        <f t="shared" si="2"/>
        <v>Highe target</v>
      </c>
      <c r="Z140" s="9" t="str" cm="1">
        <f t="array" ref="Z140">_xlfn.IFS(W140&lt;60000,"LOWERTarget",W140&lt;80000,"Medium Target",W140,"Highe Target")</f>
        <v>Medium Target</v>
      </c>
      <c r="AA140" s="8" t="s">
        <v>64</v>
      </c>
      <c r="AB140" s="5" t="str">
        <f>UPPER(AA140)</f>
        <v>NEEDS IMPROVEMENT</v>
      </c>
      <c r="AC140" s="5" t="str">
        <f>LOWER(AA140)</f>
        <v>needs improvement</v>
      </c>
      <c r="AD140" s="5" t="str">
        <f>PROPER(AA140)</f>
        <v>Needs Improvement</v>
      </c>
      <c r="AF140" s="6"/>
    </row>
    <row r="141" ht="14.25" customHeight="1" spans="1:32">
      <c r="A141" s="8" t="s">
        <v>639</v>
      </c>
      <c r="B141" s="8" t="s">
        <v>640</v>
      </c>
      <c r="C141" s="9">
        <f>LEN(B141)</f>
        <v>11</v>
      </c>
      <c r="D141" s="8" t="s">
        <v>35</v>
      </c>
      <c r="E141" s="8" t="str">
        <f>_xlfn.CONCAT(B141,"(",A141,")"," - ",D141)</f>
        <v>Rohan Mehta(E1037) - Finance</v>
      </c>
      <c r="F141" s="9" t="str">
        <f>LEFT(E141,FIND("-",E141))</f>
        <v>Rohan Mehta(E1037) -</v>
      </c>
      <c r="G141" s="9" t="str">
        <f>RIGHT(E141,LEN(E141)-FIND("-",E141)-1)</f>
        <v>Finance</v>
      </c>
      <c r="H141" s="9">
        <f>FIND("-",E141)</f>
        <v>20</v>
      </c>
      <c r="I141" s="9">
        <f>LEN(E141)-FIND("-",E141)</f>
        <v>8</v>
      </c>
      <c r="J141" s="8" t="s">
        <v>36</v>
      </c>
      <c r="K141" s="9" t="str">
        <f>SUBSTITUTE(J141,"a","@",1)</f>
        <v>Ahmed@bad</v>
      </c>
      <c r="L141" s="8" t="s">
        <v>330</v>
      </c>
      <c r="M141" s="8" t="str">
        <f>TEXT(L141,"dddd")</f>
        <v>Monday</v>
      </c>
      <c r="N141" s="8" t="str">
        <f>LEFT(M141,3)</f>
        <v>Mon</v>
      </c>
      <c r="O141" s="8" t="str">
        <f>RIGHT(M141,3)</f>
        <v>day</v>
      </c>
      <c r="P141" s="8">
        <f>MONTH(L141)</f>
        <v>5</v>
      </c>
      <c r="Q141" s="8">
        <f>YEAR(L141)</f>
        <v>2022</v>
      </c>
      <c r="R141" s="8" t="s">
        <v>641</v>
      </c>
      <c r="S141" s="8">
        <f>HOUR(R141)</f>
        <v>8</v>
      </c>
      <c r="T141" s="8">
        <f>MINUTE(R141)</f>
        <v>5</v>
      </c>
      <c r="U141" s="8">
        <f>SECOND(R141)</f>
        <v>40</v>
      </c>
      <c r="V141" s="8">
        <v>70891</v>
      </c>
      <c r="W141" s="8">
        <v>67759</v>
      </c>
      <c r="X141" s="9" t="str">
        <f>IF(W141&gt;50000,"Highe Target","Low Target")</f>
        <v>Highe Target</v>
      </c>
      <c r="Y141" s="9" t="str">
        <f t="shared" si="2"/>
        <v>Highe target</v>
      </c>
      <c r="Z141" s="9" t="str" cm="1">
        <f t="array" ref="Z141">_xlfn.IFS(W141&lt;60000,"LOWERTarget",W141&lt;80000,"Medium Target",W141,"Highe Target")</f>
        <v>Medium Target</v>
      </c>
      <c r="AA141" s="8" t="s">
        <v>87</v>
      </c>
      <c r="AB141" s="5" t="str">
        <f>UPPER(AA141)</f>
        <v>EXCELLENT SERVICE</v>
      </c>
      <c r="AC141" s="5" t="str">
        <f>LOWER(AA141)</f>
        <v>excellent service</v>
      </c>
      <c r="AD141" s="5" t="str">
        <f>PROPER(AA141)</f>
        <v>Excellent Service</v>
      </c>
      <c r="AF141" s="6"/>
    </row>
    <row r="142" ht="14.25" customHeight="1" spans="1:32">
      <c r="A142" s="8" t="s">
        <v>642</v>
      </c>
      <c r="B142" s="8" t="s">
        <v>643</v>
      </c>
      <c r="C142" s="9">
        <f>LEN(B142)</f>
        <v>11</v>
      </c>
      <c r="D142" s="8" t="s">
        <v>44</v>
      </c>
      <c r="E142" s="8" t="str">
        <f>_xlfn.CONCAT(B142,"(",A142,")"," - ",D142)</f>
        <v>Kavita Jain(E1214) - Marketing</v>
      </c>
      <c r="F142" s="9" t="str">
        <f>LEFT(E142,FIND("-",E142))</f>
        <v>Kavita Jain(E1214) -</v>
      </c>
      <c r="G142" s="9" t="str">
        <f>RIGHT(E142,LEN(E142)-FIND("-",E142)-1)</f>
        <v>Marketing</v>
      </c>
      <c r="H142" s="9">
        <f>FIND("-",E142)</f>
        <v>20</v>
      </c>
      <c r="I142" s="9">
        <f>LEN(E142)-FIND("-",E142)</f>
        <v>10</v>
      </c>
      <c r="J142" s="8" t="s">
        <v>61</v>
      </c>
      <c r="K142" s="9" t="str">
        <f>SUBSTITUTE(J142,"a","@",1)</f>
        <v>Chenn@i</v>
      </c>
      <c r="L142" s="8" t="s">
        <v>644</v>
      </c>
      <c r="M142" s="8" t="str">
        <f>TEXT(L142,"dddd")</f>
        <v>Friday</v>
      </c>
      <c r="N142" s="8" t="str">
        <f>LEFT(M142,3)</f>
        <v>Fri</v>
      </c>
      <c r="O142" s="8" t="str">
        <f>RIGHT(M142,3)</f>
        <v>day</v>
      </c>
      <c r="P142" s="8">
        <f>MONTH(L142)</f>
        <v>1</v>
      </c>
      <c r="Q142" s="8">
        <f>YEAR(L142)</f>
        <v>2024</v>
      </c>
      <c r="R142" s="8" t="s">
        <v>645</v>
      </c>
      <c r="S142" s="8">
        <f>HOUR(R142)</f>
        <v>8</v>
      </c>
      <c r="T142" s="8">
        <f>MINUTE(R142)</f>
        <v>54</v>
      </c>
      <c r="U142" s="8">
        <f>SECOND(R142)</f>
        <v>6</v>
      </c>
      <c r="V142" s="8">
        <v>62018</v>
      </c>
      <c r="W142" s="8">
        <v>68241</v>
      </c>
      <c r="X142" s="9" t="str">
        <f>IF(W142&gt;50000,"Highe Target","Low Target")</f>
        <v>Highe Target</v>
      </c>
      <c r="Y142" s="9" t="str">
        <f t="shared" si="2"/>
        <v>Highe target</v>
      </c>
      <c r="Z142" s="9" t="str" cm="1">
        <f t="array" ref="Z142">_xlfn.IFS(W142&lt;60000,"LOWERTarget",W142&lt;80000,"Medium Target",W142,"Highe Target")</f>
        <v>Medium Target</v>
      </c>
      <c r="AA142" s="8" t="s">
        <v>71</v>
      </c>
      <c r="AB142" s="5" t="str">
        <f>UPPER(AA142)</f>
        <v>GREAT SUPPORT</v>
      </c>
      <c r="AC142" s="5" t="str">
        <f>LOWER(AA142)</f>
        <v>great support</v>
      </c>
      <c r="AD142" s="5" t="str">
        <f>PROPER(AA142)</f>
        <v>Great Support</v>
      </c>
      <c r="AF142" s="6"/>
    </row>
    <row r="143" ht="14.25" customHeight="1" spans="1:32">
      <c r="A143" s="8" t="s">
        <v>646</v>
      </c>
      <c r="B143" s="8" t="s">
        <v>647</v>
      </c>
      <c r="C143" s="9">
        <f>LEN(B143)</f>
        <v>13</v>
      </c>
      <c r="D143" s="8" t="s">
        <v>35</v>
      </c>
      <c r="E143" s="8" t="str">
        <f>_xlfn.CONCAT(B143,"(",A143,")"," - ",D143)</f>
        <v>Neha Malhotra(E1091) - Finance</v>
      </c>
      <c r="F143" s="9" t="str">
        <f>LEFT(E143,FIND("-",E143))</f>
        <v>Neha Malhotra(E1091) -</v>
      </c>
      <c r="G143" s="9" t="str">
        <f>RIGHT(E143,LEN(E143)-FIND("-",E143)-1)</f>
        <v>Finance</v>
      </c>
      <c r="H143" s="9">
        <f>FIND("-",E143)</f>
        <v>22</v>
      </c>
      <c r="I143" s="9">
        <f>LEN(E143)-FIND("-",E143)</f>
        <v>8</v>
      </c>
      <c r="J143" s="8" t="s">
        <v>182</v>
      </c>
      <c r="K143" s="9" t="str">
        <f>SUBSTITUTE(J143,"a","@",1)</f>
        <v>Kolk@ta</v>
      </c>
      <c r="L143" s="8" t="s">
        <v>648</v>
      </c>
      <c r="M143" s="8" t="str">
        <f>TEXT(L143,"dddd")</f>
        <v>Tuesday</v>
      </c>
      <c r="N143" s="8" t="str">
        <f>LEFT(M143,3)</f>
        <v>Tue</v>
      </c>
      <c r="O143" s="8" t="str">
        <f>RIGHT(M143,3)</f>
        <v>day</v>
      </c>
      <c r="P143" s="8">
        <f>MONTH(L143)</f>
        <v>7</v>
      </c>
      <c r="Q143" s="8">
        <f>YEAR(L143)</f>
        <v>2022</v>
      </c>
      <c r="R143" s="8" t="s">
        <v>649</v>
      </c>
      <c r="S143" s="8">
        <f>HOUR(R143)</f>
        <v>10</v>
      </c>
      <c r="T143" s="8">
        <f>MINUTE(R143)</f>
        <v>34</v>
      </c>
      <c r="U143" s="8">
        <f>SECOND(R143)</f>
        <v>31</v>
      </c>
      <c r="V143" s="8">
        <v>58959</v>
      </c>
      <c r="W143" s="8">
        <v>68688</v>
      </c>
      <c r="X143" s="9" t="str">
        <f>IF(W143&gt;50000,"Highe Target","Low Target")</f>
        <v>Highe Target</v>
      </c>
      <c r="Y143" s="9" t="str">
        <f t="shared" si="2"/>
        <v>Highe target</v>
      </c>
      <c r="Z143" s="9" t="str" cm="1">
        <f t="array" ref="Z143">_xlfn.IFS(W143&lt;60000,"LOWERTarget",W143&lt;80000,"Medium Target",W143,"Highe Target")</f>
        <v>Medium Target</v>
      </c>
      <c r="AA143" s="8" t="s">
        <v>79</v>
      </c>
      <c r="AB143" s="5" t="str">
        <f>UPPER(AA143)</f>
        <v>EXCELLENT LEADERSHIP</v>
      </c>
      <c r="AC143" s="5" t="str">
        <f>LOWER(AA143)</f>
        <v>excellent leadership</v>
      </c>
      <c r="AD143" s="5" t="str">
        <f>PROPER(AA143)</f>
        <v>Excellent Leadership</v>
      </c>
      <c r="AF143" s="6"/>
    </row>
    <row r="144" ht="14.25" customHeight="1" spans="1:32">
      <c r="A144" s="8" t="s">
        <v>650</v>
      </c>
      <c r="B144" s="8" t="s">
        <v>651</v>
      </c>
      <c r="C144" s="9">
        <f>LEN(B144)</f>
        <v>12</v>
      </c>
      <c r="D144" s="8" t="s">
        <v>60</v>
      </c>
      <c r="E144" s="8" t="str">
        <f>_xlfn.CONCAT(B144,"(",A144,")"," - ",D144)</f>
        <v>Deepak Patel(E1098) - HR</v>
      </c>
      <c r="F144" s="9" t="str">
        <f>LEFT(E144,FIND("-",E144))</f>
        <v>Deepak Patel(E1098) -</v>
      </c>
      <c r="G144" s="9" t="str">
        <f>RIGHT(E144,LEN(E144)-FIND("-",E144)-1)</f>
        <v>HR</v>
      </c>
      <c r="H144" s="9">
        <f>FIND("-",E144)</f>
        <v>21</v>
      </c>
      <c r="I144" s="9">
        <f>LEN(E144)-FIND("-",E144)</f>
        <v>3</v>
      </c>
      <c r="J144" s="8" t="s">
        <v>61</v>
      </c>
      <c r="K144" s="9" t="str">
        <f>SUBSTITUTE(J144,"a","@",1)</f>
        <v>Chenn@i</v>
      </c>
      <c r="L144" s="8" t="s">
        <v>652</v>
      </c>
      <c r="M144" s="8" t="str">
        <f>TEXT(L144,"dddd")</f>
        <v>Tuesday</v>
      </c>
      <c r="N144" s="8" t="str">
        <f>LEFT(M144,3)</f>
        <v>Tue</v>
      </c>
      <c r="O144" s="8" t="str">
        <f>RIGHT(M144,3)</f>
        <v>day</v>
      </c>
      <c r="P144" s="8">
        <f>MONTH(L144)</f>
        <v>1</v>
      </c>
      <c r="Q144" s="8">
        <f>YEAR(L144)</f>
        <v>2024</v>
      </c>
      <c r="R144" s="8" t="s">
        <v>653</v>
      </c>
      <c r="S144" s="8">
        <f>HOUR(R144)</f>
        <v>8</v>
      </c>
      <c r="T144" s="8">
        <f>MINUTE(R144)</f>
        <v>59</v>
      </c>
      <c r="U144" s="8">
        <f>SECOND(R144)</f>
        <v>18</v>
      </c>
      <c r="V144" s="8">
        <v>85478</v>
      </c>
      <c r="W144" s="8">
        <v>68712</v>
      </c>
      <c r="X144" s="9" t="str">
        <f>IF(W144&gt;50000,"Highe Target","Low Target")</f>
        <v>Highe Target</v>
      </c>
      <c r="Y144" s="9" t="str">
        <f t="shared" si="2"/>
        <v>Highe target</v>
      </c>
      <c r="Z144" s="9" t="str" cm="1">
        <f t="array" ref="Z144">_xlfn.IFS(W144&lt;60000,"LOWERTarget",W144&lt;80000,"Medium Target",W144,"Highe Target")</f>
        <v>Medium Target</v>
      </c>
      <c r="AA144" s="8" t="s">
        <v>160</v>
      </c>
      <c r="AB144" s="5" t="str">
        <f>UPPER(AA144)</f>
        <v>GOOD COMMUNICATION</v>
      </c>
      <c r="AC144" s="5" t="str">
        <f>LOWER(AA144)</f>
        <v>good communication</v>
      </c>
      <c r="AD144" s="5" t="str">
        <f>PROPER(AA144)</f>
        <v>Good Communication</v>
      </c>
      <c r="AF144" s="6"/>
    </row>
    <row r="145" ht="14.25" customHeight="1" spans="1:32">
      <c r="A145" s="8" t="s">
        <v>654</v>
      </c>
      <c r="B145" s="8" t="s">
        <v>487</v>
      </c>
      <c r="C145" s="9">
        <f>LEN(B145)</f>
        <v>10</v>
      </c>
      <c r="D145" s="8" t="s">
        <v>93</v>
      </c>
      <c r="E145" s="8" t="str">
        <f>_xlfn.CONCAT(B145,"(",A145,")"," - ",D145)</f>
        <v>Tanya Iyer(E1162) - Sales</v>
      </c>
      <c r="F145" s="9" t="str">
        <f>LEFT(E145,FIND("-",E145))</f>
        <v>Tanya Iyer(E1162) -</v>
      </c>
      <c r="G145" s="9" t="str">
        <f>RIGHT(E145,LEN(E145)-FIND("-",E145)-1)</f>
        <v>Sales</v>
      </c>
      <c r="H145" s="9">
        <f>FIND("-",E145)</f>
        <v>19</v>
      </c>
      <c r="I145" s="9">
        <f>LEN(E145)-FIND("-",E145)</f>
        <v>6</v>
      </c>
      <c r="J145" s="8" t="s">
        <v>53</v>
      </c>
      <c r="K145" s="9" t="str">
        <f>SUBSTITUTE(J145,"a","@",1)</f>
        <v>Delhi</v>
      </c>
      <c r="L145" s="8" t="s">
        <v>655</v>
      </c>
      <c r="M145" s="8" t="str">
        <f>TEXT(L145,"dddd")</f>
        <v>Monday</v>
      </c>
      <c r="N145" s="8" t="str">
        <f>LEFT(M145,3)</f>
        <v>Mon</v>
      </c>
      <c r="O145" s="8" t="str">
        <f>RIGHT(M145,3)</f>
        <v>day</v>
      </c>
      <c r="P145" s="8">
        <f>MONTH(L145)</f>
        <v>3</v>
      </c>
      <c r="Q145" s="8">
        <f>YEAR(L145)</f>
        <v>2021</v>
      </c>
      <c r="R145" s="8" t="s">
        <v>656</v>
      </c>
      <c r="S145" s="8">
        <f>HOUR(R145)</f>
        <v>8</v>
      </c>
      <c r="T145" s="8">
        <f>MINUTE(R145)</f>
        <v>45</v>
      </c>
      <c r="U145" s="8">
        <f>SECOND(R145)</f>
        <v>28</v>
      </c>
      <c r="V145" s="8">
        <v>88142</v>
      </c>
      <c r="W145" s="8">
        <v>68797</v>
      </c>
      <c r="X145" s="9" t="str">
        <f>IF(W145&gt;50000,"Highe Target","Low Target")</f>
        <v>Highe Target</v>
      </c>
      <c r="Y145" s="9" t="str">
        <f t="shared" si="2"/>
        <v>Highe target</v>
      </c>
      <c r="Z145" s="9" t="str" cm="1">
        <f t="array" ref="Z145">_xlfn.IFS(W145&lt;60000,"LOWERTarget",W145&lt;80000,"Medium Target",W145,"Highe Target")</f>
        <v>Medium Target</v>
      </c>
      <c r="AA145" s="8" t="s">
        <v>229</v>
      </c>
      <c r="AB145" s="5" t="str">
        <f>UPPER(AA145)</f>
        <v>STRONG PRESENTATION</v>
      </c>
      <c r="AC145" s="5" t="str">
        <f>LOWER(AA145)</f>
        <v>strong presentation</v>
      </c>
      <c r="AD145" s="5" t="str">
        <f>PROPER(AA145)</f>
        <v>Strong Presentation</v>
      </c>
      <c r="AF145" s="6"/>
    </row>
    <row r="146" ht="14.25" customHeight="1" spans="1:32">
      <c r="A146" s="8" t="s">
        <v>657</v>
      </c>
      <c r="B146" s="8" t="s">
        <v>658</v>
      </c>
      <c r="C146" s="9">
        <f>LEN(B146)</f>
        <v>12</v>
      </c>
      <c r="D146" s="8" t="s">
        <v>35</v>
      </c>
      <c r="E146" s="8" t="str">
        <f>_xlfn.CONCAT(B146,"(",A146,")"," - ",D146)</f>
        <v>Pooja Bansal(E1208) - Finance</v>
      </c>
      <c r="F146" s="9" t="str">
        <f>LEFT(E146,FIND("-",E146))</f>
        <v>Pooja Bansal(E1208) -</v>
      </c>
      <c r="G146" s="9" t="str">
        <f>RIGHT(E146,LEN(E146)-FIND("-",E146)-1)</f>
        <v>Finance</v>
      </c>
      <c r="H146" s="9">
        <f>FIND("-",E146)</f>
        <v>21</v>
      </c>
      <c r="I146" s="9">
        <f>LEN(E146)-FIND("-",E146)</f>
        <v>8</v>
      </c>
      <c r="J146" s="8" t="s">
        <v>36</v>
      </c>
      <c r="K146" s="9" t="str">
        <f>SUBSTITUTE(J146,"a","@",1)</f>
        <v>Ahmed@bad</v>
      </c>
      <c r="L146" s="8" t="s">
        <v>659</v>
      </c>
      <c r="M146" s="8" t="str">
        <f>TEXT(L146,"dddd")</f>
        <v>Sunday</v>
      </c>
      <c r="N146" s="8" t="str">
        <f>LEFT(M146,3)</f>
        <v>Sun</v>
      </c>
      <c r="O146" s="8" t="str">
        <f>RIGHT(M146,3)</f>
        <v>day</v>
      </c>
      <c r="P146" s="8">
        <f>MONTH(L146)</f>
        <v>5</v>
      </c>
      <c r="Q146" s="8">
        <f>YEAR(L146)</f>
        <v>2021</v>
      </c>
      <c r="R146" s="8" t="s">
        <v>660</v>
      </c>
      <c r="S146" s="8">
        <f>HOUR(R146)</f>
        <v>10</v>
      </c>
      <c r="T146" s="8">
        <f>MINUTE(R146)</f>
        <v>3</v>
      </c>
      <c r="U146" s="8">
        <f>SECOND(R146)</f>
        <v>10</v>
      </c>
      <c r="V146" s="8">
        <v>81047</v>
      </c>
      <c r="W146" s="8">
        <v>68809</v>
      </c>
      <c r="X146" s="9" t="str">
        <f>IF(W146&gt;50000,"Highe Target","Low Target")</f>
        <v>Highe Target</v>
      </c>
      <c r="Y146" s="9" t="str">
        <f t="shared" si="2"/>
        <v>Highe target</v>
      </c>
      <c r="Z146" s="9" t="str" cm="1">
        <f t="array" ref="Z146">_xlfn.IFS(W146&lt;60000,"LOWERTarget",W146&lt;80000,"Medium Target",W146,"Highe Target")</f>
        <v>Medium Target</v>
      </c>
      <c r="AA146" s="8" t="s">
        <v>56</v>
      </c>
      <c r="AB146" s="5" t="str">
        <f>UPPER(AA146)</f>
        <v>   HELPFUL ATTITUDE   </v>
      </c>
      <c r="AC146" s="5" t="str">
        <f>LOWER(AA146)</f>
        <v>   helpful attitude   </v>
      </c>
      <c r="AD146" s="5" t="str">
        <f>PROPER(AA146)</f>
        <v>   Helpful Attitude   </v>
      </c>
      <c r="AF146" s="6"/>
    </row>
    <row r="147" ht="14.25" customHeight="1" spans="1:32">
      <c r="A147" s="8" t="s">
        <v>661</v>
      </c>
      <c r="B147" s="8" t="s">
        <v>662</v>
      </c>
      <c r="C147" s="9">
        <f>LEN(B147)</f>
        <v>13</v>
      </c>
      <c r="D147" s="8" t="s">
        <v>93</v>
      </c>
      <c r="E147" s="8" t="str">
        <f>_xlfn.CONCAT(B147,"(",A147,")"," - ",D147)</f>
        <v>Suresh Mishra(E1194) - Sales</v>
      </c>
      <c r="F147" s="9" t="str">
        <f>LEFT(E147,FIND("-",E147))</f>
        <v>Suresh Mishra(E1194) -</v>
      </c>
      <c r="G147" s="9" t="str">
        <f>RIGHT(E147,LEN(E147)-FIND("-",E147)-1)</f>
        <v>Sales</v>
      </c>
      <c r="H147" s="9">
        <f>FIND("-",E147)</f>
        <v>22</v>
      </c>
      <c r="I147" s="9">
        <f>LEN(E147)-FIND("-",E147)</f>
        <v>6</v>
      </c>
      <c r="J147" s="8" t="s">
        <v>53</v>
      </c>
      <c r="K147" s="9" t="str">
        <f>SUBSTITUTE(J147,"a","@",1)</f>
        <v>Delhi</v>
      </c>
      <c r="L147" s="8" t="s">
        <v>663</v>
      </c>
      <c r="M147" s="8" t="str">
        <f>TEXT(L147,"dddd")</f>
        <v>Tuesday</v>
      </c>
      <c r="N147" s="8" t="str">
        <f>LEFT(M147,3)</f>
        <v>Tue</v>
      </c>
      <c r="O147" s="8" t="str">
        <f>RIGHT(M147,3)</f>
        <v>day</v>
      </c>
      <c r="P147" s="8">
        <f>MONTH(L147)</f>
        <v>10</v>
      </c>
      <c r="Q147" s="8">
        <f>YEAR(L147)</f>
        <v>2024</v>
      </c>
      <c r="R147" s="8" t="s">
        <v>664</v>
      </c>
      <c r="S147" s="8">
        <f>HOUR(R147)</f>
        <v>9</v>
      </c>
      <c r="T147" s="8">
        <f>MINUTE(R147)</f>
        <v>23</v>
      </c>
      <c r="U147" s="8">
        <f>SECOND(R147)</f>
        <v>23</v>
      </c>
      <c r="V147" s="8">
        <v>59132</v>
      </c>
      <c r="W147" s="8">
        <v>69094</v>
      </c>
      <c r="X147" s="9" t="str">
        <f>IF(W147&gt;50000,"Highe Target","Low Target")</f>
        <v>Highe Target</v>
      </c>
      <c r="Y147" s="9" t="str">
        <f t="shared" si="2"/>
        <v>Highe target</v>
      </c>
      <c r="Z147" s="9" t="str" cm="1">
        <f t="array" ref="Z147">_xlfn.IFS(W147&lt;60000,"LOWERTarget",W147&lt;80000,"Medium Target",W147,"Highe Target")</f>
        <v>Medium Target</v>
      </c>
      <c r="AA147" s="8" t="s">
        <v>79</v>
      </c>
      <c r="AB147" s="5" t="str">
        <f>UPPER(AA147)</f>
        <v>EXCELLENT LEADERSHIP</v>
      </c>
      <c r="AC147" s="5" t="str">
        <f>LOWER(AA147)</f>
        <v>excellent leadership</v>
      </c>
      <c r="AD147" s="5" t="str">
        <f>PROPER(AA147)</f>
        <v>Excellent Leadership</v>
      </c>
      <c r="AF147" s="6"/>
    </row>
    <row r="148" ht="14.25" customHeight="1" spans="1:32">
      <c r="A148" s="8" t="s">
        <v>665</v>
      </c>
      <c r="B148" s="8" t="s">
        <v>222</v>
      </c>
      <c r="C148" s="9">
        <f>LEN(B148)</f>
        <v>11</v>
      </c>
      <c r="D148" s="8" t="s">
        <v>93</v>
      </c>
      <c r="E148" s="8" t="str">
        <f>_xlfn.CONCAT(B148,"(",A148,")"," - ",D148)</f>
        <v>Anjali Iyer(E1190) - Sales</v>
      </c>
      <c r="F148" s="9" t="str">
        <f>LEFT(E148,FIND("-",E148))</f>
        <v>Anjali Iyer(E1190) -</v>
      </c>
      <c r="G148" s="9" t="str">
        <f>RIGHT(E148,LEN(E148)-FIND("-",E148)-1)</f>
        <v>Sales</v>
      </c>
      <c r="H148" s="9">
        <f>FIND("-",E148)</f>
        <v>20</v>
      </c>
      <c r="I148" s="9">
        <f>LEN(E148)-FIND("-",E148)</f>
        <v>6</v>
      </c>
      <c r="J148" s="8" t="s">
        <v>76</v>
      </c>
      <c r="K148" s="9" t="str">
        <f>SUBSTITUTE(J148,"a","@",1)</f>
        <v>Pune</v>
      </c>
      <c r="L148" s="8" t="s">
        <v>666</v>
      </c>
      <c r="M148" s="8" t="str">
        <f>TEXT(L148,"dddd")</f>
        <v>Thursday</v>
      </c>
      <c r="N148" s="8" t="str">
        <f>LEFT(M148,3)</f>
        <v>Thu</v>
      </c>
      <c r="O148" s="8" t="str">
        <f>RIGHT(M148,3)</f>
        <v>day</v>
      </c>
      <c r="P148" s="8">
        <f>MONTH(L148)</f>
        <v>11</v>
      </c>
      <c r="Q148" s="8">
        <f>YEAR(L148)</f>
        <v>2022</v>
      </c>
      <c r="R148" s="8" t="s">
        <v>667</v>
      </c>
      <c r="S148" s="8">
        <f>HOUR(R148)</f>
        <v>10</v>
      </c>
      <c r="T148" s="8">
        <f>MINUTE(R148)</f>
        <v>18</v>
      </c>
      <c r="U148" s="8">
        <f>SECOND(R148)</f>
        <v>19</v>
      </c>
      <c r="V148" s="8">
        <v>82148</v>
      </c>
      <c r="W148" s="8">
        <v>69223</v>
      </c>
      <c r="X148" s="9" t="str">
        <f>IF(W148&gt;50000,"Highe Target","Low Target")</f>
        <v>Highe Target</v>
      </c>
      <c r="Y148" s="9" t="str">
        <f t="shared" si="2"/>
        <v>Highe target</v>
      </c>
      <c r="Z148" s="9" t="str" cm="1">
        <f t="array" ref="Z148">_xlfn.IFS(W148&lt;60000,"LOWERTarget",W148&lt;80000,"Medium Target",W148,"Highe Target")</f>
        <v>Medium Target</v>
      </c>
      <c r="AA148" s="8" t="s">
        <v>285</v>
      </c>
      <c r="AB148" s="5" t="str">
        <f>UPPER(AA148)</f>
        <v>QUICK RESPONSE</v>
      </c>
      <c r="AC148" s="5" t="str">
        <f>LOWER(AA148)</f>
        <v>quick response</v>
      </c>
      <c r="AD148" s="5" t="str">
        <f>PROPER(AA148)</f>
        <v>Quick Response</v>
      </c>
      <c r="AF148" s="6"/>
    </row>
    <row r="149" ht="14.25" customHeight="1" spans="1:32">
      <c r="A149" s="8" t="s">
        <v>668</v>
      </c>
      <c r="B149" s="8" t="s">
        <v>669</v>
      </c>
      <c r="C149" s="9">
        <f>LEN(B149)</f>
        <v>11</v>
      </c>
      <c r="D149" s="8" t="s">
        <v>93</v>
      </c>
      <c r="E149" s="8" t="str">
        <f>_xlfn.CONCAT(B149,"(",A149,")"," - ",D149)</f>
        <v>Arjun Reddy(E1210) - Sales</v>
      </c>
      <c r="F149" s="9" t="str">
        <f>LEFT(E149,FIND("-",E149))</f>
        <v>Arjun Reddy(E1210) -</v>
      </c>
      <c r="G149" s="9" t="str">
        <f>RIGHT(E149,LEN(E149)-FIND("-",E149)-1)</f>
        <v>Sales</v>
      </c>
      <c r="H149" s="9">
        <f>FIND("-",E149)</f>
        <v>20</v>
      </c>
      <c r="I149" s="9">
        <f>LEN(E149)-FIND("-",E149)</f>
        <v>6</v>
      </c>
      <c r="J149" s="8" t="s">
        <v>172</v>
      </c>
      <c r="K149" s="9" t="str">
        <f>SUBSTITUTE(J149,"a","@",1)</f>
        <v>Hyder@bad</v>
      </c>
      <c r="L149" s="8" t="s">
        <v>670</v>
      </c>
      <c r="M149" s="8" t="str">
        <f>TEXT(L149,"dddd")</f>
        <v>Wednesday</v>
      </c>
      <c r="N149" s="8" t="str">
        <f>LEFT(M149,3)</f>
        <v>Wed</v>
      </c>
      <c r="O149" s="8" t="str">
        <f>RIGHT(M149,3)</f>
        <v>day</v>
      </c>
      <c r="P149" s="8">
        <f>MONTH(L149)</f>
        <v>5</v>
      </c>
      <c r="Q149" s="8">
        <f>YEAR(L149)</f>
        <v>2022</v>
      </c>
      <c r="R149" s="8" t="s">
        <v>671</v>
      </c>
      <c r="S149" s="8">
        <f>HOUR(R149)</f>
        <v>9</v>
      </c>
      <c r="T149" s="8">
        <f>MINUTE(R149)</f>
        <v>7</v>
      </c>
      <c r="U149" s="8">
        <f>SECOND(R149)</f>
        <v>17</v>
      </c>
      <c r="V149" s="8">
        <v>70711</v>
      </c>
      <c r="W149" s="8">
        <v>69464</v>
      </c>
      <c r="X149" s="9" t="str">
        <f>IF(W149&gt;50000,"Highe Target","Low Target")</f>
        <v>Highe Target</v>
      </c>
      <c r="Y149" s="9" t="str">
        <f t="shared" si="2"/>
        <v>Highe target</v>
      </c>
      <c r="Z149" s="9" t="str" cm="1">
        <f t="array" ref="Z149">_xlfn.IFS(W149&lt;60000,"LOWERTarget",W149&lt;80000,"Medium Target",W149,"Highe Target")</f>
        <v>Medium Target</v>
      </c>
      <c r="AA149" s="8" t="s">
        <v>285</v>
      </c>
      <c r="AB149" s="5" t="str">
        <f>UPPER(AA149)</f>
        <v>QUICK RESPONSE</v>
      </c>
      <c r="AC149" s="5" t="str">
        <f>LOWER(AA149)</f>
        <v>quick response</v>
      </c>
      <c r="AD149" s="5" t="str">
        <f>PROPER(AA149)</f>
        <v>Quick Response</v>
      </c>
      <c r="AF149" s="6"/>
    </row>
    <row r="150" ht="14.25" customHeight="1" spans="1:32">
      <c r="A150" s="8" t="s">
        <v>672</v>
      </c>
      <c r="B150" s="8" t="s">
        <v>673</v>
      </c>
      <c r="C150" s="9">
        <f>LEN(B150)</f>
        <v>11</v>
      </c>
      <c r="D150" s="8" t="s">
        <v>35</v>
      </c>
      <c r="E150" s="8" t="str">
        <f>_xlfn.CONCAT(B150,"(",A150,")"," - ",D150)</f>
        <v>Suresh Nair(E1259) - Finance</v>
      </c>
      <c r="F150" s="9" t="str">
        <f>LEFT(E150,FIND("-",E150))</f>
        <v>Suresh Nair(E1259) -</v>
      </c>
      <c r="G150" s="9" t="str">
        <f>RIGHT(E150,LEN(E150)-FIND("-",E150)-1)</f>
        <v>Finance</v>
      </c>
      <c r="H150" s="9">
        <f>FIND("-",E150)</f>
        <v>20</v>
      </c>
      <c r="I150" s="9">
        <f>LEN(E150)-FIND("-",E150)</f>
        <v>8</v>
      </c>
      <c r="J150" s="8" t="s">
        <v>45</v>
      </c>
      <c r="K150" s="9" t="str">
        <f>SUBSTITUTE(J150,"a","@",1)</f>
        <v>B@ngalore</v>
      </c>
      <c r="L150" s="8" t="s">
        <v>674</v>
      </c>
      <c r="M150" s="8" t="str">
        <f>TEXT(L150,"dddd")</f>
        <v>Tuesday</v>
      </c>
      <c r="N150" s="8" t="str">
        <f>LEFT(M150,3)</f>
        <v>Tue</v>
      </c>
      <c r="O150" s="8" t="str">
        <f>RIGHT(M150,3)</f>
        <v>day</v>
      </c>
      <c r="P150" s="8">
        <f>MONTH(L150)</f>
        <v>11</v>
      </c>
      <c r="Q150" s="8">
        <f>YEAR(L150)</f>
        <v>2022</v>
      </c>
      <c r="R150" s="8" t="s">
        <v>675</v>
      </c>
      <c r="S150" s="8">
        <f>HOUR(R150)</f>
        <v>10</v>
      </c>
      <c r="T150" s="8">
        <f>MINUTE(R150)</f>
        <v>5</v>
      </c>
      <c r="U150" s="8">
        <f>SECOND(R150)</f>
        <v>59</v>
      </c>
      <c r="V150" s="8">
        <v>78795</v>
      </c>
      <c r="W150" s="8">
        <v>69477</v>
      </c>
      <c r="X150" s="9" t="str">
        <f>IF(W150&gt;50000,"Highe Target","Low Target")</f>
        <v>Highe Target</v>
      </c>
      <c r="Y150" s="9" t="str">
        <f t="shared" si="2"/>
        <v>Highe target</v>
      </c>
      <c r="Z150" s="9" t="str" cm="1">
        <f t="array" ref="Z150">_xlfn.IFS(W150&lt;60000,"LOWERTarget",W150&lt;80000,"Medium Target",W150,"Highe Target")</f>
        <v>Medium Target</v>
      </c>
      <c r="AA150" s="8" t="s">
        <v>160</v>
      </c>
      <c r="AB150" s="5" t="str">
        <f>UPPER(AA150)</f>
        <v>GOOD COMMUNICATION</v>
      </c>
      <c r="AC150" s="5" t="str">
        <f>LOWER(AA150)</f>
        <v>good communication</v>
      </c>
      <c r="AD150" s="5" t="str">
        <f>PROPER(AA150)</f>
        <v>Good Communication</v>
      </c>
      <c r="AF150" s="6"/>
    </row>
    <row r="151" ht="14.25" customHeight="1" spans="1:32">
      <c r="A151" s="8" t="s">
        <v>676</v>
      </c>
      <c r="B151" s="8" t="s">
        <v>677</v>
      </c>
      <c r="C151" s="9">
        <f>LEN(B151)</f>
        <v>11</v>
      </c>
      <c r="D151" s="8" t="s">
        <v>44</v>
      </c>
      <c r="E151" s="8" t="str">
        <f>_xlfn.CONCAT(B151,"(",A151,")"," - ",D151)</f>
        <v>Shreya Jain(E1280) - Marketing</v>
      </c>
      <c r="F151" s="9" t="str">
        <f>LEFT(E151,FIND("-",E151))</f>
        <v>Shreya Jain(E1280) -</v>
      </c>
      <c r="G151" s="9" t="str">
        <f>RIGHT(E151,LEN(E151)-FIND("-",E151)-1)</f>
        <v>Marketing</v>
      </c>
      <c r="H151" s="9">
        <f>FIND("-",E151)</f>
        <v>20</v>
      </c>
      <c r="I151" s="9">
        <f>LEN(E151)-FIND("-",E151)</f>
        <v>10</v>
      </c>
      <c r="J151" s="8" t="s">
        <v>172</v>
      </c>
      <c r="K151" s="9" t="str">
        <f>SUBSTITUTE(J151,"a","@",1)</f>
        <v>Hyder@bad</v>
      </c>
      <c r="L151" s="8" t="s">
        <v>678</v>
      </c>
      <c r="M151" s="8" t="str">
        <f>TEXT(L151,"dddd")</f>
        <v>Tuesday</v>
      </c>
      <c r="N151" s="8" t="str">
        <f>LEFT(M151,3)</f>
        <v>Tue</v>
      </c>
      <c r="O151" s="8" t="str">
        <f>RIGHT(M151,3)</f>
        <v>day</v>
      </c>
      <c r="P151" s="8">
        <f>MONTH(L151)</f>
        <v>3</v>
      </c>
      <c r="Q151" s="8">
        <f>YEAR(L151)</f>
        <v>2021</v>
      </c>
      <c r="R151" s="8" t="s">
        <v>679</v>
      </c>
      <c r="S151" s="8">
        <f>HOUR(R151)</f>
        <v>10</v>
      </c>
      <c r="T151" s="8">
        <f>MINUTE(R151)</f>
        <v>17</v>
      </c>
      <c r="U151" s="8">
        <f>SECOND(R151)</f>
        <v>50</v>
      </c>
      <c r="V151" s="8">
        <v>86679</v>
      </c>
      <c r="W151" s="8">
        <v>69527</v>
      </c>
      <c r="X151" s="9" t="str">
        <f>IF(W151&gt;50000,"Highe Target","Low Target")</f>
        <v>Highe Target</v>
      </c>
      <c r="Y151" s="9" t="str">
        <f t="shared" si="2"/>
        <v>Highe target</v>
      </c>
      <c r="Z151" s="9" t="str" cm="1">
        <f t="array" ref="Z151">_xlfn.IFS(W151&lt;60000,"LOWERTarget",W151&lt;80000,"Medium Target",W151,"Highe Target")</f>
        <v>Medium Target</v>
      </c>
      <c r="AA151" s="8" t="s">
        <v>126</v>
      </c>
      <c r="AB151" s="5" t="str">
        <f>UPPER(AA151)</f>
        <v>ACCURATE REPORTS</v>
      </c>
      <c r="AC151" s="5" t="str">
        <f>LOWER(AA151)</f>
        <v>accurate reports</v>
      </c>
      <c r="AD151" s="5" t="str">
        <f>PROPER(AA151)</f>
        <v>Accurate Reports</v>
      </c>
      <c r="AF151" s="6"/>
    </row>
    <row r="152" ht="14.25" customHeight="1" spans="1:32">
      <c r="A152" s="8" t="s">
        <v>680</v>
      </c>
      <c r="B152" s="8" t="s">
        <v>681</v>
      </c>
      <c r="C152" s="9">
        <f>LEN(B152)</f>
        <v>12</v>
      </c>
      <c r="D152" s="8" t="s">
        <v>35</v>
      </c>
      <c r="E152" s="8" t="str">
        <f>_xlfn.CONCAT(B152,"(",A152,")"," - ",D152)</f>
        <v>Komal Mishra(E1073) - Finance</v>
      </c>
      <c r="F152" s="9" t="str">
        <f>LEFT(E152,FIND("-",E152))</f>
        <v>Komal Mishra(E1073) -</v>
      </c>
      <c r="G152" s="9" t="str">
        <f>RIGHT(E152,LEN(E152)-FIND("-",E152)-1)</f>
        <v>Finance</v>
      </c>
      <c r="H152" s="9">
        <f>FIND("-",E152)</f>
        <v>21</v>
      </c>
      <c r="I152" s="9">
        <f>LEN(E152)-FIND("-",E152)</f>
        <v>8</v>
      </c>
      <c r="J152" s="8" t="s">
        <v>172</v>
      </c>
      <c r="K152" s="9" t="str">
        <f>SUBSTITUTE(J152,"a","@",1)</f>
        <v>Hyder@bad</v>
      </c>
      <c r="L152" s="8" t="s">
        <v>682</v>
      </c>
      <c r="M152" s="8" t="str">
        <f>TEXT(L152,"dddd")</f>
        <v>Wednesday</v>
      </c>
      <c r="N152" s="8" t="str">
        <f>LEFT(M152,3)</f>
        <v>Wed</v>
      </c>
      <c r="O152" s="8" t="str">
        <f>RIGHT(M152,3)</f>
        <v>day</v>
      </c>
      <c r="P152" s="8">
        <f>MONTH(L152)</f>
        <v>5</v>
      </c>
      <c r="Q152" s="8">
        <f>YEAR(L152)</f>
        <v>2022</v>
      </c>
      <c r="R152" s="8" t="s">
        <v>683</v>
      </c>
      <c r="S152" s="8">
        <f>HOUR(R152)</f>
        <v>8</v>
      </c>
      <c r="T152" s="8">
        <f>MINUTE(R152)</f>
        <v>17</v>
      </c>
      <c r="U152" s="8">
        <f>SECOND(R152)</f>
        <v>56</v>
      </c>
      <c r="V152" s="8">
        <v>70524</v>
      </c>
      <c r="W152" s="8">
        <v>69543</v>
      </c>
      <c r="X152" s="9" t="str">
        <f>IF(W152&gt;50000,"Highe Target","Low Target")</f>
        <v>Highe Target</v>
      </c>
      <c r="Y152" s="9" t="str">
        <f t="shared" si="2"/>
        <v>Highe target</v>
      </c>
      <c r="Z152" s="9" t="str" cm="1">
        <f t="array" ref="Z152">_xlfn.IFS(W152&lt;60000,"LOWERTarget",W152&lt;80000,"Medium Target",W152,"Highe Target")</f>
        <v>Medium Target</v>
      </c>
      <c r="AA152" s="8" t="s">
        <v>118</v>
      </c>
      <c r="AB152" s="5" t="str">
        <f>UPPER(AA152)</f>
        <v>CUSTOMER FOCUSED</v>
      </c>
      <c r="AC152" s="5" t="str">
        <f>LOWER(AA152)</f>
        <v>customer focused</v>
      </c>
      <c r="AD152" s="5" t="str">
        <f>PROPER(AA152)</f>
        <v>Customer Focused</v>
      </c>
      <c r="AF152" s="6"/>
    </row>
    <row r="153" ht="14.25" customHeight="1" spans="1:32">
      <c r="A153" s="8" t="s">
        <v>684</v>
      </c>
      <c r="B153" s="8" t="s">
        <v>685</v>
      </c>
      <c r="C153" s="9">
        <f>LEN(B153)</f>
        <v>10</v>
      </c>
      <c r="D153" s="8" t="s">
        <v>44</v>
      </c>
      <c r="E153" s="8" t="str">
        <f>_xlfn.CONCAT(B153,"(",A153,")"," - ",D153)</f>
        <v>Neha Verma(E1133) - Marketing</v>
      </c>
      <c r="F153" s="9" t="str">
        <f>LEFT(E153,FIND("-",E153))</f>
        <v>Neha Verma(E1133) -</v>
      </c>
      <c r="G153" s="9" t="str">
        <f>RIGHT(E153,LEN(E153)-FIND("-",E153)-1)</f>
        <v>Marketing</v>
      </c>
      <c r="H153" s="9">
        <f>FIND("-",E153)</f>
        <v>19</v>
      </c>
      <c r="I153" s="9">
        <f>LEN(E153)-FIND("-",E153)</f>
        <v>10</v>
      </c>
      <c r="J153" s="8" t="s">
        <v>36</v>
      </c>
      <c r="K153" s="9" t="str">
        <f>SUBSTITUTE(J153,"a","@",1)</f>
        <v>Ahmed@bad</v>
      </c>
      <c r="L153" s="8" t="s">
        <v>686</v>
      </c>
      <c r="M153" s="8" t="str">
        <f>TEXT(L153,"dddd")</f>
        <v>Thursday</v>
      </c>
      <c r="N153" s="8" t="str">
        <f>LEFT(M153,3)</f>
        <v>Thu</v>
      </c>
      <c r="O153" s="8" t="str">
        <f>RIGHT(M153,3)</f>
        <v>day</v>
      </c>
      <c r="P153" s="8">
        <f>MONTH(L153)</f>
        <v>1</v>
      </c>
      <c r="Q153" s="8">
        <f>YEAR(L153)</f>
        <v>2023</v>
      </c>
      <c r="R153" s="8" t="s">
        <v>687</v>
      </c>
      <c r="S153" s="8">
        <f>HOUR(R153)</f>
        <v>10</v>
      </c>
      <c r="T153" s="8">
        <f>MINUTE(R153)</f>
        <v>37</v>
      </c>
      <c r="U153" s="8">
        <f>SECOND(R153)</f>
        <v>6</v>
      </c>
      <c r="V153" s="8">
        <v>87641</v>
      </c>
      <c r="W153" s="8">
        <v>69622</v>
      </c>
      <c r="X153" s="9" t="str">
        <f>IF(W153&gt;50000,"Highe Target","Low Target")</f>
        <v>Highe Target</v>
      </c>
      <c r="Y153" s="9" t="str">
        <f t="shared" si="2"/>
        <v>Highe target</v>
      </c>
      <c r="Z153" s="9" t="str" cm="1">
        <f t="array" ref="Z153">_xlfn.IFS(W153&lt;60000,"LOWERTarget",W153&lt;80000,"Medium Target",W153,"Highe Target")</f>
        <v>Medium Target</v>
      </c>
      <c r="AA153" s="8" t="s">
        <v>126</v>
      </c>
      <c r="AB153" s="5" t="str">
        <f>UPPER(AA153)</f>
        <v>ACCURATE REPORTS</v>
      </c>
      <c r="AC153" s="5" t="str">
        <f>LOWER(AA153)</f>
        <v>accurate reports</v>
      </c>
      <c r="AD153" s="5" t="str">
        <f>PROPER(AA153)</f>
        <v>Accurate Reports</v>
      </c>
      <c r="AF153" s="6"/>
    </row>
    <row r="154" ht="14.25" customHeight="1" spans="1:32">
      <c r="A154" s="8" t="s">
        <v>688</v>
      </c>
      <c r="B154" s="8" t="s">
        <v>689</v>
      </c>
      <c r="C154" s="9">
        <f>LEN(B154)</f>
        <v>14</v>
      </c>
      <c r="D154" s="8" t="s">
        <v>44</v>
      </c>
      <c r="E154" s="8" t="str">
        <f>_xlfn.CONCAT(B154,"(",A154,")"," - ",D154)</f>
        <v>Harsh Malhotra(E1185) - Marketing</v>
      </c>
      <c r="F154" s="9" t="str">
        <f>LEFT(E154,FIND("-",E154))</f>
        <v>Harsh Malhotra(E1185) -</v>
      </c>
      <c r="G154" s="9" t="str">
        <f>RIGHT(E154,LEN(E154)-FIND("-",E154)-1)</f>
        <v>Marketing</v>
      </c>
      <c r="H154" s="9">
        <f>FIND("-",E154)</f>
        <v>23</v>
      </c>
      <c r="I154" s="9">
        <f>LEN(E154)-FIND("-",E154)</f>
        <v>10</v>
      </c>
      <c r="J154" s="8" t="s">
        <v>53</v>
      </c>
      <c r="K154" s="9" t="str">
        <f>SUBSTITUTE(J154,"a","@",1)</f>
        <v>Delhi</v>
      </c>
      <c r="L154" s="8" t="s">
        <v>690</v>
      </c>
      <c r="M154" s="8" t="str">
        <f>TEXT(L154,"dddd")</f>
        <v>Monday</v>
      </c>
      <c r="N154" s="8" t="str">
        <f>LEFT(M154,3)</f>
        <v>Mon</v>
      </c>
      <c r="O154" s="8" t="str">
        <f>RIGHT(M154,3)</f>
        <v>day</v>
      </c>
      <c r="P154" s="8">
        <f>MONTH(L154)</f>
        <v>10</v>
      </c>
      <c r="Q154" s="8">
        <f>YEAR(L154)</f>
        <v>2021</v>
      </c>
      <c r="R154" s="8" t="s">
        <v>691</v>
      </c>
      <c r="S154" s="8">
        <f>HOUR(R154)</f>
        <v>8</v>
      </c>
      <c r="T154" s="8">
        <f>MINUTE(R154)</f>
        <v>45</v>
      </c>
      <c r="U154" s="8">
        <f>SECOND(R154)</f>
        <v>49</v>
      </c>
      <c r="V154" s="8">
        <v>57417</v>
      </c>
      <c r="W154" s="8">
        <v>69994</v>
      </c>
      <c r="X154" s="9" t="str">
        <f>IF(W154&gt;50000,"Highe Target","Low Target")</f>
        <v>Highe Target</v>
      </c>
      <c r="Y154" s="9" t="str">
        <f t="shared" si="2"/>
        <v>Highe target</v>
      </c>
      <c r="Z154" s="9" t="str" cm="1">
        <f t="array" ref="Z154">_xlfn.IFS(W154&lt;60000,"LOWERTarget",W154&lt;80000,"Medium Target",W154,"Highe Target")</f>
        <v>Medium Target</v>
      </c>
      <c r="AA154" s="8" t="s">
        <v>64</v>
      </c>
      <c r="AB154" s="5" t="str">
        <f>UPPER(AA154)</f>
        <v>NEEDS IMPROVEMENT</v>
      </c>
      <c r="AC154" s="5" t="str">
        <f>LOWER(AA154)</f>
        <v>needs improvement</v>
      </c>
      <c r="AD154" s="5" t="str">
        <f>PROPER(AA154)</f>
        <v>Needs Improvement</v>
      </c>
      <c r="AF154" s="6"/>
    </row>
    <row r="155" ht="14.25" customHeight="1" spans="1:32">
      <c r="A155" s="8" t="s">
        <v>692</v>
      </c>
      <c r="B155" s="8" t="s">
        <v>693</v>
      </c>
      <c r="C155" s="9">
        <f>LEN(B155)</f>
        <v>12</v>
      </c>
      <c r="D155" s="8" t="s">
        <v>60</v>
      </c>
      <c r="E155" s="8" t="str">
        <f>_xlfn.CONCAT(B155,"(",A155,")"," - ",D155)</f>
        <v>Arjun Chopra(E1072) - HR</v>
      </c>
      <c r="F155" s="9" t="str">
        <f>LEFT(E155,FIND("-",E155))</f>
        <v>Arjun Chopra(E1072) -</v>
      </c>
      <c r="G155" s="9" t="str">
        <f>RIGHT(E155,LEN(E155)-FIND("-",E155)-1)</f>
        <v>HR</v>
      </c>
      <c r="H155" s="9">
        <f>FIND("-",E155)</f>
        <v>21</v>
      </c>
      <c r="I155" s="9">
        <f>LEN(E155)-FIND("-",E155)</f>
        <v>3</v>
      </c>
      <c r="J155" s="8" t="s">
        <v>61</v>
      </c>
      <c r="K155" s="9" t="str">
        <f>SUBSTITUTE(J155,"a","@",1)</f>
        <v>Chenn@i</v>
      </c>
      <c r="L155" s="8" t="s">
        <v>694</v>
      </c>
      <c r="M155" s="8" t="str">
        <f>TEXT(L155,"dddd")</f>
        <v>Saturday</v>
      </c>
      <c r="N155" s="8" t="str">
        <f>LEFT(M155,3)</f>
        <v>Sat</v>
      </c>
      <c r="O155" s="8" t="str">
        <f>RIGHT(M155,3)</f>
        <v>day</v>
      </c>
      <c r="P155" s="8">
        <f>MONTH(L155)</f>
        <v>6</v>
      </c>
      <c r="Q155" s="8">
        <f>YEAR(L155)</f>
        <v>2024</v>
      </c>
      <c r="R155" s="8" t="s">
        <v>695</v>
      </c>
      <c r="S155" s="8">
        <f>HOUR(R155)</f>
        <v>10</v>
      </c>
      <c r="T155" s="8">
        <f>MINUTE(R155)</f>
        <v>49</v>
      </c>
      <c r="U155" s="8">
        <f>SECOND(R155)</f>
        <v>30</v>
      </c>
      <c r="V155" s="8">
        <v>84010</v>
      </c>
      <c r="W155" s="8">
        <v>70465</v>
      </c>
      <c r="X155" s="9" t="str">
        <f>IF(W155&gt;50000,"Highe Target","Low Target")</f>
        <v>Highe Target</v>
      </c>
      <c r="Y155" s="9" t="str">
        <f t="shared" si="2"/>
        <v>Highe target</v>
      </c>
      <c r="Z155" s="9" t="str" cm="1">
        <f t="array" ref="Z155">_xlfn.IFS(W155&lt;60000,"LOWERTarget",W155&lt;80000,"Medium Target",W155,"Highe Target")</f>
        <v>Medium Target</v>
      </c>
      <c r="AA155" s="8" t="s">
        <v>243</v>
      </c>
      <c r="AB155" s="5" t="str">
        <f>UPPER(AA155)</f>
        <v>POSITIVE ATTITUDE</v>
      </c>
      <c r="AC155" s="5" t="str">
        <f>LOWER(AA155)</f>
        <v>positive attitude</v>
      </c>
      <c r="AD155" s="5" t="str">
        <f>PROPER(AA155)</f>
        <v>Positive Attitude</v>
      </c>
      <c r="AF155" s="6"/>
    </row>
    <row r="156" ht="14.25" customHeight="1" spans="1:32">
      <c r="A156" s="8" t="s">
        <v>696</v>
      </c>
      <c r="B156" s="8" t="s">
        <v>697</v>
      </c>
      <c r="C156" s="9">
        <f>LEN(B156)</f>
        <v>14</v>
      </c>
      <c r="D156" s="8" t="s">
        <v>60</v>
      </c>
      <c r="E156" s="8" t="str">
        <f>_xlfn.CONCAT(B156,"(",A156,")"," - ",D156)</f>
        <v>Siddharth Iyer(E1177) - HR</v>
      </c>
      <c r="F156" s="9" t="str">
        <f>LEFT(E156,FIND("-",E156))</f>
        <v>Siddharth Iyer(E1177) -</v>
      </c>
      <c r="G156" s="9" t="str">
        <f>RIGHT(E156,LEN(E156)-FIND("-",E156)-1)</f>
        <v>HR</v>
      </c>
      <c r="H156" s="9">
        <f>FIND("-",E156)</f>
        <v>23</v>
      </c>
      <c r="I156" s="9">
        <f>LEN(E156)-FIND("-",E156)</f>
        <v>3</v>
      </c>
      <c r="J156" s="8" t="s">
        <v>53</v>
      </c>
      <c r="K156" s="9" t="str">
        <f>SUBSTITUTE(J156,"a","@",1)</f>
        <v>Delhi</v>
      </c>
      <c r="L156" s="8" t="s">
        <v>698</v>
      </c>
      <c r="M156" s="8" t="str">
        <f>TEXT(L156,"dddd")</f>
        <v>Saturday</v>
      </c>
      <c r="N156" s="8" t="str">
        <f>LEFT(M156,3)</f>
        <v>Sat</v>
      </c>
      <c r="O156" s="8" t="str">
        <f>RIGHT(M156,3)</f>
        <v>day</v>
      </c>
      <c r="P156" s="8">
        <f>MONTH(L156)</f>
        <v>3</v>
      </c>
      <c r="Q156" s="8">
        <f>YEAR(L156)</f>
        <v>2021</v>
      </c>
      <c r="R156" s="8" t="s">
        <v>699</v>
      </c>
      <c r="S156" s="8">
        <f>HOUR(R156)</f>
        <v>9</v>
      </c>
      <c r="T156" s="8">
        <f>MINUTE(R156)</f>
        <v>58</v>
      </c>
      <c r="U156" s="8">
        <f>SECOND(R156)</f>
        <v>53</v>
      </c>
      <c r="V156" s="8">
        <v>65057</v>
      </c>
      <c r="W156" s="8">
        <v>70962</v>
      </c>
      <c r="X156" s="9" t="str">
        <f>IF(W156&gt;50000,"Highe Target","Low Target")</f>
        <v>Highe Target</v>
      </c>
      <c r="Y156" s="9" t="str">
        <f t="shared" si="2"/>
        <v>Highe target</v>
      </c>
      <c r="Z156" s="9" t="str" cm="1">
        <f t="array" ref="Z156">_xlfn.IFS(W156&lt;60000,"LOWERTarget",W156&lt;80000,"Medium Target",W156,"Highe Target")</f>
        <v>Medium Target</v>
      </c>
      <c r="AA156" s="8" t="s">
        <v>118</v>
      </c>
      <c r="AB156" s="5" t="str">
        <f>UPPER(AA156)</f>
        <v>CUSTOMER FOCUSED</v>
      </c>
      <c r="AC156" s="5" t="str">
        <f>LOWER(AA156)</f>
        <v>customer focused</v>
      </c>
      <c r="AD156" s="5" t="str">
        <f>PROPER(AA156)</f>
        <v>Customer Focused</v>
      </c>
      <c r="AF156" s="6"/>
    </row>
    <row r="157" ht="14.25" customHeight="1" spans="1:32">
      <c r="A157" s="8" t="s">
        <v>700</v>
      </c>
      <c r="B157" s="8" t="s">
        <v>701</v>
      </c>
      <c r="C157" s="9">
        <f>LEN(B157)</f>
        <v>12</v>
      </c>
      <c r="D157" s="8" t="s">
        <v>44</v>
      </c>
      <c r="E157" s="8" t="str">
        <f>_xlfn.CONCAT(B157,"(",A157,")"," - ",D157)</f>
        <v>Pooja Mishra(E1105) - Marketing</v>
      </c>
      <c r="F157" s="9" t="str">
        <f>LEFT(E157,FIND("-",E157))</f>
        <v>Pooja Mishra(E1105) -</v>
      </c>
      <c r="G157" s="9" t="str">
        <f>RIGHT(E157,LEN(E157)-FIND("-",E157)-1)</f>
        <v>Marketing</v>
      </c>
      <c r="H157" s="9">
        <f>FIND("-",E157)</f>
        <v>21</v>
      </c>
      <c r="I157" s="9">
        <f>LEN(E157)-FIND("-",E157)</f>
        <v>10</v>
      </c>
      <c r="J157" s="8" t="s">
        <v>45</v>
      </c>
      <c r="K157" s="9" t="str">
        <f>SUBSTITUTE(J157,"a","@",1)</f>
        <v>B@ngalore</v>
      </c>
      <c r="L157" s="8" t="s">
        <v>702</v>
      </c>
      <c r="M157" s="8" t="str">
        <f>TEXT(L157,"dddd")</f>
        <v>Saturday</v>
      </c>
      <c r="N157" s="8" t="str">
        <f>LEFT(M157,3)</f>
        <v>Sat</v>
      </c>
      <c r="O157" s="8" t="str">
        <f>RIGHT(M157,3)</f>
        <v>day</v>
      </c>
      <c r="P157" s="8">
        <f>MONTH(L157)</f>
        <v>4</v>
      </c>
      <c r="Q157" s="8">
        <f>YEAR(L157)</f>
        <v>2023</v>
      </c>
      <c r="R157" s="8" t="s">
        <v>703</v>
      </c>
      <c r="S157" s="8">
        <f>HOUR(R157)</f>
        <v>8</v>
      </c>
      <c r="T157" s="8">
        <f>MINUTE(R157)</f>
        <v>20</v>
      </c>
      <c r="U157" s="8">
        <f>SECOND(R157)</f>
        <v>47</v>
      </c>
      <c r="V157" s="8">
        <v>80980</v>
      </c>
      <c r="W157" s="8">
        <v>70996</v>
      </c>
      <c r="X157" s="9" t="str">
        <f>IF(W157&gt;50000,"Highe Target","Low Target")</f>
        <v>Highe Target</v>
      </c>
      <c r="Y157" s="9" t="str">
        <f t="shared" si="2"/>
        <v>Highe target</v>
      </c>
      <c r="Z157" s="9" t="str" cm="1">
        <f t="array" ref="Z157">_xlfn.IFS(W157&lt;60000,"LOWERTarget",W157&lt;80000,"Medium Target",W157,"Highe Target")</f>
        <v>Medium Target</v>
      </c>
      <c r="AA157" s="8" t="s">
        <v>39</v>
      </c>
      <c r="AB157" s="5" t="str">
        <f>UPPER(AA157)</f>
        <v>DETAILED ANALYSIS</v>
      </c>
      <c r="AC157" s="5" t="str">
        <f>LOWER(AA157)</f>
        <v>detailed analysis</v>
      </c>
      <c r="AD157" s="5" t="str">
        <f>PROPER(AA157)</f>
        <v>Detailed Analysis</v>
      </c>
      <c r="AF157" s="6"/>
    </row>
    <row r="158" ht="14.25" customHeight="1" spans="1:32">
      <c r="A158" s="8" t="s">
        <v>704</v>
      </c>
      <c r="B158" s="8" t="s">
        <v>705</v>
      </c>
      <c r="C158" s="9">
        <f>LEN(B158)</f>
        <v>9</v>
      </c>
      <c r="D158" s="8" t="s">
        <v>60</v>
      </c>
      <c r="E158" s="8" t="str">
        <f>_xlfn.CONCAT(B158,"(",A158,")"," - ",D158)</f>
        <v>Amit Nair(E1066) - HR</v>
      </c>
      <c r="F158" s="9" t="str">
        <f>LEFT(E158,FIND("-",E158))</f>
        <v>Amit Nair(E1066) -</v>
      </c>
      <c r="G158" s="9" t="str">
        <f>RIGHT(E158,LEN(E158)-FIND("-",E158)-1)</f>
        <v>HR</v>
      </c>
      <c r="H158" s="9">
        <f>FIND("-",E158)</f>
        <v>18</v>
      </c>
      <c r="I158" s="9">
        <f>LEN(E158)-FIND("-",E158)</f>
        <v>3</v>
      </c>
      <c r="J158" s="8" t="s">
        <v>153</v>
      </c>
      <c r="K158" s="9" t="str">
        <f>SUBSTITUTE(J158,"a","@",1)</f>
        <v>Mumb@i</v>
      </c>
      <c r="L158" s="8" t="s">
        <v>706</v>
      </c>
      <c r="M158" s="8" t="str">
        <f>TEXT(L158,"dddd")</f>
        <v>Wednesday</v>
      </c>
      <c r="N158" s="8" t="str">
        <f>LEFT(M158,3)</f>
        <v>Wed</v>
      </c>
      <c r="O158" s="8" t="str">
        <f>RIGHT(M158,3)</f>
        <v>day</v>
      </c>
      <c r="P158" s="8">
        <f>MONTH(L158)</f>
        <v>6</v>
      </c>
      <c r="Q158" s="8">
        <f>YEAR(L158)</f>
        <v>2024</v>
      </c>
      <c r="R158" s="8" t="s">
        <v>707</v>
      </c>
      <c r="S158" s="8">
        <f>HOUR(R158)</f>
        <v>8</v>
      </c>
      <c r="T158" s="8">
        <f>MINUTE(R158)</f>
        <v>15</v>
      </c>
      <c r="U158" s="8">
        <f>SECOND(R158)</f>
        <v>8</v>
      </c>
      <c r="V158" s="8">
        <v>63531</v>
      </c>
      <c r="W158" s="8">
        <v>71035</v>
      </c>
      <c r="X158" s="9" t="str">
        <f>IF(W158&gt;50000,"Highe Target","Low Target")</f>
        <v>Highe Target</v>
      </c>
      <c r="Y158" s="9" t="str">
        <f t="shared" si="2"/>
        <v>Highe target</v>
      </c>
      <c r="Z158" s="9" t="str" cm="1">
        <f t="array" ref="Z158">_xlfn.IFS(W158&lt;60000,"LOWERTarget",W158&lt;80000,"Medium Target",W158,"Highe Target")</f>
        <v>Medium Target</v>
      </c>
      <c r="AA158" s="8" t="s">
        <v>79</v>
      </c>
      <c r="AB158" s="5" t="str">
        <f>UPPER(AA158)</f>
        <v>EXCELLENT LEADERSHIP</v>
      </c>
      <c r="AC158" s="5" t="str">
        <f>LOWER(AA158)</f>
        <v>excellent leadership</v>
      </c>
      <c r="AD158" s="5" t="str">
        <f>PROPER(AA158)</f>
        <v>Excellent Leadership</v>
      </c>
      <c r="AF158" s="6"/>
    </row>
    <row r="159" ht="14.25" customHeight="1" spans="1:32">
      <c r="A159" s="8" t="s">
        <v>708</v>
      </c>
      <c r="B159" s="8" t="s">
        <v>135</v>
      </c>
      <c r="C159" s="9">
        <f>LEN(B159)</f>
        <v>12</v>
      </c>
      <c r="D159" s="8" t="s">
        <v>93</v>
      </c>
      <c r="E159" s="8" t="str">
        <f>_xlfn.CONCAT(B159,"(",A159,")"," - ",D159)</f>
        <v>Aakash Patel(E1218) - Sales</v>
      </c>
      <c r="F159" s="9" t="str">
        <f>LEFT(E159,FIND("-",E159))</f>
        <v>Aakash Patel(E1218) -</v>
      </c>
      <c r="G159" s="9" t="str">
        <f>RIGHT(E159,LEN(E159)-FIND("-",E159)-1)</f>
        <v>Sales</v>
      </c>
      <c r="H159" s="9">
        <f>FIND("-",E159)</f>
        <v>21</v>
      </c>
      <c r="I159" s="9">
        <f>LEN(E159)-FIND("-",E159)</f>
        <v>6</v>
      </c>
      <c r="J159" s="8" t="s">
        <v>153</v>
      </c>
      <c r="K159" s="9" t="str">
        <f>SUBSTITUTE(J159,"a","@",1)</f>
        <v>Mumb@i</v>
      </c>
      <c r="L159" s="8" t="s">
        <v>709</v>
      </c>
      <c r="M159" s="8" t="str">
        <f>TEXT(L159,"dddd")</f>
        <v>Friday</v>
      </c>
      <c r="N159" s="8" t="str">
        <f>LEFT(M159,3)</f>
        <v>Fri</v>
      </c>
      <c r="O159" s="8" t="str">
        <f>RIGHT(M159,3)</f>
        <v>day</v>
      </c>
      <c r="P159" s="8">
        <f>MONTH(L159)</f>
        <v>10</v>
      </c>
      <c r="Q159" s="8">
        <f>YEAR(L159)</f>
        <v>2021</v>
      </c>
      <c r="R159" s="8" t="s">
        <v>710</v>
      </c>
      <c r="S159" s="8">
        <f>HOUR(R159)</f>
        <v>10</v>
      </c>
      <c r="T159" s="8">
        <f>MINUTE(R159)</f>
        <v>21</v>
      </c>
      <c r="U159" s="8">
        <f>SECOND(R159)</f>
        <v>51</v>
      </c>
      <c r="V159" s="8">
        <v>90081</v>
      </c>
      <c r="W159" s="8">
        <v>71047</v>
      </c>
      <c r="X159" s="9" t="str">
        <f>IF(W159&gt;50000,"Highe Target","Low Target")</f>
        <v>Highe Target</v>
      </c>
      <c r="Y159" s="9" t="str">
        <f t="shared" si="2"/>
        <v>Highe target</v>
      </c>
      <c r="Z159" s="9" t="str" cm="1">
        <f t="array" ref="Z159">_xlfn.IFS(W159&lt;60000,"LOWERTarget",W159&lt;80000,"Medium Target",W159,"Highe Target")</f>
        <v>Medium Target</v>
      </c>
      <c r="AA159" s="8" t="s">
        <v>179</v>
      </c>
      <c r="AB159" s="5" t="str">
        <f>UPPER(AA159)</f>
        <v>HELPFUL ATTITUDE</v>
      </c>
      <c r="AC159" s="5" t="str">
        <f>LOWER(AA159)</f>
        <v>helpful attitude</v>
      </c>
      <c r="AD159" s="5" t="str">
        <f>PROPER(AA159)</f>
        <v>Helpful Attitude</v>
      </c>
      <c r="AF159" s="6"/>
    </row>
    <row r="160" ht="14.25" customHeight="1" spans="1:32">
      <c r="A160" s="8" t="s">
        <v>711</v>
      </c>
      <c r="B160" s="8" t="s">
        <v>712</v>
      </c>
      <c r="C160" s="9">
        <f>LEN(B160)</f>
        <v>11</v>
      </c>
      <c r="D160" s="8" t="s">
        <v>93</v>
      </c>
      <c r="E160" s="8" t="str">
        <f>_xlfn.CONCAT(B160,"(",A160,")"," - ",D160)</f>
        <v>Nidhi Verma(E1274) - Sales</v>
      </c>
      <c r="F160" s="9" t="str">
        <f>LEFT(E160,FIND("-",E160))</f>
        <v>Nidhi Verma(E1274) -</v>
      </c>
      <c r="G160" s="9" t="str">
        <f>RIGHT(E160,LEN(E160)-FIND("-",E160)-1)</f>
        <v>Sales</v>
      </c>
      <c r="H160" s="9">
        <f>FIND("-",E160)</f>
        <v>20</v>
      </c>
      <c r="I160" s="9">
        <f>LEN(E160)-FIND("-",E160)</f>
        <v>6</v>
      </c>
      <c r="J160" s="8" t="s">
        <v>76</v>
      </c>
      <c r="K160" s="9" t="str">
        <f>SUBSTITUTE(J160,"a","@",1)</f>
        <v>Pune</v>
      </c>
      <c r="L160" s="8" t="s">
        <v>713</v>
      </c>
      <c r="M160" s="8" t="str">
        <f>TEXT(L160,"dddd")</f>
        <v>Tuesday</v>
      </c>
      <c r="N160" s="8" t="str">
        <f>LEFT(M160,3)</f>
        <v>Tue</v>
      </c>
      <c r="O160" s="8" t="str">
        <f>RIGHT(M160,3)</f>
        <v>day</v>
      </c>
      <c r="P160" s="8">
        <f>MONTH(L160)</f>
        <v>4</v>
      </c>
      <c r="Q160" s="8">
        <f>YEAR(L160)</f>
        <v>2023</v>
      </c>
      <c r="R160" s="8" t="s">
        <v>714</v>
      </c>
      <c r="S160" s="8">
        <f>HOUR(R160)</f>
        <v>9</v>
      </c>
      <c r="T160" s="8">
        <f>MINUTE(R160)</f>
        <v>24</v>
      </c>
      <c r="U160" s="8">
        <f>SECOND(R160)</f>
        <v>35</v>
      </c>
      <c r="V160" s="8">
        <v>59872</v>
      </c>
      <c r="W160" s="8">
        <v>71195</v>
      </c>
      <c r="X160" s="9" t="str">
        <f>IF(W160&gt;50000,"Highe Target","Low Target")</f>
        <v>Highe Target</v>
      </c>
      <c r="Y160" s="9" t="str">
        <f t="shared" si="2"/>
        <v>Highe target</v>
      </c>
      <c r="Z160" s="9" t="str" cm="1">
        <f t="array" ref="Z160">_xlfn.IFS(W160&lt;60000,"LOWERTarget",W160&lt;80000,"Medium Target",W160,"Highe Target")</f>
        <v>Medium Target</v>
      </c>
      <c r="AA160" s="8" t="s">
        <v>138</v>
      </c>
      <c r="AB160" s="5" t="str">
        <f>UPPER(AA160)</f>
        <v>GOOD TEAMWORK</v>
      </c>
      <c r="AC160" s="5" t="str">
        <f>LOWER(AA160)</f>
        <v>good teamwork</v>
      </c>
      <c r="AD160" s="5" t="str">
        <f>PROPER(AA160)</f>
        <v>Good Teamwork</v>
      </c>
      <c r="AF160" s="6"/>
    </row>
    <row r="161" ht="14.25" customHeight="1" spans="1:32">
      <c r="A161" s="8" t="s">
        <v>715</v>
      </c>
      <c r="B161" s="8" t="s">
        <v>716</v>
      </c>
      <c r="C161" s="9">
        <f>LEN(B161)</f>
        <v>12</v>
      </c>
      <c r="D161" s="8" t="s">
        <v>93</v>
      </c>
      <c r="E161" s="8" t="str">
        <f>_xlfn.CONCAT(B161,"(",A161,")"," - ",D161)</f>
        <v>Kavita Kumar(E1287) - Sales</v>
      </c>
      <c r="F161" s="9" t="str">
        <f>LEFT(E161,FIND("-",E161))</f>
        <v>Kavita Kumar(E1287) -</v>
      </c>
      <c r="G161" s="9" t="str">
        <f>RIGHT(E161,LEN(E161)-FIND("-",E161)-1)</f>
        <v>Sales</v>
      </c>
      <c r="H161" s="9">
        <f>FIND("-",E161)</f>
        <v>21</v>
      </c>
      <c r="I161" s="9">
        <f>LEN(E161)-FIND("-",E161)</f>
        <v>6</v>
      </c>
      <c r="J161" s="8" t="s">
        <v>53</v>
      </c>
      <c r="K161" s="9" t="str">
        <f>SUBSTITUTE(J161,"a","@",1)</f>
        <v>Delhi</v>
      </c>
      <c r="L161" s="8" t="s">
        <v>717</v>
      </c>
      <c r="M161" s="8" t="str">
        <f>TEXT(L161,"dddd")</f>
        <v>Saturday</v>
      </c>
      <c r="N161" s="8" t="str">
        <f>LEFT(M161,3)</f>
        <v>Sat</v>
      </c>
      <c r="O161" s="8" t="str">
        <f>RIGHT(M161,3)</f>
        <v>day</v>
      </c>
      <c r="P161" s="8">
        <f>MONTH(L161)</f>
        <v>6</v>
      </c>
      <c r="Q161" s="8">
        <f>YEAR(L161)</f>
        <v>2023</v>
      </c>
      <c r="R161" s="8" t="s">
        <v>718</v>
      </c>
      <c r="S161" s="8">
        <f>HOUR(R161)</f>
        <v>9</v>
      </c>
      <c r="T161" s="8">
        <f>MINUTE(R161)</f>
        <v>26</v>
      </c>
      <c r="U161" s="8">
        <f>SECOND(R161)</f>
        <v>19</v>
      </c>
      <c r="V161" s="8">
        <v>61775</v>
      </c>
      <c r="W161" s="8">
        <v>71734</v>
      </c>
      <c r="X161" s="9" t="str">
        <f>IF(W161&gt;50000,"Highe Target","Low Target")</f>
        <v>Highe Target</v>
      </c>
      <c r="Y161" s="9" t="str">
        <f t="shared" si="2"/>
        <v>Highe target</v>
      </c>
      <c r="Z161" s="9" t="str" cm="1">
        <f t="array" ref="Z161">_xlfn.IFS(W161&lt;60000,"LOWERTarget",W161&lt;80000,"Medium Target",W161,"Highe Target")</f>
        <v>Medium Target</v>
      </c>
      <c r="AA161" s="8" t="s">
        <v>220</v>
      </c>
      <c r="AB161" s="5" t="str">
        <f>UPPER(AA161)</f>
        <v>   CREATIVE IDEAS   </v>
      </c>
      <c r="AC161" s="5" t="str">
        <f>LOWER(AA161)</f>
        <v>   creative ideas   </v>
      </c>
      <c r="AD161" s="5" t="str">
        <f>PROPER(AA161)</f>
        <v>   Creative Ideas   </v>
      </c>
      <c r="AF161" s="6"/>
    </row>
    <row r="162" ht="14.25" customHeight="1" spans="1:32">
      <c r="A162" s="8" t="s">
        <v>719</v>
      </c>
      <c r="B162" s="8" t="s">
        <v>720</v>
      </c>
      <c r="C162" s="9">
        <f>LEN(B162)</f>
        <v>12</v>
      </c>
      <c r="D162" s="8" t="s">
        <v>35</v>
      </c>
      <c r="E162" s="8" t="str">
        <f>_xlfn.CONCAT(B162,"(",A162,")"," - ",D162)</f>
        <v>Aditya Patel(E1022) - Finance</v>
      </c>
      <c r="F162" s="9" t="str">
        <f>LEFT(E162,FIND("-",E162))</f>
        <v>Aditya Patel(E1022) -</v>
      </c>
      <c r="G162" s="9" t="str">
        <f>RIGHT(E162,LEN(E162)-FIND("-",E162)-1)</f>
        <v>Finance</v>
      </c>
      <c r="H162" s="9">
        <f>FIND("-",E162)</f>
        <v>21</v>
      </c>
      <c r="I162" s="9">
        <f>LEN(E162)-FIND("-",E162)</f>
        <v>8</v>
      </c>
      <c r="J162" s="8" t="s">
        <v>76</v>
      </c>
      <c r="K162" s="9" t="str">
        <f>SUBSTITUTE(J162,"a","@",1)</f>
        <v>Pune</v>
      </c>
      <c r="L162" s="8" t="s">
        <v>721</v>
      </c>
      <c r="M162" s="8" t="str">
        <f>TEXT(L162,"dddd")</f>
        <v>Sunday</v>
      </c>
      <c r="N162" s="8" t="str">
        <f>LEFT(M162,3)</f>
        <v>Sun</v>
      </c>
      <c r="O162" s="8" t="str">
        <f>RIGHT(M162,3)</f>
        <v>day</v>
      </c>
      <c r="P162" s="8">
        <f>MONTH(L162)</f>
        <v>11</v>
      </c>
      <c r="Q162" s="8">
        <f>YEAR(L162)</f>
        <v>2023</v>
      </c>
      <c r="R162" s="8" t="s">
        <v>722</v>
      </c>
      <c r="S162" s="8">
        <f>HOUR(R162)</f>
        <v>8</v>
      </c>
      <c r="T162" s="8">
        <f>MINUTE(R162)</f>
        <v>17</v>
      </c>
      <c r="U162" s="8">
        <f>SECOND(R162)</f>
        <v>42</v>
      </c>
      <c r="V162" s="8">
        <v>70852</v>
      </c>
      <c r="W162" s="8">
        <v>71812</v>
      </c>
      <c r="X162" s="9" t="str">
        <f>IF(W162&gt;50000,"Highe Target","Low Target")</f>
        <v>Highe Target</v>
      </c>
      <c r="Y162" s="9" t="str">
        <f t="shared" si="2"/>
        <v>Highe target</v>
      </c>
      <c r="Z162" s="9" t="str" cm="1">
        <f t="array" ref="Z162">_xlfn.IFS(W162&lt;60000,"LOWERTarget",W162&lt;80000,"Medium Target",W162,"Highe Target")</f>
        <v>Medium Target</v>
      </c>
      <c r="AA162" s="8" t="s">
        <v>229</v>
      </c>
      <c r="AB162" s="5" t="str">
        <f>UPPER(AA162)</f>
        <v>STRONG PRESENTATION</v>
      </c>
      <c r="AC162" s="5" t="str">
        <f>LOWER(AA162)</f>
        <v>strong presentation</v>
      </c>
      <c r="AD162" s="5" t="str">
        <f>PROPER(AA162)</f>
        <v>Strong Presentation</v>
      </c>
      <c r="AF162" s="6"/>
    </row>
    <row r="163" ht="14.25" customHeight="1" spans="1:32">
      <c r="A163" s="8" t="s">
        <v>723</v>
      </c>
      <c r="B163" s="8" t="s">
        <v>724</v>
      </c>
      <c r="C163" s="9">
        <f>LEN(B163)</f>
        <v>12</v>
      </c>
      <c r="D163" s="8" t="s">
        <v>44</v>
      </c>
      <c r="E163" s="8" t="str">
        <f>_xlfn.CONCAT(B163,"(",A163,")"," - ",D163)</f>
        <v>Rohan Saxena(E1244) - Marketing</v>
      </c>
      <c r="F163" s="9" t="str">
        <f>LEFT(E163,FIND("-",E163))</f>
        <v>Rohan Saxena(E1244) -</v>
      </c>
      <c r="G163" s="9" t="str">
        <f>RIGHT(E163,LEN(E163)-FIND("-",E163)-1)</f>
        <v>Marketing</v>
      </c>
      <c r="H163" s="9">
        <f>FIND("-",E163)</f>
        <v>21</v>
      </c>
      <c r="I163" s="9">
        <f>LEN(E163)-FIND("-",E163)</f>
        <v>10</v>
      </c>
      <c r="J163" s="8" t="s">
        <v>76</v>
      </c>
      <c r="K163" s="9" t="str">
        <f>SUBSTITUTE(J163,"a","@",1)</f>
        <v>Pune</v>
      </c>
      <c r="L163" s="8" t="s">
        <v>207</v>
      </c>
      <c r="M163" s="8" t="str">
        <f>TEXT(L163,"dddd")</f>
        <v>Friday</v>
      </c>
      <c r="N163" s="8" t="str">
        <f>LEFT(M163,3)</f>
        <v>Fri</v>
      </c>
      <c r="O163" s="8" t="str">
        <f>RIGHT(M163,3)</f>
        <v>day</v>
      </c>
      <c r="P163" s="8">
        <f>MONTH(L163)</f>
        <v>10</v>
      </c>
      <c r="Q163" s="8">
        <f>YEAR(L163)</f>
        <v>2024</v>
      </c>
      <c r="R163" s="8" t="s">
        <v>725</v>
      </c>
      <c r="S163" s="8">
        <f>HOUR(R163)</f>
        <v>8</v>
      </c>
      <c r="T163" s="8">
        <f>MINUTE(R163)</f>
        <v>45</v>
      </c>
      <c r="U163" s="8">
        <f>SECOND(R163)</f>
        <v>37</v>
      </c>
      <c r="V163" s="8">
        <v>62994</v>
      </c>
      <c r="W163" s="8">
        <v>72035</v>
      </c>
      <c r="X163" s="9" t="str">
        <f>IF(W163&gt;50000,"Highe Target","Low Target")</f>
        <v>Highe Target</v>
      </c>
      <c r="Y163" s="9" t="str">
        <f t="shared" si="2"/>
        <v>Highe target</v>
      </c>
      <c r="Z163" s="9" t="str" cm="1">
        <f t="array" ref="Z163">_xlfn.IFS(W163&lt;60000,"LOWERTarget",W163&lt;80000,"Medium Target",W163,"Highe Target")</f>
        <v>Medium Target</v>
      </c>
      <c r="AA163" s="8" t="s">
        <v>71</v>
      </c>
      <c r="AB163" s="5" t="str">
        <f>UPPER(AA163)</f>
        <v>GREAT SUPPORT</v>
      </c>
      <c r="AC163" s="5" t="str">
        <f>LOWER(AA163)</f>
        <v>great support</v>
      </c>
      <c r="AD163" s="5" t="str">
        <f>PROPER(AA163)</f>
        <v>Great Support</v>
      </c>
      <c r="AF163" s="6"/>
    </row>
    <row r="164" ht="14.25" customHeight="1" spans="1:32">
      <c r="A164" s="8" t="s">
        <v>726</v>
      </c>
      <c r="B164" s="8" t="s">
        <v>210</v>
      </c>
      <c r="C164" s="9">
        <f>LEN(B164)</f>
        <v>11</v>
      </c>
      <c r="D164" s="8" t="s">
        <v>44</v>
      </c>
      <c r="E164" s="8" t="str">
        <f>_xlfn.CONCAT(B164,"(",A164,")"," - ",D164)</f>
        <v>Meera Goyal(E1126) - Marketing</v>
      </c>
      <c r="F164" s="9" t="str">
        <f>LEFT(E164,FIND("-",E164))</f>
        <v>Meera Goyal(E1126) -</v>
      </c>
      <c r="G164" s="9" t="str">
        <f>RIGHT(E164,LEN(E164)-FIND("-",E164)-1)</f>
        <v>Marketing</v>
      </c>
      <c r="H164" s="9">
        <f>FIND("-",E164)</f>
        <v>20</v>
      </c>
      <c r="I164" s="9">
        <f>LEN(E164)-FIND("-",E164)</f>
        <v>10</v>
      </c>
      <c r="J164" s="8" t="s">
        <v>53</v>
      </c>
      <c r="K164" s="9" t="str">
        <f>SUBSTITUTE(J164,"a","@",1)</f>
        <v>Delhi</v>
      </c>
      <c r="L164" s="8" t="s">
        <v>727</v>
      </c>
      <c r="M164" s="8" t="str">
        <f>TEXT(L164,"dddd")</f>
        <v>Sunday</v>
      </c>
      <c r="N164" s="8" t="str">
        <f>LEFT(M164,3)</f>
        <v>Sun</v>
      </c>
      <c r="O164" s="8" t="str">
        <f>RIGHT(M164,3)</f>
        <v>day</v>
      </c>
      <c r="P164" s="8">
        <f>MONTH(L164)</f>
        <v>4</v>
      </c>
      <c r="Q164" s="8">
        <f>YEAR(L164)</f>
        <v>2023</v>
      </c>
      <c r="R164" s="8" t="s">
        <v>728</v>
      </c>
      <c r="S164" s="8">
        <f>HOUR(R164)</f>
        <v>10</v>
      </c>
      <c r="T164" s="8">
        <f>MINUTE(R164)</f>
        <v>6</v>
      </c>
      <c r="U164" s="8">
        <f>SECOND(R164)</f>
        <v>53</v>
      </c>
      <c r="V164" s="8">
        <v>83815</v>
      </c>
      <c r="W164" s="8">
        <v>72069</v>
      </c>
      <c r="X164" s="9" t="str">
        <f>IF(W164&gt;50000,"Highe Target","Low Target")</f>
        <v>Highe Target</v>
      </c>
      <c r="Y164" s="9" t="str">
        <f t="shared" si="2"/>
        <v>Highe target</v>
      </c>
      <c r="Z164" s="9" t="str" cm="1">
        <f t="array" ref="Z164">_xlfn.IFS(W164&lt;60000,"LOWERTarget",W164&lt;80000,"Medium Target",W164,"Highe Target")</f>
        <v>Medium Target</v>
      </c>
      <c r="AA164" s="8" t="s">
        <v>64</v>
      </c>
      <c r="AB164" s="5" t="str">
        <f>UPPER(AA164)</f>
        <v>NEEDS IMPROVEMENT</v>
      </c>
      <c r="AC164" s="5" t="str">
        <f>LOWER(AA164)</f>
        <v>needs improvement</v>
      </c>
      <c r="AD164" s="5" t="str">
        <f>PROPER(AA164)</f>
        <v>Needs Improvement</v>
      </c>
      <c r="AF164" s="6"/>
    </row>
    <row r="165" ht="14.25" customHeight="1" spans="1:32">
      <c r="A165" s="8" t="s">
        <v>729</v>
      </c>
      <c r="B165" s="8" t="s">
        <v>730</v>
      </c>
      <c r="C165" s="9">
        <f>LEN(B165)</f>
        <v>13</v>
      </c>
      <c r="D165" s="8" t="s">
        <v>44</v>
      </c>
      <c r="E165" s="8" t="str">
        <f>_xlfn.CONCAT(B165,"(",A165,")"," - ",D165)</f>
        <v>Aditya Bansal(E1188) - Marketing</v>
      </c>
      <c r="F165" s="9" t="str">
        <f>LEFT(E165,FIND("-",E165))</f>
        <v>Aditya Bansal(E1188) -</v>
      </c>
      <c r="G165" s="9" t="str">
        <f>RIGHT(E165,LEN(E165)-FIND("-",E165)-1)</f>
        <v>Marketing</v>
      </c>
      <c r="H165" s="9">
        <f>FIND("-",E165)</f>
        <v>22</v>
      </c>
      <c r="I165" s="9">
        <f>LEN(E165)-FIND("-",E165)</f>
        <v>10</v>
      </c>
      <c r="J165" s="8" t="s">
        <v>182</v>
      </c>
      <c r="K165" s="9" t="str">
        <f>SUBSTITUTE(J165,"a","@",1)</f>
        <v>Kolk@ta</v>
      </c>
      <c r="L165" s="8" t="s">
        <v>731</v>
      </c>
      <c r="M165" s="8" t="str">
        <f>TEXT(L165,"dddd")</f>
        <v>Saturday</v>
      </c>
      <c r="N165" s="8" t="str">
        <f>LEFT(M165,3)</f>
        <v>Sat</v>
      </c>
      <c r="O165" s="8" t="str">
        <f>RIGHT(M165,3)</f>
        <v>day</v>
      </c>
      <c r="P165" s="8">
        <f>MONTH(L165)</f>
        <v>11</v>
      </c>
      <c r="Q165" s="8">
        <f>YEAR(L165)</f>
        <v>2022</v>
      </c>
      <c r="R165" s="8" t="s">
        <v>732</v>
      </c>
      <c r="S165" s="8">
        <f>HOUR(R165)</f>
        <v>8</v>
      </c>
      <c r="T165" s="8">
        <f>MINUTE(R165)</f>
        <v>31</v>
      </c>
      <c r="U165" s="8">
        <f>SECOND(R165)</f>
        <v>44</v>
      </c>
      <c r="V165" s="8">
        <v>81679</v>
      </c>
      <c r="W165" s="8">
        <v>72605</v>
      </c>
      <c r="X165" s="9" t="str">
        <f>IF(W165&gt;50000,"Highe Target","Low Target")</f>
        <v>Highe Target</v>
      </c>
      <c r="Y165" s="9" t="str">
        <f t="shared" si="2"/>
        <v>Highe target</v>
      </c>
      <c r="Z165" s="9" t="str" cm="1">
        <f t="array" ref="Z165">_xlfn.IFS(W165&lt;60000,"LOWERTarget",W165&lt;80000,"Medium Target",W165,"Highe Target")</f>
        <v>Medium Target</v>
      </c>
      <c r="AA165" s="8" t="s">
        <v>71</v>
      </c>
      <c r="AB165" s="5" t="str">
        <f>UPPER(AA165)</f>
        <v>GREAT SUPPORT</v>
      </c>
      <c r="AC165" s="5" t="str">
        <f>LOWER(AA165)</f>
        <v>great support</v>
      </c>
      <c r="AD165" s="5" t="str">
        <f>PROPER(AA165)</f>
        <v>Great Support</v>
      </c>
      <c r="AF165" s="6"/>
    </row>
    <row r="166" ht="14.25" customHeight="1" spans="1:32">
      <c r="A166" s="8" t="s">
        <v>733</v>
      </c>
      <c r="B166" s="8" t="s">
        <v>734</v>
      </c>
      <c r="C166" s="9">
        <f>LEN(B166)</f>
        <v>12</v>
      </c>
      <c r="D166" s="8" t="s">
        <v>35</v>
      </c>
      <c r="E166" s="8" t="str">
        <f>_xlfn.CONCAT(B166,"(",A166,")"," - ",D166)</f>
        <v>Rohan Mishra(E1212) - Finance</v>
      </c>
      <c r="F166" s="9" t="str">
        <f>LEFT(E166,FIND("-",E166))</f>
        <v>Rohan Mishra(E1212) -</v>
      </c>
      <c r="G166" s="9" t="str">
        <f>RIGHT(E166,LEN(E166)-FIND("-",E166)-1)</f>
        <v>Finance</v>
      </c>
      <c r="H166" s="9">
        <f>FIND("-",E166)</f>
        <v>21</v>
      </c>
      <c r="I166" s="9">
        <f>LEN(E166)-FIND("-",E166)</f>
        <v>8</v>
      </c>
      <c r="J166" s="8" t="s">
        <v>45</v>
      </c>
      <c r="K166" s="9" t="str">
        <f>SUBSTITUTE(J166,"a","@",1)</f>
        <v>B@ngalore</v>
      </c>
      <c r="L166" s="8" t="s">
        <v>735</v>
      </c>
      <c r="M166" s="8" t="str">
        <f>TEXT(L166,"dddd")</f>
        <v>Tuesday</v>
      </c>
      <c r="N166" s="8" t="str">
        <f>LEFT(M166,3)</f>
        <v>Tue</v>
      </c>
      <c r="O166" s="8" t="str">
        <f>RIGHT(M166,3)</f>
        <v>day</v>
      </c>
      <c r="P166" s="8">
        <f>MONTH(L166)</f>
        <v>11</v>
      </c>
      <c r="Q166" s="8">
        <f>YEAR(L166)</f>
        <v>2021</v>
      </c>
      <c r="R166" s="8" t="s">
        <v>736</v>
      </c>
      <c r="S166" s="8">
        <f>HOUR(R166)</f>
        <v>9</v>
      </c>
      <c r="T166" s="8">
        <f>MINUTE(R166)</f>
        <v>32</v>
      </c>
      <c r="U166" s="8">
        <f>SECOND(R166)</f>
        <v>29</v>
      </c>
      <c r="V166" s="8">
        <v>77906</v>
      </c>
      <c r="W166" s="8">
        <v>72686</v>
      </c>
      <c r="X166" s="9" t="str">
        <f>IF(W166&gt;50000,"Highe Target","Low Target")</f>
        <v>Highe Target</v>
      </c>
      <c r="Y166" s="9" t="str">
        <f t="shared" si="2"/>
        <v>Highe target</v>
      </c>
      <c r="Z166" s="9" t="str" cm="1">
        <f t="array" ref="Z166">_xlfn.IFS(W166&lt;60000,"LOWERTarget",W166&lt;80000,"Medium Target",W166,"Highe Target")</f>
        <v>Medium Target</v>
      </c>
      <c r="AA166" s="8" t="s">
        <v>179</v>
      </c>
      <c r="AB166" s="5" t="str">
        <f>UPPER(AA166)</f>
        <v>HELPFUL ATTITUDE</v>
      </c>
      <c r="AC166" s="5" t="str">
        <f>LOWER(AA166)</f>
        <v>helpful attitude</v>
      </c>
      <c r="AD166" s="5" t="str">
        <f>PROPER(AA166)</f>
        <v>Helpful Attitude</v>
      </c>
      <c r="AF166" s="6"/>
    </row>
    <row r="167" ht="14.25" customHeight="1" spans="1:32">
      <c r="A167" s="8" t="s">
        <v>737</v>
      </c>
      <c r="B167" s="8" t="s">
        <v>738</v>
      </c>
      <c r="C167" s="9">
        <f>LEN(B167)</f>
        <v>11</v>
      </c>
      <c r="D167" s="8" t="s">
        <v>35</v>
      </c>
      <c r="E167" s="8" t="str">
        <f>_xlfn.CONCAT(B167,"(",A167,")"," - ",D167)</f>
        <v>Arjun Mehta(E1266) - Finance</v>
      </c>
      <c r="F167" s="9" t="str">
        <f>LEFT(E167,FIND("-",E167))</f>
        <v>Arjun Mehta(E1266) -</v>
      </c>
      <c r="G167" s="9" t="str">
        <f>RIGHT(E167,LEN(E167)-FIND("-",E167)-1)</f>
        <v>Finance</v>
      </c>
      <c r="H167" s="9">
        <f>FIND("-",E167)</f>
        <v>20</v>
      </c>
      <c r="I167" s="9">
        <f>LEN(E167)-FIND("-",E167)</f>
        <v>8</v>
      </c>
      <c r="J167" s="8" t="s">
        <v>45</v>
      </c>
      <c r="K167" s="9" t="str">
        <f>SUBSTITUTE(J167,"a","@",1)</f>
        <v>B@ngalore</v>
      </c>
      <c r="L167" s="8" t="s">
        <v>739</v>
      </c>
      <c r="M167" s="8" t="str">
        <f>TEXT(L167,"dddd")</f>
        <v>Friday</v>
      </c>
      <c r="N167" s="8" t="str">
        <f>LEFT(M167,3)</f>
        <v>Fri</v>
      </c>
      <c r="O167" s="8" t="str">
        <f>RIGHT(M167,3)</f>
        <v>day</v>
      </c>
      <c r="P167" s="8">
        <f>MONTH(L167)</f>
        <v>2</v>
      </c>
      <c r="Q167" s="8">
        <f>YEAR(L167)</f>
        <v>2023</v>
      </c>
      <c r="R167" s="8" t="s">
        <v>740</v>
      </c>
      <c r="S167" s="8">
        <f>HOUR(R167)</f>
        <v>10</v>
      </c>
      <c r="T167" s="8">
        <f>MINUTE(R167)</f>
        <v>53</v>
      </c>
      <c r="U167" s="8">
        <f>SECOND(R167)</f>
        <v>15</v>
      </c>
      <c r="V167" s="8">
        <v>79844</v>
      </c>
      <c r="W167" s="8">
        <v>72722</v>
      </c>
      <c r="X167" s="9" t="str">
        <f>IF(W167&gt;50000,"Highe Target","Low Target")</f>
        <v>Highe Target</v>
      </c>
      <c r="Y167" s="9" t="str">
        <f t="shared" si="2"/>
        <v>Highe target</v>
      </c>
      <c r="Z167" s="9" t="str" cm="1">
        <f t="array" ref="Z167">_xlfn.IFS(W167&lt;60000,"LOWERTarget",W167&lt;80000,"Medium Target",W167,"Highe Target")</f>
        <v>Medium Target</v>
      </c>
      <c r="AA167" s="8" t="s">
        <v>64</v>
      </c>
      <c r="AB167" s="5" t="str">
        <f>UPPER(AA167)</f>
        <v>NEEDS IMPROVEMENT</v>
      </c>
      <c r="AC167" s="5" t="str">
        <f>LOWER(AA167)</f>
        <v>needs improvement</v>
      </c>
      <c r="AD167" s="5" t="str">
        <f>PROPER(AA167)</f>
        <v>Needs Improvement</v>
      </c>
      <c r="AF167" s="6"/>
    </row>
    <row r="168" ht="14.25" customHeight="1" spans="1:32">
      <c r="A168" s="8" t="s">
        <v>741</v>
      </c>
      <c r="B168" s="8" t="s">
        <v>742</v>
      </c>
      <c r="C168" s="9">
        <f>LEN(B168)</f>
        <v>11</v>
      </c>
      <c r="D168" s="8" t="s">
        <v>35</v>
      </c>
      <c r="E168" s="8" t="str">
        <f>_xlfn.CONCAT(B168,"(",A168,")"," - ",D168)</f>
        <v>Varun Mehta(E1172) - Finance</v>
      </c>
      <c r="F168" s="9" t="str">
        <f>LEFT(E168,FIND("-",E168))</f>
        <v>Varun Mehta(E1172) -</v>
      </c>
      <c r="G168" s="9" t="str">
        <f>RIGHT(E168,LEN(E168)-FIND("-",E168)-1)</f>
        <v>Finance</v>
      </c>
      <c r="H168" s="9">
        <f>FIND("-",E168)</f>
        <v>20</v>
      </c>
      <c r="I168" s="9">
        <f>LEN(E168)-FIND("-",E168)</f>
        <v>8</v>
      </c>
      <c r="J168" s="8" t="s">
        <v>36</v>
      </c>
      <c r="K168" s="9" t="str">
        <f>SUBSTITUTE(J168,"a","@",1)</f>
        <v>Ahmed@bad</v>
      </c>
      <c r="L168" s="8" t="s">
        <v>556</v>
      </c>
      <c r="M168" s="8" t="str">
        <f>TEXT(L168,"dddd")</f>
        <v>Friday</v>
      </c>
      <c r="N168" s="8" t="str">
        <f>LEFT(M168,3)</f>
        <v>Fri</v>
      </c>
      <c r="O168" s="8" t="str">
        <f>RIGHT(M168,3)</f>
        <v>day</v>
      </c>
      <c r="P168" s="8">
        <f>MONTH(L168)</f>
        <v>8</v>
      </c>
      <c r="Q168" s="8">
        <f>YEAR(L168)</f>
        <v>2023</v>
      </c>
      <c r="R168" s="8" t="s">
        <v>743</v>
      </c>
      <c r="S168" s="8">
        <f>HOUR(R168)</f>
        <v>9</v>
      </c>
      <c r="T168" s="8">
        <f>MINUTE(R168)</f>
        <v>49</v>
      </c>
      <c r="U168" s="8">
        <f>SECOND(R168)</f>
        <v>24</v>
      </c>
      <c r="V168" s="8">
        <v>92525</v>
      </c>
      <c r="W168" s="8">
        <v>72958</v>
      </c>
      <c r="X168" s="9" t="str">
        <f>IF(W168&gt;50000,"Highe Target","Low Target")</f>
        <v>Highe Target</v>
      </c>
      <c r="Y168" s="9" t="str">
        <f t="shared" si="2"/>
        <v>Highe target</v>
      </c>
      <c r="Z168" s="9" t="str" cm="1">
        <f t="array" ref="Z168">_xlfn.IFS(W168&lt;60000,"LOWERTarget",W168&lt;80000,"Medium Target",W168,"Highe Target")</f>
        <v>Medium Target</v>
      </c>
      <c r="AA168" s="8" t="s">
        <v>39</v>
      </c>
      <c r="AB168" s="5" t="str">
        <f>UPPER(AA168)</f>
        <v>DETAILED ANALYSIS</v>
      </c>
      <c r="AC168" s="5" t="str">
        <f>LOWER(AA168)</f>
        <v>detailed analysis</v>
      </c>
      <c r="AD168" s="5" t="str">
        <f>PROPER(AA168)</f>
        <v>Detailed Analysis</v>
      </c>
      <c r="AF168" s="6"/>
    </row>
    <row r="169" ht="14.25" customHeight="1" spans="1:32">
      <c r="A169" s="8" t="s">
        <v>744</v>
      </c>
      <c r="B169" s="8" t="s">
        <v>745</v>
      </c>
      <c r="C169" s="9">
        <f>LEN(B169)</f>
        <v>11</v>
      </c>
      <c r="D169" s="8" t="s">
        <v>35</v>
      </c>
      <c r="E169" s="8" t="str">
        <f>_xlfn.CONCAT(B169,"(",A169,")"," - ",D169)</f>
        <v>Vikram Jain(E1136) - Finance</v>
      </c>
      <c r="F169" s="9" t="str">
        <f>LEFT(E169,FIND("-",E169))</f>
        <v>Vikram Jain(E1136) -</v>
      </c>
      <c r="G169" s="9" t="str">
        <f>RIGHT(E169,LEN(E169)-FIND("-",E169)-1)</f>
        <v>Finance</v>
      </c>
      <c r="H169" s="9">
        <f>FIND("-",E169)</f>
        <v>20</v>
      </c>
      <c r="I169" s="9">
        <f>LEN(E169)-FIND("-",E169)</f>
        <v>8</v>
      </c>
      <c r="J169" s="8" t="s">
        <v>182</v>
      </c>
      <c r="K169" s="9" t="str">
        <f>SUBSTITUTE(J169,"a","@",1)</f>
        <v>Kolk@ta</v>
      </c>
      <c r="L169" s="8" t="s">
        <v>746</v>
      </c>
      <c r="M169" s="8" t="str">
        <f>TEXT(L169,"dddd")</f>
        <v>Wednesday</v>
      </c>
      <c r="N169" s="8" t="str">
        <f>LEFT(M169,3)</f>
        <v>Wed</v>
      </c>
      <c r="O169" s="8" t="str">
        <f>RIGHT(M169,3)</f>
        <v>day</v>
      </c>
      <c r="P169" s="8">
        <f>MONTH(L169)</f>
        <v>5</v>
      </c>
      <c r="Q169" s="8">
        <f>YEAR(L169)</f>
        <v>2024</v>
      </c>
      <c r="R169" s="8" t="s">
        <v>747</v>
      </c>
      <c r="S169" s="8">
        <f>HOUR(R169)</f>
        <v>10</v>
      </c>
      <c r="T169" s="8">
        <f>MINUTE(R169)</f>
        <v>18</v>
      </c>
      <c r="U169" s="8">
        <f>SECOND(R169)</f>
        <v>29</v>
      </c>
      <c r="V169" s="8">
        <v>86324</v>
      </c>
      <c r="W169" s="8">
        <v>73131</v>
      </c>
      <c r="X169" s="9" t="str">
        <f>IF(W169&gt;50000,"Highe Target","Low Target")</f>
        <v>Highe Target</v>
      </c>
      <c r="Y169" s="9" t="str">
        <f t="shared" si="2"/>
        <v>Highe target</v>
      </c>
      <c r="Z169" s="9" t="str" cm="1">
        <f t="array" ref="Z169">_xlfn.IFS(W169&lt;60000,"LOWERTarget",W169&lt;80000,"Medium Target",W169,"Highe Target")</f>
        <v>Medium Target</v>
      </c>
      <c r="AA169" s="8" t="s">
        <v>160</v>
      </c>
      <c r="AB169" s="5" t="str">
        <f>UPPER(AA169)</f>
        <v>GOOD COMMUNICATION</v>
      </c>
      <c r="AC169" s="5" t="str">
        <f>LOWER(AA169)</f>
        <v>good communication</v>
      </c>
      <c r="AD169" s="5" t="str">
        <f>PROPER(AA169)</f>
        <v>Good Communication</v>
      </c>
      <c r="AF169" s="6"/>
    </row>
    <row r="170" ht="14.25" customHeight="1" spans="1:32">
      <c r="A170" s="8" t="s">
        <v>748</v>
      </c>
      <c r="B170" s="8" t="s">
        <v>712</v>
      </c>
      <c r="C170" s="9">
        <f>LEN(B170)</f>
        <v>11</v>
      </c>
      <c r="D170" s="8" t="s">
        <v>35</v>
      </c>
      <c r="E170" s="8" t="str">
        <f>_xlfn.CONCAT(B170,"(",A170,")"," - ",D170)</f>
        <v>Nidhi Verma(E1182) - Finance</v>
      </c>
      <c r="F170" s="9" t="str">
        <f>LEFT(E170,FIND("-",E170))</f>
        <v>Nidhi Verma(E1182) -</v>
      </c>
      <c r="G170" s="9" t="str">
        <f>RIGHT(E170,LEN(E170)-FIND("-",E170)-1)</f>
        <v>Finance</v>
      </c>
      <c r="H170" s="9">
        <f>FIND("-",E170)</f>
        <v>20</v>
      </c>
      <c r="I170" s="9">
        <f>LEN(E170)-FIND("-",E170)</f>
        <v>8</v>
      </c>
      <c r="J170" s="8" t="s">
        <v>76</v>
      </c>
      <c r="K170" s="9" t="str">
        <f>SUBSTITUTE(J170,"a","@",1)</f>
        <v>Pune</v>
      </c>
      <c r="L170" s="8" t="s">
        <v>749</v>
      </c>
      <c r="M170" s="8" t="str">
        <f>TEXT(L170,"dddd")</f>
        <v>Thursday</v>
      </c>
      <c r="N170" s="8" t="str">
        <f>LEFT(M170,3)</f>
        <v>Thu</v>
      </c>
      <c r="O170" s="8" t="str">
        <f>RIGHT(M170,3)</f>
        <v>day</v>
      </c>
      <c r="P170" s="8">
        <f>MONTH(L170)</f>
        <v>12</v>
      </c>
      <c r="Q170" s="8">
        <f>YEAR(L170)</f>
        <v>2023</v>
      </c>
      <c r="R170" s="8" t="s">
        <v>750</v>
      </c>
      <c r="S170" s="8">
        <f>HOUR(R170)</f>
        <v>10</v>
      </c>
      <c r="T170" s="8">
        <f>MINUTE(R170)</f>
        <v>32</v>
      </c>
      <c r="U170" s="8">
        <f>SECOND(R170)</f>
        <v>50</v>
      </c>
      <c r="V170" s="8">
        <v>59599</v>
      </c>
      <c r="W170" s="8">
        <v>73267</v>
      </c>
      <c r="X170" s="9" t="str">
        <f>IF(W170&gt;50000,"Highe Target","Low Target")</f>
        <v>Highe Target</v>
      </c>
      <c r="Y170" s="9" t="str">
        <f t="shared" si="2"/>
        <v>Highe target</v>
      </c>
      <c r="Z170" s="9" t="str" cm="1">
        <f t="array" ref="Z170">_xlfn.IFS(W170&lt;60000,"LOWERTarget",W170&lt;80000,"Medium Target",W170,"Highe Target")</f>
        <v>Medium Target</v>
      </c>
      <c r="AA170" s="8" t="s">
        <v>39</v>
      </c>
      <c r="AB170" s="5" t="str">
        <f>UPPER(AA170)</f>
        <v>DETAILED ANALYSIS</v>
      </c>
      <c r="AC170" s="5" t="str">
        <f>LOWER(AA170)</f>
        <v>detailed analysis</v>
      </c>
      <c r="AD170" s="5" t="str">
        <f>PROPER(AA170)</f>
        <v>Detailed Analysis</v>
      </c>
      <c r="AF170" s="6"/>
    </row>
    <row r="171" ht="14.25" customHeight="1" spans="1:32">
      <c r="A171" s="8" t="s">
        <v>751</v>
      </c>
      <c r="B171" s="8" t="s">
        <v>752</v>
      </c>
      <c r="C171" s="9">
        <f>LEN(B171)</f>
        <v>13</v>
      </c>
      <c r="D171" s="8" t="s">
        <v>44</v>
      </c>
      <c r="E171" s="8" t="str">
        <f>_xlfn.CONCAT(B171,"(",A171,")"," - ",D171)</f>
        <v>Deepak Chopra(E1147) - Marketing</v>
      </c>
      <c r="F171" s="9" t="str">
        <f>LEFT(E171,FIND("-",E171))</f>
        <v>Deepak Chopra(E1147) -</v>
      </c>
      <c r="G171" s="9" t="str">
        <f>RIGHT(E171,LEN(E171)-FIND("-",E171)-1)</f>
        <v>Marketing</v>
      </c>
      <c r="H171" s="9">
        <f>FIND("-",E171)</f>
        <v>22</v>
      </c>
      <c r="I171" s="9">
        <f>LEN(E171)-FIND("-",E171)</f>
        <v>10</v>
      </c>
      <c r="J171" s="8" t="s">
        <v>36</v>
      </c>
      <c r="K171" s="9" t="str">
        <f>SUBSTITUTE(J171,"a","@",1)</f>
        <v>Ahmed@bad</v>
      </c>
      <c r="L171" s="8" t="s">
        <v>753</v>
      </c>
      <c r="M171" s="8" t="str">
        <f>TEXT(L171,"dddd")</f>
        <v>Saturday</v>
      </c>
      <c r="N171" s="8" t="str">
        <f>LEFT(M171,3)</f>
        <v>Sat</v>
      </c>
      <c r="O171" s="8" t="str">
        <f>RIGHT(M171,3)</f>
        <v>day</v>
      </c>
      <c r="P171" s="8">
        <f>MONTH(L171)</f>
        <v>4</v>
      </c>
      <c r="Q171" s="8">
        <f>YEAR(L171)</f>
        <v>2023</v>
      </c>
      <c r="R171" s="8" t="s">
        <v>754</v>
      </c>
      <c r="S171" s="8">
        <f>HOUR(R171)</f>
        <v>9</v>
      </c>
      <c r="T171" s="8">
        <f>MINUTE(R171)</f>
        <v>13</v>
      </c>
      <c r="U171" s="8">
        <f>SECOND(R171)</f>
        <v>48</v>
      </c>
      <c r="V171" s="8">
        <v>66036</v>
      </c>
      <c r="W171" s="8">
        <v>73577</v>
      </c>
      <c r="X171" s="9" t="str">
        <f>IF(W171&gt;50000,"Highe Target","Low Target")</f>
        <v>Highe Target</v>
      </c>
      <c r="Y171" s="9" t="str">
        <f t="shared" si="2"/>
        <v>Highe target</v>
      </c>
      <c r="Z171" s="9" t="str" cm="1">
        <f t="array" ref="Z171">_xlfn.IFS(W171&lt;60000,"LOWERTarget",W171&lt;80000,"Medium Target",W171,"Highe Target")</f>
        <v>Medium Target</v>
      </c>
      <c r="AA171" s="8" t="s">
        <v>48</v>
      </c>
      <c r="AB171" s="5" t="str">
        <f>UPPER(AA171)</f>
        <v>CREATIVE IDEAS</v>
      </c>
      <c r="AC171" s="5" t="str">
        <f>LOWER(AA171)</f>
        <v>creative ideas</v>
      </c>
      <c r="AD171" s="5" t="str">
        <f>PROPER(AA171)</f>
        <v>Creative Ideas</v>
      </c>
      <c r="AF171" s="6"/>
    </row>
    <row r="172" ht="14.25" customHeight="1" spans="1:32">
      <c r="A172" s="8" t="s">
        <v>755</v>
      </c>
      <c r="B172" s="8" t="s">
        <v>756</v>
      </c>
      <c r="C172" s="9">
        <f>LEN(B172)</f>
        <v>15</v>
      </c>
      <c r="D172" s="8" t="s">
        <v>60</v>
      </c>
      <c r="E172" s="8" t="str">
        <f>_xlfn.CONCAT(B172,"(",A172,")"," - ",D172)</f>
        <v>Deepak Malhotra(E1051) - HR</v>
      </c>
      <c r="F172" s="9" t="str">
        <f>LEFT(E172,FIND("-",E172))</f>
        <v>Deepak Malhotra(E1051) -</v>
      </c>
      <c r="G172" s="9" t="str">
        <f>RIGHT(E172,LEN(E172)-FIND("-",E172)-1)</f>
        <v>HR</v>
      </c>
      <c r="H172" s="9">
        <f>FIND("-",E172)</f>
        <v>24</v>
      </c>
      <c r="I172" s="9">
        <f>LEN(E172)-FIND("-",E172)</f>
        <v>3</v>
      </c>
      <c r="J172" s="8" t="s">
        <v>36</v>
      </c>
      <c r="K172" s="9" t="str">
        <f>SUBSTITUTE(J172,"a","@",1)</f>
        <v>Ahmed@bad</v>
      </c>
      <c r="L172" s="8" t="s">
        <v>757</v>
      </c>
      <c r="M172" s="8" t="str">
        <f>TEXT(L172,"dddd")</f>
        <v>Tuesday</v>
      </c>
      <c r="N172" s="8" t="str">
        <f>LEFT(M172,3)</f>
        <v>Tue</v>
      </c>
      <c r="O172" s="8" t="str">
        <f>RIGHT(M172,3)</f>
        <v>day</v>
      </c>
      <c r="P172" s="8">
        <f>MONTH(L172)</f>
        <v>12</v>
      </c>
      <c r="Q172" s="8">
        <f>YEAR(L172)</f>
        <v>2021</v>
      </c>
      <c r="R172" s="8" t="s">
        <v>758</v>
      </c>
      <c r="S172" s="8">
        <f>HOUR(R172)</f>
        <v>10</v>
      </c>
      <c r="T172" s="8">
        <f>MINUTE(R172)</f>
        <v>5</v>
      </c>
      <c r="U172" s="8">
        <f>SECOND(R172)</f>
        <v>18</v>
      </c>
      <c r="V172" s="8">
        <v>80746</v>
      </c>
      <c r="W172" s="8">
        <v>73780</v>
      </c>
      <c r="X172" s="9" t="str">
        <f>IF(W172&gt;50000,"Highe Target","Low Target")</f>
        <v>Highe Target</v>
      </c>
      <c r="Y172" s="9" t="str">
        <f t="shared" si="2"/>
        <v>Highe target</v>
      </c>
      <c r="Z172" s="9" t="str" cm="1">
        <f t="array" ref="Z172">_xlfn.IFS(W172&lt;60000,"LOWERTarget",W172&lt;80000,"Medium Target",W172,"Highe Target")</f>
        <v>Medium Target</v>
      </c>
      <c r="AA172" s="8" t="s">
        <v>160</v>
      </c>
      <c r="AB172" s="5" t="str">
        <f>UPPER(AA172)</f>
        <v>GOOD COMMUNICATION</v>
      </c>
      <c r="AC172" s="5" t="str">
        <f>LOWER(AA172)</f>
        <v>good communication</v>
      </c>
      <c r="AD172" s="5" t="str">
        <f>PROPER(AA172)</f>
        <v>Good Communication</v>
      </c>
      <c r="AF172" s="6"/>
    </row>
    <row r="173" ht="14.25" customHeight="1" spans="1:32">
      <c r="A173" s="8" t="s">
        <v>759</v>
      </c>
      <c r="B173" s="8" t="s">
        <v>345</v>
      </c>
      <c r="C173" s="9">
        <f>LEN(B173)</f>
        <v>11</v>
      </c>
      <c r="D173" s="8" t="s">
        <v>35</v>
      </c>
      <c r="E173" s="8" t="str">
        <f>_xlfn.CONCAT(B173,"(",A173,")"," - ",D173)</f>
        <v>Rohan Patel(E1111) - Finance</v>
      </c>
      <c r="F173" s="9" t="str">
        <f>LEFT(E173,FIND("-",E173))</f>
        <v>Rohan Patel(E1111) -</v>
      </c>
      <c r="G173" s="9" t="str">
        <f>RIGHT(E173,LEN(E173)-FIND("-",E173)-1)</f>
        <v>Finance</v>
      </c>
      <c r="H173" s="9">
        <f>FIND("-",E173)</f>
        <v>20</v>
      </c>
      <c r="I173" s="9">
        <f>LEN(E173)-FIND("-",E173)</f>
        <v>8</v>
      </c>
      <c r="J173" s="8" t="s">
        <v>172</v>
      </c>
      <c r="K173" s="9" t="str">
        <f>SUBSTITUTE(J173,"a","@",1)</f>
        <v>Hyder@bad</v>
      </c>
      <c r="L173" s="8" t="s">
        <v>760</v>
      </c>
      <c r="M173" s="8" t="str">
        <f>TEXT(L173,"dddd")</f>
        <v>Tuesday</v>
      </c>
      <c r="N173" s="8" t="str">
        <f>LEFT(M173,3)</f>
        <v>Tue</v>
      </c>
      <c r="O173" s="8" t="str">
        <f>RIGHT(M173,3)</f>
        <v>day</v>
      </c>
      <c r="P173" s="8">
        <f>MONTH(L173)</f>
        <v>2</v>
      </c>
      <c r="Q173" s="8">
        <f>YEAR(L173)</f>
        <v>2023</v>
      </c>
      <c r="R173" s="8" t="s">
        <v>761</v>
      </c>
      <c r="S173" s="8">
        <f>HOUR(R173)</f>
        <v>9</v>
      </c>
      <c r="T173" s="8">
        <f>MINUTE(R173)</f>
        <v>9</v>
      </c>
      <c r="U173" s="8">
        <f>SECOND(R173)</f>
        <v>15</v>
      </c>
      <c r="V173" s="8">
        <v>86814</v>
      </c>
      <c r="W173" s="8">
        <v>74810</v>
      </c>
      <c r="X173" s="9" t="str">
        <f>IF(W173&gt;50000,"Highe Target","Low Target")</f>
        <v>Highe Target</v>
      </c>
      <c r="Y173" s="9" t="str">
        <f t="shared" si="2"/>
        <v>Highe target</v>
      </c>
      <c r="Z173" s="9" t="str" cm="1">
        <f t="array" ref="Z173">_xlfn.IFS(W173&lt;60000,"LOWERTarget",W173&lt;80000,"Medium Target",W173,"Highe Target")</f>
        <v>Medium Target</v>
      </c>
      <c r="AA173" s="8" t="s">
        <v>79</v>
      </c>
      <c r="AB173" s="5" t="str">
        <f>UPPER(AA173)</f>
        <v>EXCELLENT LEADERSHIP</v>
      </c>
      <c r="AC173" s="5" t="str">
        <f>LOWER(AA173)</f>
        <v>excellent leadership</v>
      </c>
      <c r="AD173" s="5" t="str">
        <f>PROPER(AA173)</f>
        <v>Excellent Leadership</v>
      </c>
      <c r="AF173" s="6"/>
    </row>
    <row r="174" ht="14.25" customHeight="1" spans="1:32">
      <c r="A174" s="8" t="s">
        <v>762</v>
      </c>
      <c r="B174" s="8" t="s">
        <v>763</v>
      </c>
      <c r="C174" s="9">
        <f>LEN(B174)</f>
        <v>11</v>
      </c>
      <c r="D174" s="8" t="s">
        <v>35</v>
      </c>
      <c r="E174" s="8" t="str">
        <f>_xlfn.CONCAT(B174,"(",A174,")"," - ",D174)</f>
        <v>Amit Sharma(E1250) - Finance</v>
      </c>
      <c r="F174" s="9" t="str">
        <f>LEFT(E174,FIND("-",E174))</f>
        <v>Amit Sharma(E1250) -</v>
      </c>
      <c r="G174" s="9" t="str">
        <f>RIGHT(E174,LEN(E174)-FIND("-",E174)-1)</f>
        <v>Finance</v>
      </c>
      <c r="H174" s="9">
        <f>FIND("-",E174)</f>
        <v>20</v>
      </c>
      <c r="I174" s="9">
        <f>LEN(E174)-FIND("-",E174)</f>
        <v>8</v>
      </c>
      <c r="J174" s="8" t="s">
        <v>36</v>
      </c>
      <c r="K174" s="9" t="str">
        <f>SUBSTITUTE(J174,"a","@",1)</f>
        <v>Ahmed@bad</v>
      </c>
      <c r="L174" s="8" t="s">
        <v>168</v>
      </c>
      <c r="M174" s="8" t="str">
        <f>TEXT(L174,"dddd")</f>
        <v>Friday</v>
      </c>
      <c r="N174" s="8" t="str">
        <f>LEFT(M174,3)</f>
        <v>Fri</v>
      </c>
      <c r="O174" s="8" t="str">
        <f>RIGHT(M174,3)</f>
        <v>day</v>
      </c>
      <c r="P174" s="8">
        <f>MONTH(L174)</f>
        <v>10</v>
      </c>
      <c r="Q174" s="8">
        <f>YEAR(L174)</f>
        <v>2024</v>
      </c>
      <c r="R174" s="8" t="s">
        <v>764</v>
      </c>
      <c r="S174" s="8">
        <f>HOUR(R174)</f>
        <v>10</v>
      </c>
      <c r="T174" s="8">
        <f>MINUTE(R174)</f>
        <v>34</v>
      </c>
      <c r="U174" s="8">
        <f>SECOND(R174)</f>
        <v>27</v>
      </c>
      <c r="V174" s="8">
        <v>84716</v>
      </c>
      <c r="W174" s="8">
        <v>74860</v>
      </c>
      <c r="X174" s="9" t="str">
        <f>IF(W174&gt;50000,"Highe Target","Low Target")</f>
        <v>Highe Target</v>
      </c>
      <c r="Y174" s="9" t="str">
        <f t="shared" si="2"/>
        <v>Highe target</v>
      </c>
      <c r="Z174" s="9" t="str" cm="1">
        <f t="array" ref="Z174">_xlfn.IFS(W174&lt;60000,"LOWERTarget",W174&lt;80000,"Medium Target",W174,"Highe Target")</f>
        <v>Medium Target</v>
      </c>
      <c r="AA174" s="8" t="s">
        <v>243</v>
      </c>
      <c r="AB174" s="5" t="str">
        <f>UPPER(AA174)</f>
        <v>POSITIVE ATTITUDE</v>
      </c>
      <c r="AC174" s="5" t="str">
        <f>LOWER(AA174)</f>
        <v>positive attitude</v>
      </c>
      <c r="AD174" s="5" t="str">
        <f>PROPER(AA174)</f>
        <v>Positive Attitude</v>
      </c>
      <c r="AF174" s="6"/>
    </row>
    <row r="175" ht="14.25" customHeight="1" spans="1:32">
      <c r="A175" s="8" t="s">
        <v>765</v>
      </c>
      <c r="B175" s="8" t="s">
        <v>766</v>
      </c>
      <c r="C175" s="9">
        <f>LEN(B175)</f>
        <v>12</v>
      </c>
      <c r="D175" s="8" t="s">
        <v>93</v>
      </c>
      <c r="E175" s="8" t="str">
        <f>_xlfn.CONCAT(B175,"(",A175,")"," - ",D175)</f>
        <v>Nisha Bansal(E1294) - Sales</v>
      </c>
      <c r="F175" s="9" t="str">
        <f>LEFT(E175,FIND("-",E175))</f>
        <v>Nisha Bansal(E1294) -</v>
      </c>
      <c r="G175" s="9" t="str">
        <f>RIGHT(E175,LEN(E175)-FIND("-",E175)-1)</f>
        <v>Sales</v>
      </c>
      <c r="H175" s="9">
        <f>FIND("-",E175)</f>
        <v>21</v>
      </c>
      <c r="I175" s="9">
        <f>LEN(E175)-FIND("-",E175)</f>
        <v>6</v>
      </c>
      <c r="J175" s="8" t="s">
        <v>36</v>
      </c>
      <c r="K175" s="9" t="str">
        <f>SUBSTITUTE(J175,"a","@",1)</f>
        <v>Ahmed@bad</v>
      </c>
      <c r="L175" s="8" t="s">
        <v>767</v>
      </c>
      <c r="M175" s="8" t="str">
        <f>TEXT(L175,"dddd")</f>
        <v>Thursday</v>
      </c>
      <c r="N175" s="8" t="str">
        <f>LEFT(M175,3)</f>
        <v>Thu</v>
      </c>
      <c r="O175" s="8" t="str">
        <f>RIGHT(M175,3)</f>
        <v>day</v>
      </c>
      <c r="P175" s="8">
        <f>MONTH(L175)</f>
        <v>5</v>
      </c>
      <c r="Q175" s="8">
        <f>YEAR(L175)</f>
        <v>2024</v>
      </c>
      <c r="R175" s="8" t="s">
        <v>768</v>
      </c>
      <c r="S175" s="8">
        <f>HOUR(R175)</f>
        <v>9</v>
      </c>
      <c r="T175" s="8">
        <f>MINUTE(R175)</f>
        <v>37</v>
      </c>
      <c r="U175" s="8">
        <f>SECOND(R175)</f>
        <v>25</v>
      </c>
      <c r="V175" s="8">
        <v>93221</v>
      </c>
      <c r="W175" s="8">
        <v>75020</v>
      </c>
      <c r="X175" s="9" t="str">
        <f>IF(W175&gt;50000,"Highe Target","Low Target")</f>
        <v>Highe Target</v>
      </c>
      <c r="Y175" s="9" t="str">
        <f t="shared" si="2"/>
        <v>Highe target</v>
      </c>
      <c r="Z175" s="9" t="str" cm="1">
        <f t="array" ref="Z175">_xlfn.IFS(W175&lt;60000,"LOWERTarget",W175&lt;80000,"Medium Target",W175,"Highe Target")</f>
        <v>Medium Target</v>
      </c>
      <c r="AA175" s="8" t="s">
        <v>71</v>
      </c>
      <c r="AB175" s="5" t="str">
        <f>UPPER(AA175)</f>
        <v>GREAT SUPPORT</v>
      </c>
      <c r="AC175" s="5" t="str">
        <f>LOWER(AA175)</f>
        <v>great support</v>
      </c>
      <c r="AD175" s="5" t="str">
        <f>PROPER(AA175)</f>
        <v>Great Support</v>
      </c>
      <c r="AF175" s="6"/>
    </row>
    <row r="176" ht="14.25" customHeight="1" spans="1:32">
      <c r="A176" s="8" t="s">
        <v>769</v>
      </c>
      <c r="B176" s="8" t="s">
        <v>770</v>
      </c>
      <c r="C176" s="9">
        <f>LEN(B176)</f>
        <v>16</v>
      </c>
      <c r="D176" s="8" t="s">
        <v>44</v>
      </c>
      <c r="E176" s="8" t="str">
        <f>_xlfn.CONCAT(B176,"(",A176,")"," - ",D176)</f>
        <v>Siddharth Chopra(E1257) - Marketing</v>
      </c>
      <c r="F176" s="9" t="str">
        <f>LEFT(E176,FIND("-",E176))</f>
        <v>Siddharth Chopra(E1257) -</v>
      </c>
      <c r="G176" s="9" t="str">
        <f>RIGHT(E176,LEN(E176)-FIND("-",E176)-1)</f>
        <v>Marketing</v>
      </c>
      <c r="H176" s="9">
        <f>FIND("-",E176)</f>
        <v>25</v>
      </c>
      <c r="I176" s="9">
        <f>LEN(E176)-FIND("-",E176)</f>
        <v>10</v>
      </c>
      <c r="J176" s="8" t="s">
        <v>53</v>
      </c>
      <c r="K176" s="9" t="str">
        <f>SUBSTITUTE(J176,"a","@",1)</f>
        <v>Delhi</v>
      </c>
      <c r="L176" s="8" t="s">
        <v>771</v>
      </c>
      <c r="M176" s="8" t="str">
        <f>TEXT(L176,"dddd")</f>
        <v>Wednesday</v>
      </c>
      <c r="N176" s="8" t="str">
        <f>LEFT(M176,3)</f>
        <v>Wed</v>
      </c>
      <c r="O176" s="8" t="str">
        <f>RIGHT(M176,3)</f>
        <v>day</v>
      </c>
      <c r="P176" s="8">
        <f>MONTH(L176)</f>
        <v>9</v>
      </c>
      <c r="Q176" s="8">
        <f>YEAR(L176)</f>
        <v>2022</v>
      </c>
      <c r="R176" s="8" t="s">
        <v>772</v>
      </c>
      <c r="S176" s="8">
        <f>HOUR(R176)</f>
        <v>9</v>
      </c>
      <c r="T176" s="8">
        <f>MINUTE(R176)</f>
        <v>11</v>
      </c>
      <c r="U176" s="8">
        <f>SECOND(R176)</f>
        <v>48</v>
      </c>
      <c r="V176" s="8">
        <v>91285</v>
      </c>
      <c r="W176" s="8">
        <v>75253</v>
      </c>
      <c r="X176" s="9" t="str">
        <f>IF(W176&gt;50000,"Highe Target","Low Target")</f>
        <v>Highe Target</v>
      </c>
      <c r="Y176" s="9" t="str">
        <f t="shared" si="2"/>
        <v>Highe target</v>
      </c>
      <c r="Z176" s="9" t="str" cm="1">
        <f t="array" ref="Z176">_xlfn.IFS(W176&lt;60000,"LOWERTarget",W176&lt;80000,"Medium Target",W176,"Highe Target")</f>
        <v>Medium Target</v>
      </c>
      <c r="AA176" s="8" t="s">
        <v>126</v>
      </c>
      <c r="AB176" s="5" t="str">
        <f>UPPER(AA176)</f>
        <v>ACCURATE REPORTS</v>
      </c>
      <c r="AC176" s="5" t="str">
        <f>LOWER(AA176)</f>
        <v>accurate reports</v>
      </c>
      <c r="AD176" s="5" t="str">
        <f>PROPER(AA176)</f>
        <v>Accurate Reports</v>
      </c>
      <c r="AF176" s="6"/>
    </row>
    <row r="177" ht="14.25" customHeight="1" spans="1:32">
      <c r="A177" s="8" t="s">
        <v>773</v>
      </c>
      <c r="B177" s="8" t="s">
        <v>774</v>
      </c>
      <c r="C177" s="9">
        <f>LEN(B177)</f>
        <v>13</v>
      </c>
      <c r="D177" s="8" t="s">
        <v>60</v>
      </c>
      <c r="E177" s="8" t="str">
        <f>_xlfn.CONCAT(B177,"(",A177,")"," - ",D177)</f>
        <v>Nidhi Agarwal(E1019) - HR</v>
      </c>
      <c r="F177" s="9" t="str">
        <f>LEFT(E177,FIND("-",E177))</f>
        <v>Nidhi Agarwal(E1019) -</v>
      </c>
      <c r="G177" s="9" t="str">
        <f>RIGHT(E177,LEN(E177)-FIND("-",E177)-1)</f>
        <v>HR</v>
      </c>
      <c r="H177" s="9">
        <f>FIND("-",E177)</f>
        <v>22</v>
      </c>
      <c r="I177" s="9">
        <f>LEN(E177)-FIND("-",E177)</f>
        <v>3</v>
      </c>
      <c r="J177" s="8" t="s">
        <v>61</v>
      </c>
      <c r="K177" s="9" t="str">
        <f>SUBSTITUTE(J177,"a","@",1)</f>
        <v>Chenn@i</v>
      </c>
      <c r="L177" s="8" t="s">
        <v>775</v>
      </c>
      <c r="M177" s="8" t="str">
        <f>TEXT(L177,"dddd")</f>
        <v>Sunday</v>
      </c>
      <c r="N177" s="8" t="str">
        <f>LEFT(M177,3)</f>
        <v>Sun</v>
      </c>
      <c r="O177" s="8" t="str">
        <f>RIGHT(M177,3)</f>
        <v>day</v>
      </c>
      <c r="P177" s="8">
        <f>MONTH(L177)</f>
        <v>12</v>
      </c>
      <c r="Q177" s="8">
        <f>YEAR(L177)</f>
        <v>2023</v>
      </c>
      <c r="R177" s="8" t="s">
        <v>776</v>
      </c>
      <c r="S177" s="8">
        <f>HOUR(R177)</f>
        <v>10</v>
      </c>
      <c r="T177" s="8">
        <f>MINUTE(R177)</f>
        <v>27</v>
      </c>
      <c r="U177" s="8">
        <f>SECOND(R177)</f>
        <v>13</v>
      </c>
      <c r="V177" s="8">
        <v>73525</v>
      </c>
      <c r="W177" s="8">
        <v>75343</v>
      </c>
      <c r="X177" s="9" t="str">
        <f>IF(W177&gt;50000,"Highe Target","Low Target")</f>
        <v>Highe Target</v>
      </c>
      <c r="Y177" s="9" t="str">
        <f t="shared" si="2"/>
        <v>Highe target</v>
      </c>
      <c r="Z177" s="9" t="str" cm="1">
        <f t="array" ref="Z177">_xlfn.IFS(W177&lt;60000,"LOWERTarget",W177&lt;80000,"Medium Target",W177,"Highe Target")</f>
        <v>Medium Target</v>
      </c>
      <c r="AA177" s="8" t="s">
        <v>96</v>
      </c>
      <c r="AB177" s="5" t="str">
        <f>UPPER(AA177)</f>
        <v>FAST DELIVERY</v>
      </c>
      <c r="AC177" s="5" t="str">
        <f>LOWER(AA177)</f>
        <v>fast delivery</v>
      </c>
      <c r="AD177" s="5" t="str">
        <f>PROPER(AA177)</f>
        <v>Fast Delivery</v>
      </c>
      <c r="AF177" s="6"/>
    </row>
    <row r="178" ht="14.25" customHeight="1" spans="1:32">
      <c r="A178" s="8" t="s">
        <v>777</v>
      </c>
      <c r="B178" s="8" t="s">
        <v>778</v>
      </c>
      <c r="C178" s="9">
        <f>LEN(B178)</f>
        <v>13</v>
      </c>
      <c r="D178" s="8" t="s">
        <v>35</v>
      </c>
      <c r="E178" s="8" t="str">
        <f>_xlfn.CONCAT(B178,"(",A178,")"," - ",D178)</f>
        <v>Madhuri Gupta(E1119) - Finance</v>
      </c>
      <c r="F178" s="9" t="str">
        <f>LEFT(E178,FIND("-",E178))</f>
        <v>Madhuri Gupta(E1119) -</v>
      </c>
      <c r="G178" s="9" t="str">
        <f>RIGHT(E178,LEN(E178)-FIND("-",E178)-1)</f>
        <v>Finance</v>
      </c>
      <c r="H178" s="9">
        <f>FIND("-",E178)</f>
        <v>22</v>
      </c>
      <c r="I178" s="9">
        <f>LEN(E178)-FIND("-",E178)</f>
        <v>8</v>
      </c>
      <c r="J178" s="8" t="s">
        <v>182</v>
      </c>
      <c r="K178" s="9" t="str">
        <f>SUBSTITUTE(J178,"a","@",1)</f>
        <v>Kolk@ta</v>
      </c>
      <c r="L178" s="8" t="s">
        <v>779</v>
      </c>
      <c r="M178" s="8" t="str">
        <f>TEXT(L178,"dddd")</f>
        <v>Sunday</v>
      </c>
      <c r="N178" s="8" t="str">
        <f>LEFT(M178,3)</f>
        <v>Sun</v>
      </c>
      <c r="O178" s="8" t="str">
        <f>RIGHT(M178,3)</f>
        <v>day</v>
      </c>
      <c r="P178" s="8">
        <f>MONTH(L178)</f>
        <v>12</v>
      </c>
      <c r="Q178" s="8">
        <f>YEAR(L178)</f>
        <v>2021</v>
      </c>
      <c r="R178" s="8" t="s">
        <v>780</v>
      </c>
      <c r="S178" s="8">
        <f>HOUR(R178)</f>
        <v>8</v>
      </c>
      <c r="T178" s="8">
        <f>MINUTE(R178)</f>
        <v>8</v>
      </c>
      <c r="U178" s="8">
        <f>SECOND(R178)</f>
        <v>50</v>
      </c>
      <c r="V178" s="8">
        <v>84326</v>
      </c>
      <c r="W178" s="8">
        <v>75350</v>
      </c>
      <c r="X178" s="9" t="str">
        <f>IF(W178&gt;50000,"Highe Target","Low Target")</f>
        <v>Highe Target</v>
      </c>
      <c r="Y178" s="9" t="str">
        <f t="shared" si="2"/>
        <v>Highe target</v>
      </c>
      <c r="Z178" s="9" t="str" cm="1">
        <f t="array" ref="Z178">_xlfn.IFS(W178&lt;60000,"LOWERTarget",W178&lt;80000,"Medium Target",W178,"Highe Target")</f>
        <v>Medium Target</v>
      </c>
      <c r="AA178" s="8" t="s">
        <v>781</v>
      </c>
      <c r="AB178" s="5" t="str">
        <f>UPPER(AA178)</f>
        <v>   STRONG PRESENTATION   </v>
      </c>
      <c r="AC178" s="5" t="str">
        <f>LOWER(AA178)</f>
        <v>   strong presentation   </v>
      </c>
      <c r="AD178" s="5" t="str">
        <f>PROPER(AA178)</f>
        <v>   Strong Presentation   </v>
      </c>
      <c r="AF178" s="6"/>
    </row>
    <row r="179" ht="14.25" customHeight="1" spans="1:32">
      <c r="A179" s="8" t="s">
        <v>782</v>
      </c>
      <c r="B179" s="8" t="s">
        <v>783</v>
      </c>
      <c r="C179" s="9">
        <f>LEN(B179)</f>
        <v>11</v>
      </c>
      <c r="D179" s="8" t="s">
        <v>60</v>
      </c>
      <c r="E179" s="8" t="str">
        <f>_xlfn.CONCAT(B179,"(",A179,")"," - ",D179)</f>
        <v>Rahul Gupta(E1278) - HR</v>
      </c>
      <c r="F179" s="9" t="str">
        <f>LEFT(E179,FIND("-",E179))</f>
        <v>Rahul Gupta(E1278) -</v>
      </c>
      <c r="G179" s="9" t="str">
        <f>RIGHT(E179,LEN(E179)-FIND("-",E179)-1)</f>
        <v>HR</v>
      </c>
      <c r="H179" s="9">
        <f>FIND("-",E179)</f>
        <v>20</v>
      </c>
      <c r="I179" s="9">
        <f>LEN(E179)-FIND("-",E179)</f>
        <v>3</v>
      </c>
      <c r="J179" s="8" t="s">
        <v>45</v>
      </c>
      <c r="K179" s="9" t="str">
        <f>SUBSTITUTE(J179,"a","@",1)</f>
        <v>B@ngalore</v>
      </c>
      <c r="L179" s="8" t="s">
        <v>784</v>
      </c>
      <c r="M179" s="8" t="str">
        <f>TEXT(L179,"dddd")</f>
        <v>Wednesday</v>
      </c>
      <c r="N179" s="8" t="str">
        <f>LEFT(M179,3)</f>
        <v>Wed</v>
      </c>
      <c r="O179" s="8" t="str">
        <f>RIGHT(M179,3)</f>
        <v>day</v>
      </c>
      <c r="P179" s="8">
        <f>MONTH(L179)</f>
        <v>3</v>
      </c>
      <c r="Q179" s="8">
        <f>YEAR(L179)</f>
        <v>2024</v>
      </c>
      <c r="R179" s="8" t="s">
        <v>785</v>
      </c>
      <c r="S179" s="8">
        <f>HOUR(R179)</f>
        <v>9</v>
      </c>
      <c r="T179" s="8">
        <f>MINUTE(R179)</f>
        <v>43</v>
      </c>
      <c r="U179" s="8">
        <f>SECOND(R179)</f>
        <v>57</v>
      </c>
      <c r="V179" s="8">
        <v>82166</v>
      </c>
      <c r="W179" s="8">
        <v>75426</v>
      </c>
      <c r="X179" s="9" t="str">
        <f>IF(W179&gt;50000,"Highe Target","Low Target")</f>
        <v>Highe Target</v>
      </c>
      <c r="Y179" s="9" t="str">
        <f t="shared" si="2"/>
        <v>Highe target</v>
      </c>
      <c r="Z179" s="9" t="str" cm="1">
        <f t="array" ref="Z179">_xlfn.IFS(W179&lt;60000,"LOWERTarget",W179&lt;80000,"Medium Target",W179,"Highe Target")</f>
        <v>Medium Target</v>
      </c>
      <c r="AA179" s="8" t="s">
        <v>39</v>
      </c>
      <c r="AB179" s="5" t="str">
        <f>UPPER(AA179)</f>
        <v>DETAILED ANALYSIS</v>
      </c>
      <c r="AC179" s="5" t="str">
        <f>LOWER(AA179)</f>
        <v>detailed analysis</v>
      </c>
      <c r="AD179" s="5" t="str">
        <f>PROPER(AA179)</f>
        <v>Detailed Analysis</v>
      </c>
      <c r="AF179" s="6"/>
    </row>
    <row r="180" ht="14.25" customHeight="1" spans="1:32">
      <c r="A180" s="8" t="s">
        <v>786</v>
      </c>
      <c r="B180" s="8" t="s">
        <v>787</v>
      </c>
      <c r="C180" s="9">
        <f>LEN(B180)</f>
        <v>11</v>
      </c>
      <c r="D180" s="8" t="s">
        <v>93</v>
      </c>
      <c r="E180" s="8" t="str">
        <f>_xlfn.CONCAT(B180,"(",A180,")"," - ",D180)</f>
        <v>Deepak Nair(E1026) - Sales</v>
      </c>
      <c r="F180" s="9" t="str">
        <f>LEFT(E180,FIND("-",E180))</f>
        <v>Deepak Nair(E1026) -</v>
      </c>
      <c r="G180" s="9" t="str">
        <f>RIGHT(E180,LEN(E180)-FIND("-",E180)-1)</f>
        <v>Sales</v>
      </c>
      <c r="H180" s="9">
        <f>FIND("-",E180)</f>
        <v>20</v>
      </c>
      <c r="I180" s="9">
        <f>LEN(E180)-FIND("-",E180)</f>
        <v>6</v>
      </c>
      <c r="J180" s="8" t="s">
        <v>36</v>
      </c>
      <c r="K180" s="9" t="str">
        <f>SUBSTITUTE(J180,"a","@",1)</f>
        <v>Ahmed@bad</v>
      </c>
      <c r="L180" s="8" t="s">
        <v>788</v>
      </c>
      <c r="M180" s="8" t="str">
        <f>TEXT(L180,"dddd")</f>
        <v>Friday</v>
      </c>
      <c r="N180" s="8" t="str">
        <f>LEFT(M180,3)</f>
        <v>Fri</v>
      </c>
      <c r="O180" s="8" t="str">
        <f>RIGHT(M180,3)</f>
        <v>day</v>
      </c>
      <c r="P180" s="8">
        <f>MONTH(L180)</f>
        <v>2</v>
      </c>
      <c r="Q180" s="8">
        <f>YEAR(L180)</f>
        <v>2024</v>
      </c>
      <c r="R180" s="8" t="s">
        <v>789</v>
      </c>
      <c r="S180" s="8">
        <f>HOUR(R180)</f>
        <v>8</v>
      </c>
      <c r="T180" s="8">
        <f>MINUTE(R180)</f>
        <v>3</v>
      </c>
      <c r="U180" s="8">
        <f>SECOND(R180)</f>
        <v>41</v>
      </c>
      <c r="V180" s="8">
        <v>61394</v>
      </c>
      <c r="W180" s="8">
        <v>75427</v>
      </c>
      <c r="X180" s="9" t="str">
        <f>IF(W180&gt;50000,"Highe Target","Low Target")</f>
        <v>Highe Target</v>
      </c>
      <c r="Y180" s="9" t="str">
        <f t="shared" si="2"/>
        <v>Highe target</v>
      </c>
      <c r="Z180" s="9" t="str" cm="1">
        <f t="array" ref="Z180">_xlfn.IFS(W180&lt;60000,"LOWERTarget",W180&lt;80000,"Medium Target",W180,"Highe Target")</f>
        <v>Medium Target</v>
      </c>
      <c r="AA180" s="8" t="s">
        <v>160</v>
      </c>
      <c r="AB180" s="5" t="str">
        <f>UPPER(AA180)</f>
        <v>GOOD COMMUNICATION</v>
      </c>
      <c r="AC180" s="5" t="str">
        <f>LOWER(AA180)</f>
        <v>good communication</v>
      </c>
      <c r="AD180" s="5" t="str">
        <f>PROPER(AA180)</f>
        <v>Good Communication</v>
      </c>
      <c r="AF180" s="6"/>
    </row>
    <row r="181" ht="14.25" customHeight="1" spans="1:32">
      <c r="A181" s="8" t="s">
        <v>790</v>
      </c>
      <c r="B181" s="8" t="s">
        <v>791</v>
      </c>
      <c r="C181" s="9">
        <f>LEN(B181)</f>
        <v>10</v>
      </c>
      <c r="D181" s="8" t="s">
        <v>35</v>
      </c>
      <c r="E181" s="8" t="str">
        <f>_xlfn.CONCAT(B181,"(",A181,")"," - ",D181)</f>
        <v>Meera Shah(E1075) - Finance</v>
      </c>
      <c r="F181" s="9" t="str">
        <f>LEFT(E181,FIND("-",E181))</f>
        <v>Meera Shah(E1075) -</v>
      </c>
      <c r="G181" s="9" t="str">
        <f>RIGHT(E181,LEN(E181)-FIND("-",E181)-1)</f>
        <v>Finance</v>
      </c>
      <c r="H181" s="9">
        <f>FIND("-",E181)</f>
        <v>19</v>
      </c>
      <c r="I181" s="9">
        <f>LEN(E181)-FIND("-",E181)</f>
        <v>8</v>
      </c>
      <c r="J181" s="8" t="s">
        <v>61</v>
      </c>
      <c r="K181" s="9" t="str">
        <f>SUBSTITUTE(J181,"a","@",1)</f>
        <v>Chenn@i</v>
      </c>
      <c r="L181" s="8" t="s">
        <v>792</v>
      </c>
      <c r="M181" s="8" t="str">
        <f>TEXT(L181,"dddd")</f>
        <v>Sunday</v>
      </c>
      <c r="N181" s="8" t="str">
        <f>LEFT(M181,3)</f>
        <v>Sun</v>
      </c>
      <c r="O181" s="8" t="str">
        <f>RIGHT(M181,3)</f>
        <v>day</v>
      </c>
      <c r="P181" s="8">
        <f>MONTH(L181)</f>
        <v>5</v>
      </c>
      <c r="Q181" s="8">
        <f>YEAR(L181)</f>
        <v>2024</v>
      </c>
      <c r="R181" s="8" t="s">
        <v>793</v>
      </c>
      <c r="S181" s="8">
        <f>HOUR(R181)</f>
        <v>10</v>
      </c>
      <c r="T181" s="8">
        <f>MINUTE(R181)</f>
        <v>56</v>
      </c>
      <c r="U181" s="8">
        <f>SECOND(R181)</f>
        <v>17</v>
      </c>
      <c r="V181" s="8">
        <v>62089</v>
      </c>
      <c r="W181" s="8">
        <v>76424</v>
      </c>
      <c r="X181" s="9" t="str">
        <f>IF(W181&gt;50000,"Highe Target","Low Target")</f>
        <v>Highe Target</v>
      </c>
      <c r="Y181" s="9" t="str">
        <f t="shared" si="2"/>
        <v>Highe target</v>
      </c>
      <c r="Z181" s="9" t="str" cm="1">
        <f t="array" ref="Z181">_xlfn.IFS(W181&lt;60000,"LOWERTarget",W181&lt;80000,"Medium Target",W181,"Highe Target")</f>
        <v>Medium Target</v>
      </c>
      <c r="AA181" s="8" t="s">
        <v>229</v>
      </c>
      <c r="AB181" s="5" t="str">
        <f>UPPER(AA181)</f>
        <v>STRONG PRESENTATION</v>
      </c>
      <c r="AC181" s="5" t="str">
        <f>LOWER(AA181)</f>
        <v>strong presentation</v>
      </c>
      <c r="AD181" s="5" t="str">
        <f>PROPER(AA181)</f>
        <v>Strong Presentation</v>
      </c>
      <c r="AF181" s="6"/>
    </row>
    <row r="182" ht="14.25" customHeight="1" spans="1:32">
      <c r="A182" s="8" t="s">
        <v>794</v>
      </c>
      <c r="B182" s="8" t="s">
        <v>795</v>
      </c>
      <c r="C182" s="9">
        <f>LEN(B182)</f>
        <v>10</v>
      </c>
      <c r="D182" s="8" t="s">
        <v>93</v>
      </c>
      <c r="E182" s="8" t="str">
        <f>_xlfn.CONCAT(B182,"(",A182,")"," - ",D182)</f>
        <v>Yash Reddy(E1123) - Sales</v>
      </c>
      <c r="F182" s="9" t="str">
        <f>LEFT(E182,FIND("-",E182))</f>
        <v>Yash Reddy(E1123) -</v>
      </c>
      <c r="G182" s="9" t="str">
        <f>RIGHT(E182,LEN(E182)-FIND("-",E182)-1)</f>
        <v>Sales</v>
      </c>
      <c r="H182" s="9">
        <f>FIND("-",E182)</f>
        <v>19</v>
      </c>
      <c r="I182" s="9">
        <f>LEN(E182)-FIND("-",E182)</f>
        <v>6</v>
      </c>
      <c r="J182" s="8" t="s">
        <v>45</v>
      </c>
      <c r="K182" s="9" t="str">
        <f>SUBSTITUTE(J182,"a","@",1)</f>
        <v>B@ngalore</v>
      </c>
      <c r="L182" s="8" t="s">
        <v>796</v>
      </c>
      <c r="M182" s="8" t="str">
        <f>TEXT(L182,"dddd")</f>
        <v>Thursday</v>
      </c>
      <c r="N182" s="8" t="str">
        <f>LEFT(M182,3)</f>
        <v>Thu</v>
      </c>
      <c r="O182" s="8" t="str">
        <f>RIGHT(M182,3)</f>
        <v>day</v>
      </c>
      <c r="P182" s="8">
        <f>MONTH(L182)</f>
        <v>8</v>
      </c>
      <c r="Q182" s="8">
        <f>YEAR(L182)</f>
        <v>2023</v>
      </c>
      <c r="R182" s="8" t="s">
        <v>212</v>
      </c>
      <c r="S182" s="8">
        <f>HOUR(R182)</f>
        <v>8</v>
      </c>
      <c r="T182" s="8">
        <f>MINUTE(R182)</f>
        <v>39</v>
      </c>
      <c r="U182" s="8">
        <f>SECOND(R182)</f>
        <v>56</v>
      </c>
      <c r="V182" s="8">
        <v>83288</v>
      </c>
      <c r="W182" s="8">
        <v>76792</v>
      </c>
      <c r="X182" s="9" t="str">
        <f>IF(W182&gt;50000,"Highe Target","Low Target")</f>
        <v>Highe Target</v>
      </c>
      <c r="Y182" s="9" t="str">
        <f t="shared" si="2"/>
        <v>Highe target</v>
      </c>
      <c r="Z182" s="9" t="str" cm="1">
        <f t="array" ref="Z182">_xlfn.IFS(W182&lt;60000,"LOWERTarget",W182&lt;80000,"Medium Target",W182,"Highe Target")</f>
        <v>Medium Target</v>
      </c>
      <c r="AA182" s="8" t="s">
        <v>71</v>
      </c>
      <c r="AB182" s="5" t="str">
        <f>UPPER(AA182)</f>
        <v>GREAT SUPPORT</v>
      </c>
      <c r="AC182" s="5" t="str">
        <f>LOWER(AA182)</f>
        <v>great support</v>
      </c>
      <c r="AD182" s="5" t="str">
        <f>PROPER(AA182)</f>
        <v>Great Support</v>
      </c>
      <c r="AF182" s="6"/>
    </row>
    <row r="183" ht="14.25" customHeight="1" spans="1:32">
      <c r="A183" s="8" t="s">
        <v>797</v>
      </c>
      <c r="B183" s="8" t="s">
        <v>798</v>
      </c>
      <c r="C183" s="9">
        <f>LEN(B183)</f>
        <v>12</v>
      </c>
      <c r="D183" s="8" t="s">
        <v>44</v>
      </c>
      <c r="E183" s="8" t="str">
        <f>_xlfn.CONCAT(B183,"(",A183,")"," - ",D183)</f>
        <v>Vikram Reddy(E1215) - Marketing</v>
      </c>
      <c r="F183" s="9" t="str">
        <f>LEFT(E183,FIND("-",E183))</f>
        <v>Vikram Reddy(E1215) -</v>
      </c>
      <c r="G183" s="9" t="str">
        <f>RIGHT(E183,LEN(E183)-FIND("-",E183)-1)</f>
        <v>Marketing</v>
      </c>
      <c r="H183" s="9">
        <f>FIND("-",E183)</f>
        <v>21</v>
      </c>
      <c r="I183" s="9">
        <f>LEN(E183)-FIND("-",E183)</f>
        <v>10</v>
      </c>
      <c r="J183" s="8" t="s">
        <v>172</v>
      </c>
      <c r="K183" s="9" t="str">
        <f>SUBSTITUTE(J183,"a","@",1)</f>
        <v>Hyder@bad</v>
      </c>
      <c r="L183" s="8" t="s">
        <v>799</v>
      </c>
      <c r="M183" s="8" t="str">
        <f>TEXT(L183,"dddd")</f>
        <v>Saturday</v>
      </c>
      <c r="N183" s="8" t="str">
        <f>LEFT(M183,3)</f>
        <v>Sat</v>
      </c>
      <c r="O183" s="8" t="str">
        <f>RIGHT(M183,3)</f>
        <v>day</v>
      </c>
      <c r="P183" s="8">
        <f>MONTH(L183)</f>
        <v>4</v>
      </c>
      <c r="Q183" s="8">
        <f>YEAR(L183)</f>
        <v>2021</v>
      </c>
      <c r="R183" s="8" t="s">
        <v>800</v>
      </c>
      <c r="S183" s="8">
        <f>HOUR(R183)</f>
        <v>9</v>
      </c>
      <c r="T183" s="8">
        <f>MINUTE(R183)</f>
        <v>3</v>
      </c>
      <c r="U183" s="8">
        <f>SECOND(R183)</f>
        <v>36</v>
      </c>
      <c r="V183" s="8">
        <v>74575</v>
      </c>
      <c r="W183" s="8">
        <v>76819</v>
      </c>
      <c r="X183" s="9" t="str">
        <f>IF(W183&gt;50000,"Highe Target","Low Target")</f>
        <v>Highe Target</v>
      </c>
      <c r="Y183" s="9" t="str">
        <f t="shared" si="2"/>
        <v>Highe target</v>
      </c>
      <c r="Z183" s="9" t="str" cm="1">
        <f t="array" ref="Z183">_xlfn.IFS(W183&lt;60000,"LOWERTarget",W183&lt;80000,"Medium Target",W183,"Highe Target")</f>
        <v>Medium Target</v>
      </c>
      <c r="AA183" s="8" t="s">
        <v>48</v>
      </c>
      <c r="AB183" s="5" t="str">
        <f>UPPER(AA183)</f>
        <v>CREATIVE IDEAS</v>
      </c>
      <c r="AC183" s="5" t="str">
        <f>LOWER(AA183)</f>
        <v>creative ideas</v>
      </c>
      <c r="AD183" s="5" t="str">
        <f>PROPER(AA183)</f>
        <v>Creative Ideas</v>
      </c>
      <c r="AF183" s="6"/>
    </row>
    <row r="184" ht="14.25" customHeight="1" spans="1:32">
      <c r="A184" s="8" t="s">
        <v>801</v>
      </c>
      <c r="B184" s="8" t="s">
        <v>802</v>
      </c>
      <c r="C184" s="9">
        <f>LEN(B184)</f>
        <v>11</v>
      </c>
      <c r="D184" s="8" t="s">
        <v>44</v>
      </c>
      <c r="E184" s="8" t="str">
        <f>_xlfn.CONCAT(B184,"(",A184,")"," - ",D184)</f>
        <v>Arjun Gupta(E1033) - Marketing</v>
      </c>
      <c r="F184" s="9" t="str">
        <f>LEFT(E184,FIND("-",E184))</f>
        <v>Arjun Gupta(E1033) -</v>
      </c>
      <c r="G184" s="9" t="str">
        <f>RIGHT(E184,LEN(E184)-FIND("-",E184)-1)</f>
        <v>Marketing</v>
      </c>
      <c r="H184" s="9">
        <f>FIND("-",E184)</f>
        <v>20</v>
      </c>
      <c r="I184" s="9">
        <f>LEN(E184)-FIND("-",E184)</f>
        <v>10</v>
      </c>
      <c r="J184" s="8" t="s">
        <v>172</v>
      </c>
      <c r="K184" s="9" t="str">
        <f>SUBSTITUTE(J184,"a","@",1)</f>
        <v>Hyder@bad</v>
      </c>
      <c r="L184" s="8" t="s">
        <v>803</v>
      </c>
      <c r="M184" s="8" t="str">
        <f>TEXT(L184,"dddd")</f>
        <v>Saturday</v>
      </c>
      <c r="N184" s="8" t="str">
        <f>LEFT(M184,3)</f>
        <v>Sat</v>
      </c>
      <c r="O184" s="8" t="str">
        <f>RIGHT(M184,3)</f>
        <v>day</v>
      </c>
      <c r="P184" s="8">
        <f>MONTH(L184)</f>
        <v>5</v>
      </c>
      <c r="Q184" s="8">
        <f>YEAR(L184)</f>
        <v>2021</v>
      </c>
      <c r="R184" s="8" t="s">
        <v>804</v>
      </c>
      <c r="S184" s="8">
        <f>HOUR(R184)</f>
        <v>8</v>
      </c>
      <c r="T184" s="8">
        <f>MINUTE(R184)</f>
        <v>29</v>
      </c>
      <c r="U184" s="8">
        <f>SECOND(R184)</f>
        <v>39</v>
      </c>
      <c r="V184" s="8">
        <v>68448</v>
      </c>
      <c r="W184" s="8">
        <v>76896</v>
      </c>
      <c r="X184" s="9" t="str">
        <f>IF(W184&gt;50000,"Highe Target","Low Target")</f>
        <v>Highe Target</v>
      </c>
      <c r="Y184" s="9" t="str">
        <f t="shared" si="2"/>
        <v>Highe target</v>
      </c>
      <c r="Z184" s="9" t="str" cm="1">
        <f t="array" ref="Z184">_xlfn.IFS(W184&lt;60000,"LOWERTarget",W184&lt;80000,"Medium Target",W184,"Highe Target")</f>
        <v>Medium Target</v>
      </c>
      <c r="AA184" s="8" t="s">
        <v>160</v>
      </c>
      <c r="AB184" s="5" t="str">
        <f>UPPER(AA184)</f>
        <v>GOOD COMMUNICATION</v>
      </c>
      <c r="AC184" s="5" t="str">
        <f>LOWER(AA184)</f>
        <v>good communication</v>
      </c>
      <c r="AD184" s="5" t="str">
        <f>PROPER(AA184)</f>
        <v>Good Communication</v>
      </c>
      <c r="AF184" s="6"/>
    </row>
    <row r="185" ht="14.25" customHeight="1" spans="1:32">
      <c r="A185" s="8" t="s">
        <v>805</v>
      </c>
      <c r="B185" s="8" t="s">
        <v>806</v>
      </c>
      <c r="C185" s="9">
        <f>LEN(B185)</f>
        <v>10</v>
      </c>
      <c r="D185" s="8" t="s">
        <v>35</v>
      </c>
      <c r="E185" s="8" t="str">
        <f>_xlfn.CONCAT(B185,"(",A185,")"," - ",D185)</f>
        <v>Tanya Nair(E1291) - Finance</v>
      </c>
      <c r="F185" s="9" t="str">
        <f>LEFT(E185,FIND("-",E185))</f>
        <v>Tanya Nair(E1291) -</v>
      </c>
      <c r="G185" s="9" t="str">
        <f>RIGHT(E185,LEN(E185)-FIND("-",E185)-1)</f>
        <v>Finance</v>
      </c>
      <c r="H185" s="9">
        <f>FIND("-",E185)</f>
        <v>19</v>
      </c>
      <c r="I185" s="9">
        <f>LEN(E185)-FIND("-",E185)</f>
        <v>8</v>
      </c>
      <c r="J185" s="8" t="s">
        <v>182</v>
      </c>
      <c r="K185" s="9" t="str">
        <f>SUBSTITUTE(J185,"a","@",1)</f>
        <v>Kolk@ta</v>
      </c>
      <c r="L185" s="8" t="s">
        <v>807</v>
      </c>
      <c r="M185" s="8" t="str">
        <f>TEXT(L185,"dddd")</f>
        <v>Friday</v>
      </c>
      <c r="N185" s="8" t="str">
        <f>LEFT(M185,3)</f>
        <v>Fri</v>
      </c>
      <c r="O185" s="8" t="str">
        <f>RIGHT(M185,3)</f>
        <v>day</v>
      </c>
      <c r="P185" s="8">
        <f>MONTH(L185)</f>
        <v>7</v>
      </c>
      <c r="Q185" s="8">
        <f>YEAR(L185)</f>
        <v>2022</v>
      </c>
      <c r="R185" s="8" t="s">
        <v>808</v>
      </c>
      <c r="S185" s="8">
        <f>HOUR(R185)</f>
        <v>9</v>
      </c>
      <c r="T185" s="8">
        <f>MINUTE(R185)</f>
        <v>23</v>
      </c>
      <c r="U185" s="8">
        <f>SECOND(R185)</f>
        <v>7</v>
      </c>
      <c r="V185" s="8">
        <v>75046</v>
      </c>
      <c r="W185" s="8">
        <v>76952</v>
      </c>
      <c r="X185" s="9" t="str">
        <f>IF(W185&gt;50000,"Highe Target","Low Target")</f>
        <v>Highe Target</v>
      </c>
      <c r="Y185" s="9" t="str">
        <f t="shared" si="2"/>
        <v>Highe target</v>
      </c>
      <c r="Z185" s="9" t="str" cm="1">
        <f t="array" ref="Z185">_xlfn.IFS(W185&lt;60000,"LOWERTarget",W185&lt;80000,"Medium Target",W185,"Highe Target")</f>
        <v>Medium Target</v>
      </c>
      <c r="AA185" s="8" t="s">
        <v>79</v>
      </c>
      <c r="AB185" s="5" t="str">
        <f>UPPER(AA185)</f>
        <v>EXCELLENT LEADERSHIP</v>
      </c>
      <c r="AC185" s="5" t="str">
        <f>LOWER(AA185)</f>
        <v>excellent leadership</v>
      </c>
      <c r="AD185" s="5" t="str">
        <f>PROPER(AA185)</f>
        <v>Excellent Leadership</v>
      </c>
      <c r="AF185" s="6"/>
    </row>
    <row r="186" ht="14.25" customHeight="1" spans="1:32">
      <c r="A186" s="8" t="s">
        <v>809</v>
      </c>
      <c r="B186" s="8" t="s">
        <v>810</v>
      </c>
      <c r="C186" s="9">
        <f>LEN(B186)</f>
        <v>15</v>
      </c>
      <c r="D186" s="8" t="s">
        <v>93</v>
      </c>
      <c r="E186" s="8" t="str">
        <f>_xlfn.CONCAT(B186,"(",A186,")"," - ",D186)</f>
        <v>Aakash Malhotra(E1245) - Sales</v>
      </c>
      <c r="F186" s="9" t="str">
        <f>LEFT(E186,FIND("-",E186))</f>
        <v>Aakash Malhotra(E1245) -</v>
      </c>
      <c r="G186" s="9" t="str">
        <f>RIGHT(E186,LEN(E186)-FIND("-",E186)-1)</f>
        <v>Sales</v>
      </c>
      <c r="H186" s="9">
        <f>FIND("-",E186)</f>
        <v>24</v>
      </c>
      <c r="I186" s="9">
        <f>LEN(E186)-FIND("-",E186)</f>
        <v>6</v>
      </c>
      <c r="J186" s="8" t="s">
        <v>36</v>
      </c>
      <c r="K186" s="9" t="str">
        <f>SUBSTITUTE(J186,"a","@",1)</f>
        <v>Ahmed@bad</v>
      </c>
      <c r="L186" s="8" t="s">
        <v>811</v>
      </c>
      <c r="M186" s="8" t="str">
        <f>TEXT(L186,"dddd")</f>
        <v>Tuesday</v>
      </c>
      <c r="N186" s="8" t="str">
        <f>LEFT(M186,3)</f>
        <v>Tue</v>
      </c>
      <c r="O186" s="8" t="str">
        <f>RIGHT(M186,3)</f>
        <v>day</v>
      </c>
      <c r="P186" s="8">
        <f>MONTH(L186)</f>
        <v>9</v>
      </c>
      <c r="Q186" s="8">
        <f>YEAR(L186)</f>
        <v>2021</v>
      </c>
      <c r="R186" s="8" t="s">
        <v>812</v>
      </c>
      <c r="S186" s="8">
        <f>HOUR(R186)</f>
        <v>10</v>
      </c>
      <c r="T186" s="8">
        <f>MINUTE(R186)</f>
        <v>26</v>
      </c>
      <c r="U186" s="8">
        <f>SECOND(R186)</f>
        <v>29</v>
      </c>
      <c r="V186" s="8">
        <v>65739</v>
      </c>
      <c r="W186" s="8">
        <v>76956</v>
      </c>
      <c r="X186" s="9" t="str">
        <f>IF(W186&gt;50000,"Highe Target","Low Target")</f>
        <v>Highe Target</v>
      </c>
      <c r="Y186" s="9" t="str">
        <f t="shared" si="2"/>
        <v>Highe target</v>
      </c>
      <c r="Z186" s="9" t="str" cm="1">
        <f t="array" ref="Z186">_xlfn.IFS(W186&lt;60000,"LOWERTarget",W186&lt;80000,"Medium Target",W186,"Highe Target")</f>
        <v>Medium Target</v>
      </c>
      <c r="AA186" s="8" t="s">
        <v>229</v>
      </c>
      <c r="AB186" s="5" t="str">
        <f>UPPER(AA186)</f>
        <v>STRONG PRESENTATION</v>
      </c>
      <c r="AC186" s="5" t="str">
        <f>LOWER(AA186)</f>
        <v>strong presentation</v>
      </c>
      <c r="AD186" s="5" t="str">
        <f>PROPER(AA186)</f>
        <v>Strong Presentation</v>
      </c>
      <c r="AF186" s="6"/>
    </row>
    <row r="187" ht="14.25" customHeight="1" spans="1:32">
      <c r="A187" s="8" t="s">
        <v>813</v>
      </c>
      <c r="B187" s="8" t="s">
        <v>814</v>
      </c>
      <c r="C187" s="9">
        <f>LEN(B187)</f>
        <v>11</v>
      </c>
      <c r="D187" s="8" t="s">
        <v>93</v>
      </c>
      <c r="E187" s="8" t="str">
        <f>_xlfn.CONCAT(B187,"(",A187,")"," - ",D187)</f>
        <v>Nidhi Mehta(E1129) - Sales</v>
      </c>
      <c r="F187" s="9" t="str">
        <f>LEFT(E187,FIND("-",E187))</f>
        <v>Nidhi Mehta(E1129) -</v>
      </c>
      <c r="G187" s="9" t="str">
        <f>RIGHT(E187,LEN(E187)-FIND("-",E187)-1)</f>
        <v>Sales</v>
      </c>
      <c r="H187" s="9">
        <f>FIND("-",E187)</f>
        <v>20</v>
      </c>
      <c r="I187" s="9">
        <f>LEN(E187)-FIND("-",E187)</f>
        <v>6</v>
      </c>
      <c r="J187" s="8" t="s">
        <v>153</v>
      </c>
      <c r="K187" s="9" t="str">
        <f>SUBSTITUTE(J187,"a","@",1)</f>
        <v>Mumb@i</v>
      </c>
      <c r="L187" s="8" t="s">
        <v>815</v>
      </c>
      <c r="M187" s="8" t="str">
        <f>TEXT(L187,"dddd")</f>
        <v>Tuesday</v>
      </c>
      <c r="N187" s="8" t="str">
        <f>LEFT(M187,3)</f>
        <v>Tue</v>
      </c>
      <c r="O187" s="8" t="str">
        <f>RIGHT(M187,3)</f>
        <v>day</v>
      </c>
      <c r="P187" s="8">
        <f>MONTH(L187)</f>
        <v>11</v>
      </c>
      <c r="Q187" s="8">
        <f>YEAR(L187)</f>
        <v>2022</v>
      </c>
      <c r="R187" s="8" t="s">
        <v>780</v>
      </c>
      <c r="S187" s="8">
        <f>HOUR(R187)</f>
        <v>8</v>
      </c>
      <c r="T187" s="8">
        <f>MINUTE(R187)</f>
        <v>8</v>
      </c>
      <c r="U187" s="8">
        <f>SECOND(R187)</f>
        <v>50</v>
      </c>
      <c r="V187" s="8">
        <v>75448</v>
      </c>
      <c r="W187" s="8">
        <v>77000</v>
      </c>
      <c r="X187" s="9" t="str">
        <f>IF(W187&gt;50000,"Highe Target","Low Target")</f>
        <v>Highe Target</v>
      </c>
      <c r="Y187" s="9" t="str">
        <f t="shared" si="2"/>
        <v>Highe target</v>
      </c>
      <c r="Z187" s="9" t="str" cm="1">
        <f t="array" ref="Z187">_xlfn.IFS(W187&lt;60000,"LOWERTarget",W187&lt;80000,"Medium Target",W187,"Highe Target")</f>
        <v>Medium Target</v>
      </c>
      <c r="AA187" s="8" t="s">
        <v>160</v>
      </c>
      <c r="AB187" s="5" t="str">
        <f>UPPER(AA187)</f>
        <v>GOOD COMMUNICATION</v>
      </c>
      <c r="AC187" s="5" t="str">
        <f>LOWER(AA187)</f>
        <v>good communication</v>
      </c>
      <c r="AD187" s="5" t="str">
        <f>PROPER(AA187)</f>
        <v>Good Communication</v>
      </c>
      <c r="AF187" s="6"/>
    </row>
    <row r="188" ht="14.25" customHeight="1" spans="1:32">
      <c r="A188" s="8" t="s">
        <v>816</v>
      </c>
      <c r="B188" s="8" t="s">
        <v>817</v>
      </c>
      <c r="C188" s="9">
        <f>LEN(B188)</f>
        <v>10</v>
      </c>
      <c r="D188" s="8" t="s">
        <v>93</v>
      </c>
      <c r="E188" s="8" t="str">
        <f>_xlfn.CONCAT(B188,"(",A188,")"," - ",D188)</f>
        <v>Amit Joshi(E1275) - Sales</v>
      </c>
      <c r="F188" s="9" t="str">
        <f>LEFT(E188,FIND("-",E188))</f>
        <v>Amit Joshi(E1275) -</v>
      </c>
      <c r="G188" s="9" t="str">
        <f>RIGHT(E188,LEN(E188)-FIND("-",E188)-1)</f>
        <v>Sales</v>
      </c>
      <c r="H188" s="9">
        <f>FIND("-",E188)</f>
        <v>19</v>
      </c>
      <c r="I188" s="9">
        <f>LEN(E188)-FIND("-",E188)</f>
        <v>6</v>
      </c>
      <c r="J188" s="8" t="s">
        <v>36</v>
      </c>
      <c r="K188" s="9" t="str">
        <f>SUBSTITUTE(J188,"a","@",1)</f>
        <v>Ahmed@bad</v>
      </c>
      <c r="L188" s="8" t="s">
        <v>818</v>
      </c>
      <c r="M188" s="8" t="str">
        <f>TEXT(L188,"dddd")</f>
        <v>Thursday</v>
      </c>
      <c r="N188" s="8" t="str">
        <f>LEFT(M188,3)</f>
        <v>Thu</v>
      </c>
      <c r="O188" s="8" t="str">
        <f>RIGHT(M188,3)</f>
        <v>day</v>
      </c>
      <c r="P188" s="8">
        <f>MONTH(L188)</f>
        <v>6</v>
      </c>
      <c r="Q188" s="8">
        <f>YEAR(L188)</f>
        <v>2023</v>
      </c>
      <c r="R188" s="8" t="s">
        <v>819</v>
      </c>
      <c r="S188" s="8">
        <f>HOUR(R188)</f>
        <v>10</v>
      </c>
      <c r="T188" s="8">
        <f>MINUTE(R188)</f>
        <v>50</v>
      </c>
      <c r="U188" s="8">
        <f>SECOND(R188)</f>
        <v>21</v>
      </c>
      <c r="V188" s="8">
        <v>68332</v>
      </c>
      <c r="W188" s="8">
        <v>77083</v>
      </c>
      <c r="X188" s="9" t="str">
        <f>IF(W188&gt;50000,"Highe Target","Low Target")</f>
        <v>Highe Target</v>
      </c>
      <c r="Y188" s="9" t="str">
        <f t="shared" si="2"/>
        <v>Highe target</v>
      </c>
      <c r="Z188" s="9" t="str" cm="1">
        <f t="array" ref="Z188">_xlfn.IFS(W188&lt;60000,"LOWERTarget",W188&lt;80000,"Medium Target",W188,"Highe Target")</f>
        <v>Medium Target</v>
      </c>
      <c r="AA188" s="8" t="s">
        <v>71</v>
      </c>
      <c r="AB188" s="5" t="str">
        <f>UPPER(AA188)</f>
        <v>GREAT SUPPORT</v>
      </c>
      <c r="AC188" s="5" t="str">
        <f>LOWER(AA188)</f>
        <v>great support</v>
      </c>
      <c r="AD188" s="5" t="str">
        <f>PROPER(AA188)</f>
        <v>Great Support</v>
      </c>
      <c r="AF188" s="6"/>
    </row>
    <row r="189" ht="14.25" customHeight="1" spans="1:32">
      <c r="A189" s="8" t="s">
        <v>820</v>
      </c>
      <c r="B189" s="8" t="s">
        <v>609</v>
      </c>
      <c r="C189" s="9">
        <f>LEN(B189)</f>
        <v>11</v>
      </c>
      <c r="D189" s="8" t="s">
        <v>93</v>
      </c>
      <c r="E189" s="8" t="str">
        <f>_xlfn.CONCAT(B189,"(",A189,")"," - ",D189)</f>
        <v>Arjun Verma(E1090) - Sales</v>
      </c>
      <c r="F189" s="9" t="str">
        <f>LEFT(E189,FIND("-",E189))</f>
        <v>Arjun Verma(E1090) -</v>
      </c>
      <c r="G189" s="9" t="str">
        <f>RIGHT(E189,LEN(E189)-FIND("-",E189)-1)</f>
        <v>Sales</v>
      </c>
      <c r="H189" s="9">
        <f>FIND("-",E189)</f>
        <v>20</v>
      </c>
      <c r="I189" s="9">
        <f>LEN(E189)-FIND("-",E189)</f>
        <v>6</v>
      </c>
      <c r="J189" s="8" t="s">
        <v>53</v>
      </c>
      <c r="K189" s="9" t="str">
        <f>SUBSTITUTE(J189,"a","@",1)</f>
        <v>Delhi</v>
      </c>
      <c r="L189" s="8" t="s">
        <v>821</v>
      </c>
      <c r="M189" s="8" t="str">
        <f>TEXT(L189,"dddd")</f>
        <v>Thursday</v>
      </c>
      <c r="N189" s="8" t="str">
        <f>LEFT(M189,3)</f>
        <v>Thu</v>
      </c>
      <c r="O189" s="8" t="str">
        <f>RIGHT(M189,3)</f>
        <v>day</v>
      </c>
      <c r="P189" s="8">
        <f>MONTH(L189)</f>
        <v>9</v>
      </c>
      <c r="Q189" s="8">
        <f>YEAR(L189)</f>
        <v>2022</v>
      </c>
      <c r="R189" s="8" t="s">
        <v>822</v>
      </c>
      <c r="S189" s="8">
        <f>HOUR(R189)</f>
        <v>10</v>
      </c>
      <c r="T189" s="8">
        <f>MINUTE(R189)</f>
        <v>47</v>
      </c>
      <c r="U189" s="8">
        <f>SECOND(R189)</f>
        <v>52</v>
      </c>
      <c r="V189" s="8">
        <v>81217</v>
      </c>
      <c r="W189" s="8">
        <v>77303</v>
      </c>
      <c r="X189" s="9" t="str">
        <f>IF(W189&gt;50000,"Highe Target","Low Target")</f>
        <v>Highe Target</v>
      </c>
      <c r="Y189" s="9" t="str">
        <f t="shared" si="2"/>
        <v>Highe target</v>
      </c>
      <c r="Z189" s="9" t="str" cm="1">
        <f t="array" ref="Z189">_xlfn.IFS(W189&lt;60000,"LOWERTarget",W189&lt;80000,"Medium Target",W189,"Highe Target")</f>
        <v>Medium Target</v>
      </c>
      <c r="AA189" s="8" t="s">
        <v>56</v>
      </c>
      <c r="AB189" s="5" t="str">
        <f>UPPER(AA189)</f>
        <v>   HELPFUL ATTITUDE   </v>
      </c>
      <c r="AC189" s="5" t="str">
        <f>LOWER(AA189)</f>
        <v>   helpful attitude   </v>
      </c>
      <c r="AD189" s="5" t="str">
        <f>PROPER(AA189)</f>
        <v>   Helpful Attitude   </v>
      </c>
      <c r="AF189" s="6"/>
    </row>
    <row r="190" ht="14.25" customHeight="1" spans="1:32">
      <c r="A190" s="8" t="s">
        <v>823</v>
      </c>
      <c r="B190" s="8" t="s">
        <v>824</v>
      </c>
      <c r="C190" s="9">
        <f>LEN(B190)</f>
        <v>11</v>
      </c>
      <c r="D190" s="8" t="s">
        <v>35</v>
      </c>
      <c r="E190" s="8" t="str">
        <f>_xlfn.CONCAT(B190,"(",A190,")"," - ",D190)</f>
        <v>Pooja Kumar(E1181) - Finance</v>
      </c>
      <c r="F190" s="9" t="str">
        <f>LEFT(E190,FIND("-",E190))</f>
        <v>Pooja Kumar(E1181) -</v>
      </c>
      <c r="G190" s="9" t="str">
        <f>RIGHT(E190,LEN(E190)-FIND("-",E190)-1)</f>
        <v>Finance</v>
      </c>
      <c r="H190" s="9">
        <f>FIND("-",E190)</f>
        <v>20</v>
      </c>
      <c r="I190" s="9">
        <f>LEN(E190)-FIND("-",E190)</f>
        <v>8</v>
      </c>
      <c r="J190" s="8" t="s">
        <v>182</v>
      </c>
      <c r="K190" s="9" t="str">
        <f>SUBSTITUTE(J190,"a","@",1)</f>
        <v>Kolk@ta</v>
      </c>
      <c r="L190" s="8" t="s">
        <v>825</v>
      </c>
      <c r="M190" s="8" t="str">
        <f>TEXT(L190,"dddd")</f>
        <v>Monday</v>
      </c>
      <c r="N190" s="8" t="str">
        <f>LEFT(M190,3)</f>
        <v>Mon</v>
      </c>
      <c r="O190" s="8" t="str">
        <f>RIGHT(M190,3)</f>
        <v>day</v>
      </c>
      <c r="P190" s="8">
        <f>MONTH(L190)</f>
        <v>1</v>
      </c>
      <c r="Q190" s="8">
        <f>YEAR(L190)</f>
        <v>2021</v>
      </c>
      <c r="R190" s="8" t="s">
        <v>826</v>
      </c>
      <c r="S190" s="8">
        <f>HOUR(R190)</f>
        <v>10</v>
      </c>
      <c r="T190" s="8">
        <f>MINUTE(R190)</f>
        <v>22</v>
      </c>
      <c r="U190" s="8">
        <f>SECOND(R190)</f>
        <v>15</v>
      </c>
      <c r="V190" s="8">
        <v>89699</v>
      </c>
      <c r="W190" s="8">
        <v>77399</v>
      </c>
      <c r="X190" s="9" t="str">
        <f>IF(W190&gt;50000,"Highe Target","Low Target")</f>
        <v>Highe Target</v>
      </c>
      <c r="Y190" s="9" t="str">
        <f t="shared" si="2"/>
        <v>Highe target</v>
      </c>
      <c r="Z190" s="9" t="str" cm="1">
        <f t="array" ref="Z190">_xlfn.IFS(W190&lt;60000,"LOWERTarget",W190&lt;80000,"Medium Target",W190,"Highe Target")</f>
        <v>Medium Target</v>
      </c>
      <c r="AA190" s="8" t="s">
        <v>285</v>
      </c>
      <c r="AB190" s="5" t="str">
        <f>UPPER(AA190)</f>
        <v>QUICK RESPONSE</v>
      </c>
      <c r="AC190" s="5" t="str">
        <f>LOWER(AA190)</f>
        <v>quick response</v>
      </c>
      <c r="AD190" s="5" t="str">
        <f>PROPER(AA190)</f>
        <v>Quick Response</v>
      </c>
      <c r="AF190" s="6"/>
    </row>
    <row r="191" ht="14.25" customHeight="1" spans="1:32">
      <c r="A191" s="8" t="s">
        <v>827</v>
      </c>
      <c r="B191" s="8" t="s">
        <v>828</v>
      </c>
      <c r="C191" s="9">
        <f>LEN(B191)</f>
        <v>11</v>
      </c>
      <c r="D191" s="8" t="s">
        <v>35</v>
      </c>
      <c r="E191" s="8" t="str">
        <f>_xlfn.CONCAT(B191,"(",A191,")"," - ",D191)</f>
        <v>Varun Joshi(E1068) - Finance</v>
      </c>
      <c r="F191" s="9" t="str">
        <f>LEFT(E191,FIND("-",E191))</f>
        <v>Varun Joshi(E1068) -</v>
      </c>
      <c r="G191" s="9" t="str">
        <f>RIGHT(E191,LEN(E191)-FIND("-",E191)-1)</f>
        <v>Finance</v>
      </c>
      <c r="H191" s="9">
        <f>FIND("-",E191)</f>
        <v>20</v>
      </c>
      <c r="I191" s="9">
        <f>LEN(E191)-FIND("-",E191)</f>
        <v>8</v>
      </c>
      <c r="J191" s="8" t="s">
        <v>76</v>
      </c>
      <c r="K191" s="9" t="str">
        <f>SUBSTITUTE(J191,"a","@",1)</f>
        <v>Pune</v>
      </c>
      <c r="L191" s="8" t="s">
        <v>829</v>
      </c>
      <c r="M191" s="8" t="str">
        <f>TEXT(L191,"dddd")</f>
        <v>Sunday</v>
      </c>
      <c r="N191" s="8" t="str">
        <f>LEFT(M191,3)</f>
        <v>Sun</v>
      </c>
      <c r="O191" s="8" t="str">
        <f>RIGHT(M191,3)</f>
        <v>day</v>
      </c>
      <c r="P191" s="8">
        <f>MONTH(L191)</f>
        <v>3</v>
      </c>
      <c r="Q191" s="8">
        <f>YEAR(L191)</f>
        <v>2024</v>
      </c>
      <c r="R191" s="8" t="s">
        <v>830</v>
      </c>
      <c r="S191" s="8">
        <f>HOUR(R191)</f>
        <v>8</v>
      </c>
      <c r="T191" s="8">
        <f>MINUTE(R191)</f>
        <v>59</v>
      </c>
      <c r="U191" s="8">
        <f>SECOND(R191)</f>
        <v>19</v>
      </c>
      <c r="V191" s="8">
        <v>87331</v>
      </c>
      <c r="W191" s="8">
        <v>77735</v>
      </c>
      <c r="X191" s="9" t="str">
        <f>IF(W191&gt;50000,"Highe Target","Low Target")</f>
        <v>Highe Target</v>
      </c>
      <c r="Y191" s="9" t="str">
        <f t="shared" si="2"/>
        <v>Highe target</v>
      </c>
      <c r="Z191" s="9" t="str" cm="1">
        <f t="array" ref="Z191">_xlfn.IFS(W191&lt;60000,"LOWERTarget",W191&lt;80000,"Medium Target",W191,"Highe Target")</f>
        <v>Medium Target</v>
      </c>
      <c r="AA191" s="8" t="s">
        <v>39</v>
      </c>
      <c r="AB191" s="5" t="str">
        <f>UPPER(AA191)</f>
        <v>DETAILED ANALYSIS</v>
      </c>
      <c r="AC191" s="5" t="str">
        <f>LOWER(AA191)</f>
        <v>detailed analysis</v>
      </c>
      <c r="AD191" s="5" t="str">
        <f>PROPER(AA191)</f>
        <v>Detailed Analysis</v>
      </c>
      <c r="AF191" s="6"/>
    </row>
    <row r="192" ht="14.25" customHeight="1" spans="1:32">
      <c r="A192" s="8" t="s">
        <v>831</v>
      </c>
      <c r="B192" s="8" t="s">
        <v>171</v>
      </c>
      <c r="C192" s="9">
        <f>LEN(B192)</f>
        <v>14</v>
      </c>
      <c r="D192" s="8" t="s">
        <v>93</v>
      </c>
      <c r="E192" s="8" t="str">
        <f>_xlfn.CONCAT(B192,"(",A192,")"," - ",D192)</f>
        <v>Madhuri Mishra(E1206) - Sales</v>
      </c>
      <c r="F192" s="9" t="str">
        <f>LEFT(E192,FIND("-",E192))</f>
        <v>Madhuri Mishra(E1206) -</v>
      </c>
      <c r="G192" s="9" t="str">
        <f>RIGHT(E192,LEN(E192)-FIND("-",E192)-1)</f>
        <v>Sales</v>
      </c>
      <c r="H192" s="9">
        <f>FIND("-",E192)</f>
        <v>23</v>
      </c>
      <c r="I192" s="9">
        <f>LEN(E192)-FIND("-",E192)</f>
        <v>6</v>
      </c>
      <c r="J192" s="8" t="s">
        <v>153</v>
      </c>
      <c r="K192" s="9" t="str">
        <f>SUBSTITUTE(J192,"a","@",1)</f>
        <v>Mumb@i</v>
      </c>
      <c r="L192" s="8" t="s">
        <v>527</v>
      </c>
      <c r="M192" s="8" t="str">
        <f>TEXT(L192,"dddd")</f>
        <v>Wednesday</v>
      </c>
      <c r="N192" s="8" t="str">
        <f>LEFT(M192,3)</f>
        <v>Wed</v>
      </c>
      <c r="O192" s="8" t="str">
        <f>RIGHT(M192,3)</f>
        <v>day</v>
      </c>
      <c r="P192" s="8">
        <f>MONTH(L192)</f>
        <v>6</v>
      </c>
      <c r="Q192" s="8">
        <f>YEAR(L192)</f>
        <v>2021</v>
      </c>
      <c r="R192" s="8" t="s">
        <v>832</v>
      </c>
      <c r="S192" s="8">
        <f>HOUR(R192)</f>
        <v>8</v>
      </c>
      <c r="T192" s="8">
        <f>MINUTE(R192)</f>
        <v>41</v>
      </c>
      <c r="U192" s="8">
        <f>SECOND(R192)</f>
        <v>49</v>
      </c>
      <c r="V192" s="8">
        <v>80143</v>
      </c>
      <c r="W192" s="8">
        <v>77799</v>
      </c>
      <c r="X192" s="9" t="str">
        <f>IF(W192&gt;50000,"Highe Target","Low Target")</f>
        <v>Highe Target</v>
      </c>
      <c r="Y192" s="9" t="str">
        <f t="shared" si="2"/>
        <v>Highe target</v>
      </c>
      <c r="Z192" s="9" t="str" cm="1">
        <f t="array" ref="Z192">_xlfn.IFS(W192&lt;60000,"LOWERTarget",W192&lt;80000,"Medium Target",W192,"Highe Target")</f>
        <v>Medium Target</v>
      </c>
      <c r="AA192" s="8" t="s">
        <v>138</v>
      </c>
      <c r="AB192" s="5" t="str">
        <f>UPPER(AA192)</f>
        <v>GOOD TEAMWORK</v>
      </c>
      <c r="AC192" s="5" t="str">
        <f>LOWER(AA192)</f>
        <v>good teamwork</v>
      </c>
      <c r="AD192" s="5" t="str">
        <f>PROPER(AA192)</f>
        <v>Good Teamwork</v>
      </c>
      <c r="AF192" s="6"/>
    </row>
    <row r="193" ht="14.25" customHeight="1" spans="1:32">
      <c r="A193" s="8" t="s">
        <v>833</v>
      </c>
      <c r="B193" s="8" t="s">
        <v>834</v>
      </c>
      <c r="C193" s="9">
        <f>LEN(B193)</f>
        <v>12</v>
      </c>
      <c r="D193" s="8" t="s">
        <v>93</v>
      </c>
      <c r="E193" s="8" t="str">
        <f>_xlfn.CONCAT(B193,"(",A193,")"," - ",D193)</f>
        <v>Deepak Gupta(E1246) - Sales</v>
      </c>
      <c r="F193" s="9" t="str">
        <f>LEFT(E193,FIND("-",E193))</f>
        <v>Deepak Gupta(E1246) -</v>
      </c>
      <c r="G193" s="9" t="str">
        <f>RIGHT(E193,LEN(E193)-FIND("-",E193)-1)</f>
        <v>Sales</v>
      </c>
      <c r="H193" s="9">
        <f>FIND("-",E193)</f>
        <v>21</v>
      </c>
      <c r="I193" s="9">
        <f>LEN(E193)-FIND("-",E193)</f>
        <v>6</v>
      </c>
      <c r="J193" s="8" t="s">
        <v>182</v>
      </c>
      <c r="K193" s="9" t="str">
        <f>SUBSTITUTE(J193,"a","@",1)</f>
        <v>Kolk@ta</v>
      </c>
      <c r="L193" s="8" t="s">
        <v>835</v>
      </c>
      <c r="M193" s="8" t="str">
        <f>TEXT(L193,"dddd")</f>
        <v>Monday</v>
      </c>
      <c r="N193" s="8" t="str">
        <f>LEFT(M193,3)</f>
        <v>Mon</v>
      </c>
      <c r="O193" s="8" t="str">
        <f>RIGHT(M193,3)</f>
        <v>day</v>
      </c>
      <c r="P193" s="8">
        <f>MONTH(L193)</f>
        <v>6</v>
      </c>
      <c r="Q193" s="8">
        <f>YEAR(L193)</f>
        <v>2022</v>
      </c>
      <c r="R193" s="8" t="s">
        <v>836</v>
      </c>
      <c r="S193" s="8">
        <f>HOUR(R193)</f>
        <v>8</v>
      </c>
      <c r="T193" s="8">
        <f>MINUTE(R193)</f>
        <v>47</v>
      </c>
      <c r="U193" s="8">
        <f>SECOND(R193)</f>
        <v>13</v>
      </c>
      <c r="V193" s="8">
        <v>67686</v>
      </c>
      <c r="W193" s="8">
        <v>77900</v>
      </c>
      <c r="X193" s="9" t="str">
        <f>IF(W193&gt;50000,"Highe Target","Low Target")</f>
        <v>Highe Target</v>
      </c>
      <c r="Y193" s="9" t="str">
        <f t="shared" si="2"/>
        <v>Highe target</v>
      </c>
      <c r="Z193" s="9" t="str" cm="1">
        <f t="array" ref="Z193">_xlfn.IFS(W193&lt;60000,"LOWERTarget",W193&lt;80000,"Medium Target",W193,"Highe Target")</f>
        <v>Medium Target</v>
      </c>
      <c r="AA193" s="8" t="s">
        <v>87</v>
      </c>
      <c r="AB193" s="5" t="str">
        <f>UPPER(AA193)</f>
        <v>EXCELLENT SERVICE</v>
      </c>
      <c r="AC193" s="5" t="str">
        <f>LOWER(AA193)</f>
        <v>excellent service</v>
      </c>
      <c r="AD193" s="5" t="str">
        <f>PROPER(AA193)</f>
        <v>Excellent Service</v>
      </c>
      <c r="AF193" s="6"/>
    </row>
    <row r="194" ht="14.25" customHeight="1" spans="1:32">
      <c r="A194" s="8" t="s">
        <v>837</v>
      </c>
      <c r="B194" s="8" t="s">
        <v>838</v>
      </c>
      <c r="C194" s="9">
        <f>LEN(B194)</f>
        <v>12</v>
      </c>
      <c r="D194" s="8" t="s">
        <v>93</v>
      </c>
      <c r="E194" s="8" t="str">
        <f>_xlfn.CONCAT(B194,"(",A194,")"," - ",D194)</f>
        <v>Manish Gupta(E1221) - Sales</v>
      </c>
      <c r="F194" s="9" t="str">
        <f>LEFT(E194,FIND("-",E194))</f>
        <v>Manish Gupta(E1221) -</v>
      </c>
      <c r="G194" s="9" t="str">
        <f>RIGHT(E194,LEN(E194)-FIND("-",E194)-1)</f>
        <v>Sales</v>
      </c>
      <c r="H194" s="9">
        <f>FIND("-",E194)</f>
        <v>21</v>
      </c>
      <c r="I194" s="9">
        <f>LEN(E194)-FIND("-",E194)</f>
        <v>6</v>
      </c>
      <c r="J194" s="8" t="s">
        <v>36</v>
      </c>
      <c r="K194" s="9" t="str">
        <f>SUBSTITUTE(J194,"a","@",1)</f>
        <v>Ahmed@bad</v>
      </c>
      <c r="L194" s="8" t="s">
        <v>839</v>
      </c>
      <c r="M194" s="8" t="str">
        <f>TEXT(L194,"dddd")</f>
        <v>Tuesday</v>
      </c>
      <c r="N194" s="8" t="str">
        <f>LEFT(M194,3)</f>
        <v>Tue</v>
      </c>
      <c r="O194" s="8" t="str">
        <f>RIGHT(M194,3)</f>
        <v>day</v>
      </c>
      <c r="P194" s="8">
        <f>MONTH(L194)</f>
        <v>6</v>
      </c>
      <c r="Q194" s="8">
        <f>YEAR(L194)</f>
        <v>2022</v>
      </c>
      <c r="R194" s="8" t="s">
        <v>840</v>
      </c>
      <c r="S194" s="8">
        <f>HOUR(R194)</f>
        <v>10</v>
      </c>
      <c r="T194" s="8">
        <f>MINUTE(R194)</f>
        <v>50</v>
      </c>
      <c r="U194" s="8">
        <f>SECOND(R194)</f>
        <v>49</v>
      </c>
      <c r="V194" s="8">
        <v>77822</v>
      </c>
      <c r="W194" s="8">
        <v>77910</v>
      </c>
      <c r="X194" s="9" t="str">
        <f>IF(W194&gt;50000,"Highe Target","Low Target")</f>
        <v>Highe Target</v>
      </c>
      <c r="Y194" s="9" t="str">
        <f t="shared" ref="Y194:Y257" si="3">IF(NOT(W194&lt;50000),"Highe target","Lower Target")</f>
        <v>Highe target</v>
      </c>
      <c r="Z194" s="9" t="str" cm="1">
        <f t="array" ref="Z194">_xlfn.IFS(W194&lt;60000,"LOWERTarget",W194&lt;80000,"Medium Target",W194,"Highe Target")</f>
        <v>Medium Target</v>
      </c>
      <c r="AA194" s="8" t="s">
        <v>96</v>
      </c>
      <c r="AB194" s="5" t="str">
        <f>UPPER(AA194)</f>
        <v>FAST DELIVERY</v>
      </c>
      <c r="AC194" s="5" t="str">
        <f>LOWER(AA194)</f>
        <v>fast delivery</v>
      </c>
      <c r="AD194" s="5" t="str">
        <f>PROPER(AA194)</f>
        <v>Fast Delivery</v>
      </c>
      <c r="AF194" s="6"/>
    </row>
    <row r="195" ht="14.25" customHeight="1" spans="1:32">
      <c r="A195" s="8" t="s">
        <v>841</v>
      </c>
      <c r="B195" s="8" t="s">
        <v>842</v>
      </c>
      <c r="C195" s="9">
        <f>LEN(B195)</f>
        <v>10</v>
      </c>
      <c r="D195" s="8" t="s">
        <v>93</v>
      </c>
      <c r="E195" s="8" t="str">
        <f>_xlfn.CONCAT(B195,"(",A195,")"," - ",D195)</f>
        <v>Amit Singh(E1039) - Sales</v>
      </c>
      <c r="F195" s="9" t="str">
        <f>LEFT(E195,FIND("-",E195))</f>
        <v>Amit Singh(E1039) -</v>
      </c>
      <c r="G195" s="9" t="str">
        <f>RIGHT(E195,LEN(E195)-FIND("-",E195)-1)</f>
        <v>Sales</v>
      </c>
      <c r="H195" s="9">
        <f>FIND("-",E195)</f>
        <v>19</v>
      </c>
      <c r="I195" s="9">
        <f>LEN(E195)-FIND("-",E195)</f>
        <v>6</v>
      </c>
      <c r="J195" s="8" t="s">
        <v>53</v>
      </c>
      <c r="K195" s="9" t="str">
        <f>SUBSTITUTE(J195,"a","@",1)</f>
        <v>Delhi</v>
      </c>
      <c r="L195" s="8" t="s">
        <v>843</v>
      </c>
      <c r="M195" s="8" t="str">
        <f>TEXT(L195,"dddd")</f>
        <v>Tuesday</v>
      </c>
      <c r="N195" s="8" t="str">
        <f>LEFT(M195,3)</f>
        <v>Tue</v>
      </c>
      <c r="O195" s="8" t="str">
        <f>RIGHT(M195,3)</f>
        <v>day</v>
      </c>
      <c r="P195" s="8">
        <f>MONTH(L195)</f>
        <v>1</v>
      </c>
      <c r="Q195" s="8">
        <f>YEAR(L195)</f>
        <v>2024</v>
      </c>
      <c r="R195" s="8" t="s">
        <v>844</v>
      </c>
      <c r="S195" s="8">
        <f>HOUR(R195)</f>
        <v>8</v>
      </c>
      <c r="T195" s="8">
        <f>MINUTE(R195)</f>
        <v>53</v>
      </c>
      <c r="U195" s="8">
        <f>SECOND(R195)</f>
        <v>23</v>
      </c>
      <c r="V195" s="8">
        <v>72880</v>
      </c>
      <c r="W195" s="8">
        <v>78175</v>
      </c>
      <c r="X195" s="9" t="str">
        <f>IF(W195&gt;50000,"Highe Target","Low Target")</f>
        <v>Highe Target</v>
      </c>
      <c r="Y195" s="9" t="str">
        <f t="shared" si="3"/>
        <v>Highe target</v>
      </c>
      <c r="Z195" s="9" t="str" cm="1">
        <f t="array" ref="Z195">_xlfn.IFS(W195&lt;60000,"LOWERTarget",W195&lt;80000,"Medium Target",W195,"Highe Target")</f>
        <v>Medium Target</v>
      </c>
      <c r="AA195" s="8" t="s">
        <v>39</v>
      </c>
      <c r="AB195" s="5" t="str">
        <f>UPPER(AA195)</f>
        <v>DETAILED ANALYSIS</v>
      </c>
      <c r="AC195" s="5" t="str">
        <f>LOWER(AA195)</f>
        <v>detailed analysis</v>
      </c>
      <c r="AD195" s="5" t="str">
        <f>PROPER(AA195)</f>
        <v>Detailed Analysis</v>
      </c>
      <c r="AF195" s="6"/>
    </row>
    <row r="196" ht="14.25" customHeight="1" spans="1:32">
      <c r="A196" s="8" t="s">
        <v>845</v>
      </c>
      <c r="B196" s="8" t="s">
        <v>321</v>
      </c>
      <c r="C196" s="9">
        <f>LEN(B196)</f>
        <v>12</v>
      </c>
      <c r="D196" s="8" t="s">
        <v>60</v>
      </c>
      <c r="E196" s="8" t="str">
        <f>_xlfn.CONCAT(B196,"(",A196,")"," - ",D196)</f>
        <v>Priya Mishra(E1265) - HR</v>
      </c>
      <c r="F196" s="9" t="str">
        <f>LEFT(E196,FIND("-",E196))</f>
        <v>Priya Mishra(E1265) -</v>
      </c>
      <c r="G196" s="9" t="str">
        <f>RIGHT(E196,LEN(E196)-FIND("-",E196)-1)</f>
        <v>HR</v>
      </c>
      <c r="H196" s="9">
        <f>FIND("-",E196)</f>
        <v>21</v>
      </c>
      <c r="I196" s="9">
        <f>LEN(E196)-FIND("-",E196)</f>
        <v>3</v>
      </c>
      <c r="J196" s="8" t="s">
        <v>53</v>
      </c>
      <c r="K196" s="9" t="str">
        <f>SUBSTITUTE(J196,"a","@",1)</f>
        <v>Delhi</v>
      </c>
      <c r="L196" s="8" t="s">
        <v>846</v>
      </c>
      <c r="M196" s="8" t="str">
        <f>TEXT(L196,"dddd")</f>
        <v>Wednesday</v>
      </c>
      <c r="N196" s="8" t="str">
        <f>LEFT(M196,3)</f>
        <v>Wed</v>
      </c>
      <c r="O196" s="8" t="str">
        <f>RIGHT(M196,3)</f>
        <v>day</v>
      </c>
      <c r="P196" s="8">
        <f>MONTH(L196)</f>
        <v>2</v>
      </c>
      <c r="Q196" s="8">
        <f>YEAR(L196)</f>
        <v>2021</v>
      </c>
      <c r="R196" s="8" t="s">
        <v>847</v>
      </c>
      <c r="S196" s="8">
        <f>HOUR(R196)</f>
        <v>9</v>
      </c>
      <c r="T196" s="8">
        <f>MINUTE(R196)</f>
        <v>35</v>
      </c>
      <c r="U196" s="8">
        <f>SECOND(R196)</f>
        <v>59</v>
      </c>
      <c r="V196" s="8">
        <v>90641</v>
      </c>
      <c r="W196" s="8">
        <v>78275</v>
      </c>
      <c r="X196" s="9" t="str">
        <f>IF(W196&gt;50000,"Highe Target","Low Target")</f>
        <v>Highe Target</v>
      </c>
      <c r="Y196" s="9" t="str">
        <f t="shared" si="3"/>
        <v>Highe target</v>
      </c>
      <c r="Z196" s="9" t="str" cm="1">
        <f t="array" ref="Z196">_xlfn.IFS(W196&lt;60000,"LOWERTarget",W196&lt;80000,"Medium Target",W196,"Highe Target")</f>
        <v>Medium Target</v>
      </c>
      <c r="AA196" s="8" t="s">
        <v>848</v>
      </c>
      <c r="AB196" s="5" t="str">
        <f>UPPER(AA196)</f>
        <v>   NEEDS IMPROVEMENT   </v>
      </c>
      <c r="AC196" s="5" t="str">
        <f>LOWER(AA196)</f>
        <v>   needs improvement   </v>
      </c>
      <c r="AD196" s="5" t="str">
        <f>PROPER(AA196)</f>
        <v>   Needs Improvement   </v>
      </c>
      <c r="AF196" s="6"/>
    </row>
    <row r="197" ht="14.25" customHeight="1" spans="1:32">
      <c r="A197" s="8" t="s">
        <v>849</v>
      </c>
      <c r="B197" s="8" t="s">
        <v>850</v>
      </c>
      <c r="C197" s="9">
        <f>LEN(B197)</f>
        <v>12</v>
      </c>
      <c r="D197" s="8" t="s">
        <v>44</v>
      </c>
      <c r="E197" s="8" t="str">
        <f>_xlfn.CONCAT(B197,"(",A197,")"," - ",D197)</f>
        <v>Ritika Singh(E1122) - Marketing</v>
      </c>
      <c r="F197" s="9" t="str">
        <f>LEFT(E197,FIND("-",E197))</f>
        <v>Ritika Singh(E1122) -</v>
      </c>
      <c r="G197" s="9" t="str">
        <f>RIGHT(E197,LEN(E197)-FIND("-",E197)-1)</f>
        <v>Marketing</v>
      </c>
      <c r="H197" s="9">
        <f>FIND("-",E197)</f>
        <v>21</v>
      </c>
      <c r="I197" s="9">
        <f>LEN(E197)-FIND("-",E197)</f>
        <v>10</v>
      </c>
      <c r="J197" s="8" t="s">
        <v>172</v>
      </c>
      <c r="K197" s="9" t="str">
        <f>SUBSTITUTE(J197,"a","@",1)</f>
        <v>Hyder@bad</v>
      </c>
      <c r="L197" s="8" t="s">
        <v>851</v>
      </c>
      <c r="M197" s="8" t="str">
        <f>TEXT(L197,"dddd")</f>
        <v>Wednesday</v>
      </c>
      <c r="N197" s="8" t="str">
        <f>LEFT(M197,3)</f>
        <v>Wed</v>
      </c>
      <c r="O197" s="8" t="str">
        <f>RIGHT(M197,3)</f>
        <v>day</v>
      </c>
      <c r="P197" s="8">
        <f>MONTH(L197)</f>
        <v>10</v>
      </c>
      <c r="Q197" s="8">
        <f>YEAR(L197)</f>
        <v>2024</v>
      </c>
      <c r="R197" s="8" t="s">
        <v>852</v>
      </c>
      <c r="S197" s="8">
        <f>HOUR(R197)</f>
        <v>10</v>
      </c>
      <c r="T197" s="8">
        <f>MINUTE(R197)</f>
        <v>43</v>
      </c>
      <c r="U197" s="8">
        <f>SECOND(R197)</f>
        <v>16</v>
      </c>
      <c r="V197" s="8">
        <v>88279</v>
      </c>
      <c r="W197" s="8">
        <v>78309</v>
      </c>
      <c r="X197" s="9" t="str">
        <f>IF(W197&gt;50000,"Highe Target","Low Target")</f>
        <v>Highe Target</v>
      </c>
      <c r="Y197" s="9" t="str">
        <f t="shared" si="3"/>
        <v>Highe target</v>
      </c>
      <c r="Z197" s="9" t="str" cm="1">
        <f t="array" ref="Z197">_xlfn.IFS(W197&lt;60000,"LOWERTarget",W197&lt;80000,"Medium Target",W197,"Highe Target")</f>
        <v>Medium Target</v>
      </c>
      <c r="AA197" s="8" t="s">
        <v>243</v>
      </c>
      <c r="AB197" s="5" t="str">
        <f>UPPER(AA197)</f>
        <v>POSITIVE ATTITUDE</v>
      </c>
      <c r="AC197" s="5" t="str">
        <f>LOWER(AA197)</f>
        <v>positive attitude</v>
      </c>
      <c r="AD197" s="5" t="str">
        <f>PROPER(AA197)</f>
        <v>Positive Attitude</v>
      </c>
      <c r="AF197" s="6"/>
    </row>
    <row r="198" ht="14.25" customHeight="1" spans="1:32">
      <c r="A198" s="8" t="s">
        <v>853</v>
      </c>
      <c r="B198" s="8" t="s">
        <v>854</v>
      </c>
      <c r="C198" s="9">
        <f>LEN(B198)</f>
        <v>12</v>
      </c>
      <c r="D198" s="8" t="s">
        <v>60</v>
      </c>
      <c r="E198" s="8" t="str">
        <f>_xlfn.CONCAT(B198,"(",A198,")"," - ",D198)</f>
        <v>Harsh Chopra(E1085) - HR</v>
      </c>
      <c r="F198" s="9" t="str">
        <f>LEFT(E198,FIND("-",E198))</f>
        <v>Harsh Chopra(E1085) -</v>
      </c>
      <c r="G198" s="9" t="str">
        <f>RIGHT(E198,LEN(E198)-FIND("-",E198)-1)</f>
        <v>HR</v>
      </c>
      <c r="H198" s="9">
        <f>FIND("-",E198)</f>
        <v>21</v>
      </c>
      <c r="I198" s="9">
        <f>LEN(E198)-FIND("-",E198)</f>
        <v>3</v>
      </c>
      <c r="J198" s="8" t="s">
        <v>182</v>
      </c>
      <c r="K198" s="9" t="str">
        <f>SUBSTITUTE(J198,"a","@",1)</f>
        <v>Kolk@ta</v>
      </c>
      <c r="L198" s="8" t="s">
        <v>855</v>
      </c>
      <c r="M198" s="8" t="str">
        <f>TEXT(L198,"dddd")</f>
        <v>Wednesday</v>
      </c>
      <c r="N198" s="8" t="str">
        <f>LEFT(M198,3)</f>
        <v>Wed</v>
      </c>
      <c r="O198" s="8" t="str">
        <f>RIGHT(M198,3)</f>
        <v>day</v>
      </c>
      <c r="P198" s="8">
        <f>MONTH(L198)</f>
        <v>7</v>
      </c>
      <c r="Q198" s="8">
        <f>YEAR(L198)</f>
        <v>2023</v>
      </c>
      <c r="R198" s="8" t="s">
        <v>856</v>
      </c>
      <c r="S198" s="8">
        <f>HOUR(R198)</f>
        <v>9</v>
      </c>
      <c r="T198" s="8">
        <f>MINUTE(R198)</f>
        <v>19</v>
      </c>
      <c r="U198" s="8">
        <f>SECOND(R198)</f>
        <v>55</v>
      </c>
      <c r="V198" s="8">
        <v>91672</v>
      </c>
      <c r="W198" s="8">
        <v>78569</v>
      </c>
      <c r="X198" s="9" t="str">
        <f>IF(W198&gt;50000,"Highe Target","Low Target")</f>
        <v>Highe Target</v>
      </c>
      <c r="Y198" s="9" t="str">
        <f t="shared" si="3"/>
        <v>Highe target</v>
      </c>
      <c r="Z198" s="9" t="str" cm="1">
        <f t="array" ref="Z198">_xlfn.IFS(W198&lt;60000,"LOWERTarget",W198&lt;80000,"Medium Target",W198,"Highe Target")</f>
        <v>Medium Target</v>
      </c>
      <c r="AA198" s="8" t="s">
        <v>848</v>
      </c>
      <c r="AB198" s="5" t="str">
        <f>UPPER(AA198)</f>
        <v>   NEEDS IMPROVEMENT   </v>
      </c>
      <c r="AC198" s="5" t="str">
        <f>LOWER(AA198)</f>
        <v>   needs improvement   </v>
      </c>
      <c r="AD198" s="5" t="str">
        <f>PROPER(AA198)</f>
        <v>   Needs Improvement   </v>
      </c>
      <c r="AF198" s="6"/>
    </row>
    <row r="199" ht="14.25" customHeight="1" spans="1:32">
      <c r="A199" s="8" t="s">
        <v>857</v>
      </c>
      <c r="B199" s="8" t="s">
        <v>858</v>
      </c>
      <c r="C199" s="9">
        <f>LEN(B199)</f>
        <v>15</v>
      </c>
      <c r="D199" s="8" t="s">
        <v>35</v>
      </c>
      <c r="E199" s="8" t="str">
        <f>_xlfn.CONCAT(B199,"(",A199,")"," - ",D199)</f>
        <v>Shreya Malhotra(E1153) - Finance</v>
      </c>
      <c r="F199" s="9" t="str">
        <f>LEFT(E199,FIND("-",E199))</f>
        <v>Shreya Malhotra(E1153) -</v>
      </c>
      <c r="G199" s="9" t="str">
        <f>RIGHT(E199,LEN(E199)-FIND("-",E199)-1)</f>
        <v>Finance</v>
      </c>
      <c r="H199" s="9">
        <f>FIND("-",E199)</f>
        <v>24</v>
      </c>
      <c r="I199" s="9">
        <f>LEN(E199)-FIND("-",E199)</f>
        <v>8</v>
      </c>
      <c r="J199" s="8" t="s">
        <v>76</v>
      </c>
      <c r="K199" s="9" t="str">
        <f>SUBSTITUTE(J199,"a","@",1)</f>
        <v>Pune</v>
      </c>
      <c r="L199" s="8" t="s">
        <v>859</v>
      </c>
      <c r="M199" s="8" t="str">
        <f>TEXT(L199,"dddd")</f>
        <v>Wednesday</v>
      </c>
      <c r="N199" s="8" t="str">
        <f>LEFT(M199,3)</f>
        <v>Wed</v>
      </c>
      <c r="O199" s="8" t="str">
        <f>RIGHT(M199,3)</f>
        <v>day</v>
      </c>
      <c r="P199" s="8">
        <f>MONTH(L199)</f>
        <v>6</v>
      </c>
      <c r="Q199" s="8">
        <f>YEAR(L199)</f>
        <v>2023</v>
      </c>
      <c r="R199" s="8" t="s">
        <v>860</v>
      </c>
      <c r="S199" s="8">
        <f>HOUR(R199)</f>
        <v>8</v>
      </c>
      <c r="T199" s="8">
        <f>MINUTE(R199)</f>
        <v>15</v>
      </c>
      <c r="U199" s="8">
        <f>SECOND(R199)</f>
        <v>27</v>
      </c>
      <c r="V199" s="8">
        <v>89835</v>
      </c>
      <c r="W199" s="8">
        <v>78592</v>
      </c>
      <c r="X199" s="9" t="str">
        <f>IF(W199&gt;50000,"Highe Target","Low Target")</f>
        <v>Highe Target</v>
      </c>
      <c r="Y199" s="9" t="str">
        <f t="shared" si="3"/>
        <v>Highe target</v>
      </c>
      <c r="Z199" s="9" t="str" cm="1">
        <f t="array" ref="Z199">_xlfn.IFS(W199&lt;60000,"LOWERTarget",W199&lt;80000,"Medium Target",W199,"Highe Target")</f>
        <v>Medium Target</v>
      </c>
      <c r="AA199" s="8" t="s">
        <v>229</v>
      </c>
      <c r="AB199" s="5" t="str">
        <f>UPPER(AA199)</f>
        <v>STRONG PRESENTATION</v>
      </c>
      <c r="AC199" s="5" t="str">
        <f>LOWER(AA199)</f>
        <v>strong presentation</v>
      </c>
      <c r="AD199" s="5" t="str">
        <f>PROPER(AA199)</f>
        <v>Strong Presentation</v>
      </c>
      <c r="AF199" s="6"/>
    </row>
    <row r="200" ht="14.25" customHeight="1" spans="1:32">
      <c r="A200" s="8" t="s">
        <v>861</v>
      </c>
      <c r="B200" s="8" t="s">
        <v>862</v>
      </c>
      <c r="C200" s="9">
        <f>LEN(B200)</f>
        <v>12</v>
      </c>
      <c r="D200" s="8" t="s">
        <v>60</v>
      </c>
      <c r="E200" s="8" t="str">
        <f>_xlfn.CONCAT(B200,"(",A200,")"," - ",D200)</f>
        <v>Anjali Kumar(E1255) - HR</v>
      </c>
      <c r="F200" s="9" t="str">
        <f>LEFT(E200,FIND("-",E200))</f>
        <v>Anjali Kumar(E1255) -</v>
      </c>
      <c r="G200" s="9" t="str">
        <f>RIGHT(E200,LEN(E200)-FIND("-",E200)-1)</f>
        <v>HR</v>
      </c>
      <c r="H200" s="9">
        <f>FIND("-",E200)</f>
        <v>21</v>
      </c>
      <c r="I200" s="9">
        <f>LEN(E200)-FIND("-",E200)</f>
        <v>3</v>
      </c>
      <c r="J200" s="8" t="s">
        <v>182</v>
      </c>
      <c r="K200" s="9" t="str">
        <f>SUBSTITUTE(J200,"a","@",1)</f>
        <v>Kolk@ta</v>
      </c>
      <c r="L200" s="8" t="s">
        <v>863</v>
      </c>
      <c r="M200" s="8" t="str">
        <f>TEXT(L200,"dddd")</f>
        <v>Thursday</v>
      </c>
      <c r="N200" s="8" t="str">
        <f>LEFT(M200,3)</f>
        <v>Thu</v>
      </c>
      <c r="O200" s="8" t="str">
        <f>RIGHT(M200,3)</f>
        <v>day</v>
      </c>
      <c r="P200" s="8">
        <f>MONTH(L200)</f>
        <v>9</v>
      </c>
      <c r="Q200" s="8">
        <f>YEAR(L200)</f>
        <v>2022</v>
      </c>
      <c r="R200" s="8" t="s">
        <v>864</v>
      </c>
      <c r="S200" s="8">
        <f>HOUR(R200)</f>
        <v>9</v>
      </c>
      <c r="T200" s="8">
        <f>MINUTE(R200)</f>
        <v>3</v>
      </c>
      <c r="U200" s="8">
        <f>SECOND(R200)</f>
        <v>35</v>
      </c>
      <c r="V200" s="8">
        <v>75252</v>
      </c>
      <c r="W200" s="8">
        <v>78775</v>
      </c>
      <c r="X200" s="9" t="str">
        <f>IF(W200&gt;50000,"Highe Target","Low Target")</f>
        <v>Highe Target</v>
      </c>
      <c r="Y200" s="9" t="str">
        <f t="shared" si="3"/>
        <v>Highe target</v>
      </c>
      <c r="Z200" s="9" t="str" cm="1">
        <f t="array" ref="Z200">_xlfn.IFS(W200&lt;60000,"LOWERTarget",W200&lt;80000,"Medium Target",W200,"Highe Target")</f>
        <v>Medium Target</v>
      </c>
      <c r="AA200" s="8" t="s">
        <v>138</v>
      </c>
      <c r="AB200" s="5" t="str">
        <f>UPPER(AA200)</f>
        <v>GOOD TEAMWORK</v>
      </c>
      <c r="AC200" s="5" t="str">
        <f>LOWER(AA200)</f>
        <v>good teamwork</v>
      </c>
      <c r="AD200" s="5" t="str">
        <f>PROPER(AA200)</f>
        <v>Good Teamwork</v>
      </c>
      <c r="AF200" s="6"/>
    </row>
    <row r="201" ht="14.25" customHeight="1" spans="1:32">
      <c r="A201" s="8" t="s">
        <v>865</v>
      </c>
      <c r="B201" s="8" t="s">
        <v>866</v>
      </c>
      <c r="C201" s="9">
        <f>LEN(B201)</f>
        <v>11</v>
      </c>
      <c r="D201" s="8" t="s">
        <v>93</v>
      </c>
      <c r="E201" s="8" t="str">
        <f>_xlfn.CONCAT(B201,"(",A201,")"," - ",D201)</f>
        <v>Pooja Joshi(E1087) - Sales</v>
      </c>
      <c r="F201" s="9" t="str">
        <f>LEFT(E201,FIND("-",E201))</f>
        <v>Pooja Joshi(E1087) -</v>
      </c>
      <c r="G201" s="9" t="str">
        <f>RIGHT(E201,LEN(E201)-FIND("-",E201)-1)</f>
        <v>Sales</v>
      </c>
      <c r="H201" s="9">
        <f>FIND("-",E201)</f>
        <v>20</v>
      </c>
      <c r="I201" s="9">
        <f>LEN(E201)-FIND("-",E201)</f>
        <v>6</v>
      </c>
      <c r="J201" s="8" t="s">
        <v>53</v>
      </c>
      <c r="K201" s="9" t="str">
        <f>SUBSTITUTE(J201,"a","@",1)</f>
        <v>Delhi</v>
      </c>
      <c r="L201" s="8" t="s">
        <v>867</v>
      </c>
      <c r="M201" s="8" t="str">
        <f>TEXT(L201,"dddd")</f>
        <v>Wednesday</v>
      </c>
      <c r="N201" s="8" t="str">
        <f>LEFT(M201,3)</f>
        <v>Wed</v>
      </c>
      <c r="O201" s="8" t="str">
        <f>RIGHT(M201,3)</f>
        <v>day</v>
      </c>
      <c r="P201" s="8">
        <f>MONTH(L201)</f>
        <v>1</v>
      </c>
      <c r="Q201" s="8">
        <f>YEAR(L201)</f>
        <v>2021</v>
      </c>
      <c r="R201" s="8" t="s">
        <v>868</v>
      </c>
      <c r="S201" s="8">
        <f>HOUR(R201)</f>
        <v>9</v>
      </c>
      <c r="T201" s="8">
        <f>MINUTE(R201)</f>
        <v>28</v>
      </c>
      <c r="U201" s="8">
        <f>SECOND(R201)</f>
        <v>44</v>
      </c>
      <c r="V201" s="8">
        <v>94712</v>
      </c>
      <c r="W201" s="8">
        <v>78916</v>
      </c>
      <c r="X201" s="9" t="str">
        <f>IF(W201&gt;50000,"Highe Target","Low Target")</f>
        <v>Highe Target</v>
      </c>
      <c r="Y201" s="9" t="str">
        <f t="shared" si="3"/>
        <v>Highe target</v>
      </c>
      <c r="Z201" s="9" t="str" cm="1">
        <f t="array" ref="Z201">_xlfn.IFS(W201&lt;60000,"LOWERTarget",W201&lt;80000,"Medium Target",W201,"Highe Target")</f>
        <v>Medium Target</v>
      </c>
      <c r="AA201" s="8" t="s">
        <v>64</v>
      </c>
      <c r="AB201" s="5" t="str">
        <f>UPPER(AA201)</f>
        <v>NEEDS IMPROVEMENT</v>
      </c>
      <c r="AC201" s="5" t="str">
        <f>LOWER(AA201)</f>
        <v>needs improvement</v>
      </c>
      <c r="AD201" s="5" t="str">
        <f>PROPER(AA201)</f>
        <v>Needs Improvement</v>
      </c>
      <c r="AF201" s="6"/>
    </row>
    <row r="202" ht="14.25" customHeight="1" spans="1:32">
      <c r="A202" s="8" t="s">
        <v>869</v>
      </c>
      <c r="B202" s="8" t="s">
        <v>870</v>
      </c>
      <c r="C202" s="9">
        <f>LEN(B202)</f>
        <v>10</v>
      </c>
      <c r="D202" s="8" t="s">
        <v>60</v>
      </c>
      <c r="E202" s="8" t="str">
        <f>_xlfn.CONCAT(B202,"(",A202,")"," - ",D202)</f>
        <v>Neha Kumar(E1013) - HR</v>
      </c>
      <c r="F202" s="9" t="str">
        <f>LEFT(E202,FIND("-",E202))</f>
        <v>Neha Kumar(E1013) -</v>
      </c>
      <c r="G202" s="9" t="str">
        <f>RIGHT(E202,LEN(E202)-FIND("-",E202)-1)</f>
        <v>HR</v>
      </c>
      <c r="H202" s="9">
        <f>FIND("-",E202)</f>
        <v>19</v>
      </c>
      <c r="I202" s="9">
        <f>LEN(E202)-FIND("-",E202)</f>
        <v>3</v>
      </c>
      <c r="J202" s="8" t="s">
        <v>182</v>
      </c>
      <c r="K202" s="9" t="str">
        <f>SUBSTITUTE(J202,"a","@",1)</f>
        <v>Kolk@ta</v>
      </c>
      <c r="L202" s="8" t="s">
        <v>871</v>
      </c>
      <c r="M202" s="8" t="str">
        <f>TEXT(L202,"dddd")</f>
        <v>Monday</v>
      </c>
      <c r="N202" s="8" t="str">
        <f>LEFT(M202,3)</f>
        <v>Mon</v>
      </c>
      <c r="O202" s="8" t="str">
        <f>RIGHT(M202,3)</f>
        <v>day</v>
      </c>
      <c r="P202" s="8">
        <f>MONTH(L202)</f>
        <v>5</v>
      </c>
      <c r="Q202" s="8">
        <f>YEAR(L202)</f>
        <v>2024</v>
      </c>
      <c r="R202" s="8" t="s">
        <v>872</v>
      </c>
      <c r="S202" s="8">
        <f>HOUR(R202)</f>
        <v>8</v>
      </c>
      <c r="T202" s="8">
        <f>MINUTE(R202)</f>
        <v>24</v>
      </c>
      <c r="U202" s="8">
        <f>SECOND(R202)</f>
        <v>24</v>
      </c>
      <c r="V202" s="8">
        <v>94726</v>
      </c>
      <c r="W202" s="8">
        <v>79052</v>
      </c>
      <c r="X202" s="9" t="str">
        <f>IF(W202&gt;50000,"Highe Target","Low Target")</f>
        <v>Highe Target</v>
      </c>
      <c r="Y202" s="9" t="str">
        <f t="shared" si="3"/>
        <v>Highe target</v>
      </c>
      <c r="Z202" s="9" t="str" cm="1">
        <f t="array" ref="Z202">_xlfn.IFS(W202&lt;60000,"LOWERTarget",W202&lt;80000,"Medium Target",W202,"Highe Target")</f>
        <v>Medium Target</v>
      </c>
      <c r="AA202" s="8" t="s">
        <v>229</v>
      </c>
      <c r="AB202" s="5" t="str">
        <f>UPPER(AA202)</f>
        <v>STRONG PRESENTATION</v>
      </c>
      <c r="AC202" s="5" t="str">
        <f>LOWER(AA202)</f>
        <v>strong presentation</v>
      </c>
      <c r="AD202" s="5" t="str">
        <f>PROPER(AA202)</f>
        <v>Strong Presentation</v>
      </c>
      <c r="AF202" s="6"/>
    </row>
    <row r="203" ht="14.25" customHeight="1" spans="1:32">
      <c r="A203" s="8" t="s">
        <v>873</v>
      </c>
      <c r="B203" s="8" t="s">
        <v>874</v>
      </c>
      <c r="C203" s="9">
        <f>LEN(B203)</f>
        <v>10</v>
      </c>
      <c r="D203" s="8" t="s">
        <v>93</v>
      </c>
      <c r="E203" s="8" t="str">
        <f>_xlfn.CONCAT(B203,"(",A203,")"," - ",D203)</f>
        <v>Arjun Shah(E1036) - Sales</v>
      </c>
      <c r="F203" s="9" t="str">
        <f>LEFT(E203,FIND("-",E203))</f>
        <v>Arjun Shah(E1036) -</v>
      </c>
      <c r="G203" s="9" t="str">
        <f>RIGHT(E203,LEN(E203)-FIND("-",E203)-1)</f>
        <v>Sales</v>
      </c>
      <c r="H203" s="9">
        <f>FIND("-",E203)</f>
        <v>19</v>
      </c>
      <c r="I203" s="9">
        <f>LEN(E203)-FIND("-",E203)</f>
        <v>6</v>
      </c>
      <c r="J203" s="8" t="s">
        <v>76</v>
      </c>
      <c r="K203" s="9" t="str">
        <f>SUBSTITUTE(J203,"a","@",1)</f>
        <v>Pune</v>
      </c>
      <c r="L203" s="8" t="s">
        <v>875</v>
      </c>
      <c r="M203" s="8" t="str">
        <f>TEXT(L203,"dddd")</f>
        <v>Thursday</v>
      </c>
      <c r="N203" s="8" t="str">
        <f>LEFT(M203,3)</f>
        <v>Thu</v>
      </c>
      <c r="O203" s="8" t="str">
        <f>RIGHT(M203,3)</f>
        <v>day</v>
      </c>
      <c r="P203" s="8">
        <f>MONTH(L203)</f>
        <v>2</v>
      </c>
      <c r="Q203" s="8">
        <f>YEAR(L203)</f>
        <v>2024</v>
      </c>
      <c r="R203" s="8" t="s">
        <v>876</v>
      </c>
      <c r="S203" s="8">
        <f>HOUR(R203)</f>
        <v>8</v>
      </c>
      <c r="T203" s="8">
        <f>MINUTE(R203)</f>
        <v>17</v>
      </c>
      <c r="U203" s="8">
        <f>SECOND(R203)</f>
        <v>18</v>
      </c>
      <c r="V203" s="8">
        <v>78441</v>
      </c>
      <c r="W203" s="8">
        <v>79638</v>
      </c>
      <c r="X203" s="9" t="str">
        <f>IF(W203&gt;50000,"Highe Target","Low Target")</f>
        <v>Highe Target</v>
      </c>
      <c r="Y203" s="9" t="str">
        <f t="shared" si="3"/>
        <v>Highe target</v>
      </c>
      <c r="Z203" s="9" t="str" cm="1">
        <f t="array" ref="Z203">_xlfn.IFS(W203&lt;60000,"LOWERTarget",W203&lt;80000,"Medium Target",W203,"Highe Target")</f>
        <v>Medium Target</v>
      </c>
      <c r="AA203" s="8" t="s">
        <v>96</v>
      </c>
      <c r="AB203" s="5" t="str">
        <f>UPPER(AA203)</f>
        <v>FAST DELIVERY</v>
      </c>
      <c r="AC203" s="5" t="str">
        <f>LOWER(AA203)</f>
        <v>fast delivery</v>
      </c>
      <c r="AD203" s="5" t="str">
        <f>PROPER(AA203)</f>
        <v>Fast Delivery</v>
      </c>
      <c r="AF203" s="6"/>
    </row>
    <row r="204" ht="14.25" customHeight="1" spans="1:32">
      <c r="A204" s="8" t="s">
        <v>877</v>
      </c>
      <c r="B204" s="8" t="s">
        <v>878</v>
      </c>
      <c r="C204" s="9">
        <f>LEN(B204)</f>
        <v>13</v>
      </c>
      <c r="D204" s="8" t="s">
        <v>35</v>
      </c>
      <c r="E204" s="8" t="str">
        <f>_xlfn.CONCAT(B204,"(",A204,")"," - ",D204)</f>
        <v>Ritika Sharma(E1050) - Finance</v>
      </c>
      <c r="F204" s="9" t="str">
        <f>LEFT(E204,FIND("-",E204))</f>
        <v>Ritika Sharma(E1050) -</v>
      </c>
      <c r="G204" s="9" t="str">
        <f>RIGHT(E204,LEN(E204)-FIND("-",E204)-1)</f>
        <v>Finance</v>
      </c>
      <c r="H204" s="9">
        <f>FIND("-",E204)</f>
        <v>22</v>
      </c>
      <c r="I204" s="9">
        <f>LEN(E204)-FIND("-",E204)</f>
        <v>8</v>
      </c>
      <c r="J204" s="8" t="s">
        <v>61</v>
      </c>
      <c r="K204" s="9" t="str">
        <f>SUBSTITUTE(J204,"a","@",1)</f>
        <v>Chenn@i</v>
      </c>
      <c r="L204" s="8" t="s">
        <v>879</v>
      </c>
      <c r="M204" s="8" t="str">
        <f>TEXT(L204,"dddd")</f>
        <v>Monday</v>
      </c>
      <c r="N204" s="8" t="str">
        <f>LEFT(M204,3)</f>
        <v>Mon</v>
      </c>
      <c r="O204" s="8" t="str">
        <f>RIGHT(M204,3)</f>
        <v>day</v>
      </c>
      <c r="P204" s="8">
        <f>MONTH(L204)</f>
        <v>3</v>
      </c>
      <c r="Q204" s="8">
        <f>YEAR(L204)</f>
        <v>2022</v>
      </c>
      <c r="R204" s="8" t="s">
        <v>880</v>
      </c>
      <c r="S204" s="8">
        <f>HOUR(R204)</f>
        <v>9</v>
      </c>
      <c r="T204" s="8">
        <f>MINUTE(R204)</f>
        <v>50</v>
      </c>
      <c r="U204" s="8">
        <f>SECOND(R204)</f>
        <v>37</v>
      </c>
      <c r="V204" s="8">
        <v>85876</v>
      </c>
      <c r="W204" s="8">
        <v>79758</v>
      </c>
      <c r="X204" s="9" t="str">
        <f>IF(W204&gt;50000,"Highe Target","Low Target")</f>
        <v>Highe Target</v>
      </c>
      <c r="Y204" s="9" t="str">
        <f t="shared" si="3"/>
        <v>Highe target</v>
      </c>
      <c r="Z204" s="9" t="str" cm="1">
        <f t="array" ref="Z204">_xlfn.IFS(W204&lt;60000,"LOWERTarget",W204&lt;80000,"Medium Target",W204,"Highe Target")</f>
        <v>Medium Target</v>
      </c>
      <c r="AA204" s="8" t="s">
        <v>179</v>
      </c>
      <c r="AB204" s="5" t="str">
        <f>UPPER(AA204)</f>
        <v>HELPFUL ATTITUDE</v>
      </c>
      <c r="AC204" s="5" t="str">
        <f>LOWER(AA204)</f>
        <v>helpful attitude</v>
      </c>
      <c r="AD204" s="5" t="str">
        <f>PROPER(AA204)</f>
        <v>Helpful Attitude</v>
      </c>
      <c r="AF204" s="6"/>
    </row>
    <row r="205" ht="14.25" customHeight="1" spans="1:32">
      <c r="A205" s="8" t="s">
        <v>881</v>
      </c>
      <c r="B205" s="8" t="s">
        <v>738</v>
      </c>
      <c r="C205" s="9">
        <f>LEN(B205)</f>
        <v>11</v>
      </c>
      <c r="D205" s="8" t="s">
        <v>44</v>
      </c>
      <c r="E205" s="8" t="str">
        <f>_xlfn.CONCAT(B205,"(",A205,")"," - ",D205)</f>
        <v>Arjun Mehta(E1049) - Marketing</v>
      </c>
      <c r="F205" s="9" t="str">
        <f>LEFT(E205,FIND("-",E205))</f>
        <v>Arjun Mehta(E1049) -</v>
      </c>
      <c r="G205" s="9" t="str">
        <f>RIGHT(E205,LEN(E205)-FIND("-",E205)-1)</f>
        <v>Marketing</v>
      </c>
      <c r="H205" s="9">
        <f>FIND("-",E205)</f>
        <v>20</v>
      </c>
      <c r="I205" s="9">
        <f>LEN(E205)-FIND("-",E205)</f>
        <v>10</v>
      </c>
      <c r="J205" s="8" t="s">
        <v>182</v>
      </c>
      <c r="K205" s="9" t="str">
        <f>SUBSTITUTE(J205,"a","@",1)</f>
        <v>Kolk@ta</v>
      </c>
      <c r="L205" s="8" t="s">
        <v>882</v>
      </c>
      <c r="M205" s="8" t="str">
        <f>TEXT(L205,"dddd")</f>
        <v>Saturday</v>
      </c>
      <c r="N205" s="8" t="str">
        <f>LEFT(M205,3)</f>
        <v>Sat</v>
      </c>
      <c r="O205" s="8" t="str">
        <f>RIGHT(M205,3)</f>
        <v>day</v>
      </c>
      <c r="P205" s="8">
        <f>MONTH(L205)</f>
        <v>10</v>
      </c>
      <c r="Q205" s="8">
        <f>YEAR(L205)</f>
        <v>2024</v>
      </c>
      <c r="R205" s="8" t="s">
        <v>883</v>
      </c>
      <c r="S205" s="8">
        <f>HOUR(R205)</f>
        <v>10</v>
      </c>
      <c r="T205" s="8">
        <f>MINUTE(R205)</f>
        <v>57</v>
      </c>
      <c r="U205" s="8">
        <f>SECOND(R205)</f>
        <v>11</v>
      </c>
      <c r="V205" s="8">
        <v>85061</v>
      </c>
      <c r="W205" s="8">
        <v>80338</v>
      </c>
      <c r="X205" s="9" t="str">
        <f>IF(W205&gt;50000,"Highe Target","Low Target")</f>
        <v>Highe Target</v>
      </c>
      <c r="Y205" s="9" t="str">
        <f t="shared" si="3"/>
        <v>Highe target</v>
      </c>
      <c r="Z205" s="9" t="str" cm="1">
        <f t="array" ref="Z205">_xlfn.IFS(W205&lt;60000,"LOWERTarget",W205&lt;80000,"Medium Target",W205,"Highe Target")</f>
        <v>Highe Target</v>
      </c>
      <c r="AA205" s="8" t="s">
        <v>39</v>
      </c>
      <c r="AB205" s="5" t="str">
        <f>UPPER(AA205)</f>
        <v>DETAILED ANALYSIS</v>
      </c>
      <c r="AC205" s="5" t="str">
        <f>LOWER(AA205)</f>
        <v>detailed analysis</v>
      </c>
      <c r="AD205" s="5" t="str">
        <f>PROPER(AA205)</f>
        <v>Detailed Analysis</v>
      </c>
      <c r="AF205" s="6"/>
    </row>
    <row r="206" ht="14.25" customHeight="1" spans="1:32">
      <c r="A206" s="8" t="s">
        <v>884</v>
      </c>
      <c r="B206" s="8" t="s">
        <v>885</v>
      </c>
      <c r="C206" s="9">
        <f>LEN(B206)</f>
        <v>10</v>
      </c>
      <c r="D206" s="8" t="s">
        <v>60</v>
      </c>
      <c r="E206" s="8" t="str">
        <f>_xlfn.CONCAT(B206,"(",A206,")"," - ",D206)</f>
        <v>Arjun Jain(E1219) - HR</v>
      </c>
      <c r="F206" s="9" t="str">
        <f>LEFT(E206,FIND("-",E206))</f>
        <v>Arjun Jain(E1219) -</v>
      </c>
      <c r="G206" s="9" t="str">
        <f>RIGHT(E206,LEN(E206)-FIND("-",E206)-1)</f>
        <v>HR</v>
      </c>
      <c r="H206" s="9">
        <f>FIND("-",E206)</f>
        <v>19</v>
      </c>
      <c r="I206" s="9">
        <f>LEN(E206)-FIND("-",E206)</f>
        <v>3</v>
      </c>
      <c r="J206" s="8" t="s">
        <v>172</v>
      </c>
      <c r="K206" s="9" t="str">
        <f>SUBSTITUTE(J206,"a","@",1)</f>
        <v>Hyder@bad</v>
      </c>
      <c r="L206" s="8" t="s">
        <v>886</v>
      </c>
      <c r="M206" s="8" t="str">
        <f>TEXT(L206,"dddd")</f>
        <v>Sunday</v>
      </c>
      <c r="N206" s="8" t="str">
        <f>LEFT(M206,3)</f>
        <v>Sun</v>
      </c>
      <c r="O206" s="8" t="str">
        <f>RIGHT(M206,3)</f>
        <v>day</v>
      </c>
      <c r="P206" s="8">
        <f>MONTH(L206)</f>
        <v>6</v>
      </c>
      <c r="Q206" s="8">
        <f>YEAR(L206)</f>
        <v>2024</v>
      </c>
      <c r="R206" s="8" t="s">
        <v>887</v>
      </c>
      <c r="S206" s="8">
        <f>HOUR(R206)</f>
        <v>9</v>
      </c>
      <c r="T206" s="8">
        <f>MINUTE(R206)</f>
        <v>10</v>
      </c>
      <c r="U206" s="8">
        <f>SECOND(R206)</f>
        <v>25</v>
      </c>
      <c r="V206" s="8">
        <v>85012</v>
      </c>
      <c r="W206" s="8">
        <v>80402</v>
      </c>
      <c r="X206" s="9" t="str">
        <f>IF(W206&gt;50000,"Highe Target","Low Target")</f>
        <v>Highe Target</v>
      </c>
      <c r="Y206" s="9" t="str">
        <f t="shared" si="3"/>
        <v>Highe target</v>
      </c>
      <c r="Z206" s="9" t="str" cm="1">
        <f t="array" ref="Z206">_xlfn.IFS(W206&lt;60000,"LOWERTarget",W206&lt;80000,"Medium Target",W206,"Highe Target")</f>
        <v>Highe Target</v>
      </c>
      <c r="AA206" s="8" t="s">
        <v>888</v>
      </c>
      <c r="AB206" s="5" t="str">
        <f>UPPER(AA206)</f>
        <v>   EXCELLENT LEADERSHIP   </v>
      </c>
      <c r="AC206" s="5" t="str">
        <f>LOWER(AA206)</f>
        <v>   excellent leadership   </v>
      </c>
      <c r="AD206" s="5" t="str">
        <f>PROPER(AA206)</f>
        <v>   Excellent Leadership   </v>
      </c>
      <c r="AF206" s="6"/>
    </row>
    <row r="207" ht="14.25" customHeight="1" spans="1:32">
      <c r="A207" s="8" t="s">
        <v>889</v>
      </c>
      <c r="B207" s="8" t="s">
        <v>890</v>
      </c>
      <c r="C207" s="9">
        <f>LEN(B207)</f>
        <v>11</v>
      </c>
      <c r="D207" s="8" t="s">
        <v>60</v>
      </c>
      <c r="E207" s="8" t="str">
        <f>_xlfn.CONCAT(B207,"(",A207,")"," - ",D207)</f>
        <v>Nidhi Joshi(E1112) - HR</v>
      </c>
      <c r="F207" s="9" t="str">
        <f>LEFT(E207,FIND("-",E207))</f>
        <v>Nidhi Joshi(E1112) -</v>
      </c>
      <c r="G207" s="9" t="str">
        <f>RIGHT(E207,LEN(E207)-FIND("-",E207)-1)</f>
        <v>HR</v>
      </c>
      <c r="H207" s="9">
        <f>FIND("-",E207)</f>
        <v>20</v>
      </c>
      <c r="I207" s="9">
        <f>LEN(E207)-FIND("-",E207)</f>
        <v>3</v>
      </c>
      <c r="J207" s="8" t="s">
        <v>53</v>
      </c>
      <c r="K207" s="9" t="str">
        <f>SUBSTITUTE(J207,"a","@",1)</f>
        <v>Delhi</v>
      </c>
      <c r="L207" s="8" t="s">
        <v>891</v>
      </c>
      <c r="M207" s="8" t="str">
        <f>TEXT(L207,"dddd")</f>
        <v>Friday</v>
      </c>
      <c r="N207" s="8" t="str">
        <f>LEFT(M207,3)</f>
        <v>Fri</v>
      </c>
      <c r="O207" s="8" t="str">
        <f>RIGHT(M207,3)</f>
        <v>day</v>
      </c>
      <c r="P207" s="8">
        <f>MONTH(L207)</f>
        <v>6</v>
      </c>
      <c r="Q207" s="8">
        <f>YEAR(L207)</f>
        <v>2021</v>
      </c>
      <c r="R207" s="8" t="s">
        <v>892</v>
      </c>
      <c r="S207" s="8">
        <f>HOUR(R207)</f>
        <v>10</v>
      </c>
      <c r="T207" s="8">
        <f>MINUTE(R207)</f>
        <v>55</v>
      </c>
      <c r="U207" s="8">
        <f>SECOND(R207)</f>
        <v>24</v>
      </c>
      <c r="V207" s="8">
        <v>81396</v>
      </c>
      <c r="W207" s="8">
        <v>80613</v>
      </c>
      <c r="X207" s="9" t="str">
        <f>IF(W207&gt;50000,"Highe Target","Low Target")</f>
        <v>Highe Target</v>
      </c>
      <c r="Y207" s="9" t="str">
        <f t="shared" si="3"/>
        <v>Highe target</v>
      </c>
      <c r="Z207" s="9" t="str" cm="1">
        <f t="array" ref="Z207">_xlfn.IFS(W207&lt;60000,"LOWERTarget",W207&lt;80000,"Medium Target",W207,"Highe Target")</f>
        <v>Highe Target</v>
      </c>
      <c r="AA207" s="8" t="s">
        <v>179</v>
      </c>
      <c r="AB207" s="5" t="str">
        <f>UPPER(AA207)</f>
        <v>HELPFUL ATTITUDE</v>
      </c>
      <c r="AC207" s="5" t="str">
        <f>LOWER(AA207)</f>
        <v>helpful attitude</v>
      </c>
      <c r="AD207" s="5" t="str">
        <f>PROPER(AA207)</f>
        <v>Helpful Attitude</v>
      </c>
      <c r="AF207" s="6"/>
    </row>
    <row r="208" ht="14.25" customHeight="1" spans="1:32">
      <c r="A208" s="8" t="s">
        <v>893</v>
      </c>
      <c r="B208" s="8" t="s">
        <v>894</v>
      </c>
      <c r="C208" s="9">
        <f>LEN(B208)</f>
        <v>10</v>
      </c>
      <c r="D208" s="8" t="s">
        <v>44</v>
      </c>
      <c r="E208" s="8" t="str">
        <f>_xlfn.CONCAT(B208,"(",A208,")"," - ",D208)</f>
        <v>Isha Goyal(E1097) - Marketing</v>
      </c>
      <c r="F208" s="9" t="str">
        <f>LEFT(E208,FIND("-",E208))</f>
        <v>Isha Goyal(E1097) -</v>
      </c>
      <c r="G208" s="9" t="str">
        <f>RIGHT(E208,LEN(E208)-FIND("-",E208)-1)</f>
        <v>Marketing</v>
      </c>
      <c r="H208" s="9">
        <f>FIND("-",E208)</f>
        <v>19</v>
      </c>
      <c r="I208" s="9">
        <f>LEN(E208)-FIND("-",E208)</f>
        <v>10</v>
      </c>
      <c r="J208" s="8" t="s">
        <v>182</v>
      </c>
      <c r="K208" s="9" t="str">
        <f>SUBSTITUTE(J208,"a","@",1)</f>
        <v>Kolk@ta</v>
      </c>
      <c r="L208" s="8" t="s">
        <v>895</v>
      </c>
      <c r="M208" s="8" t="str">
        <f>TEXT(L208,"dddd")</f>
        <v>Thursday</v>
      </c>
      <c r="N208" s="8" t="str">
        <f>LEFT(M208,3)</f>
        <v>Thu</v>
      </c>
      <c r="O208" s="8" t="str">
        <f>RIGHT(M208,3)</f>
        <v>day</v>
      </c>
      <c r="P208" s="8">
        <f>MONTH(L208)</f>
        <v>4</v>
      </c>
      <c r="Q208" s="8">
        <f>YEAR(L208)</f>
        <v>2021</v>
      </c>
      <c r="R208" s="8" t="s">
        <v>896</v>
      </c>
      <c r="S208" s="8">
        <f>HOUR(R208)</f>
        <v>8</v>
      </c>
      <c r="T208" s="8">
        <f>MINUTE(R208)</f>
        <v>33</v>
      </c>
      <c r="U208" s="8">
        <f>SECOND(R208)</f>
        <v>23</v>
      </c>
      <c r="V208" s="8">
        <v>98473</v>
      </c>
      <c r="W208" s="8">
        <v>80804</v>
      </c>
      <c r="X208" s="9" t="str">
        <f>IF(W208&gt;50000,"Highe Target","Low Target")</f>
        <v>Highe Target</v>
      </c>
      <c r="Y208" s="9" t="str">
        <f t="shared" si="3"/>
        <v>Highe target</v>
      </c>
      <c r="Z208" s="9" t="str" cm="1">
        <f t="array" ref="Z208">_xlfn.IFS(W208&lt;60000,"LOWERTarget",W208&lt;80000,"Medium Target",W208,"Highe Target")</f>
        <v>Highe Target</v>
      </c>
      <c r="AA208" s="8" t="s">
        <v>138</v>
      </c>
      <c r="AB208" s="5" t="str">
        <f>UPPER(AA208)</f>
        <v>GOOD TEAMWORK</v>
      </c>
      <c r="AC208" s="5" t="str">
        <f>LOWER(AA208)</f>
        <v>good teamwork</v>
      </c>
      <c r="AD208" s="5" t="str">
        <f>PROPER(AA208)</f>
        <v>Good Teamwork</v>
      </c>
      <c r="AF208" s="6"/>
    </row>
    <row r="209" ht="14.25" customHeight="1" spans="1:32">
      <c r="A209" s="8" t="s">
        <v>897</v>
      </c>
      <c r="B209" s="8" t="s">
        <v>306</v>
      </c>
      <c r="C209" s="9">
        <f>LEN(B209)</f>
        <v>13</v>
      </c>
      <c r="D209" s="8" t="s">
        <v>44</v>
      </c>
      <c r="E209" s="8" t="str">
        <f>_xlfn.CONCAT(B209,"(",A209,")"," - ",D209)</f>
        <v>Harsh Agarwal(E1157) - Marketing</v>
      </c>
      <c r="F209" s="9" t="str">
        <f>LEFT(E209,FIND("-",E209))</f>
        <v>Harsh Agarwal(E1157) -</v>
      </c>
      <c r="G209" s="9" t="str">
        <f>RIGHT(E209,LEN(E209)-FIND("-",E209)-1)</f>
        <v>Marketing</v>
      </c>
      <c r="H209" s="9">
        <f>FIND("-",E209)</f>
        <v>22</v>
      </c>
      <c r="I209" s="9">
        <f>LEN(E209)-FIND("-",E209)</f>
        <v>10</v>
      </c>
      <c r="J209" s="8" t="s">
        <v>36</v>
      </c>
      <c r="K209" s="9" t="str">
        <f>SUBSTITUTE(J209,"a","@",1)</f>
        <v>Ahmed@bad</v>
      </c>
      <c r="L209" s="8" t="s">
        <v>898</v>
      </c>
      <c r="M209" s="8" t="str">
        <f>TEXT(L209,"dddd")</f>
        <v>Saturday</v>
      </c>
      <c r="N209" s="8" t="str">
        <f>LEFT(M209,3)</f>
        <v>Sat</v>
      </c>
      <c r="O209" s="8" t="str">
        <f>RIGHT(M209,3)</f>
        <v>day</v>
      </c>
      <c r="P209" s="8">
        <f>MONTH(L209)</f>
        <v>10</v>
      </c>
      <c r="Q209" s="8">
        <f>YEAR(L209)</f>
        <v>2024</v>
      </c>
      <c r="R209" s="8" t="s">
        <v>899</v>
      </c>
      <c r="S209" s="8">
        <f>HOUR(R209)</f>
        <v>10</v>
      </c>
      <c r="T209" s="8">
        <f>MINUTE(R209)</f>
        <v>41</v>
      </c>
      <c r="U209" s="8">
        <f>SECOND(R209)</f>
        <v>40</v>
      </c>
      <c r="V209" s="8">
        <v>87109</v>
      </c>
      <c r="W209" s="8">
        <v>80928</v>
      </c>
      <c r="X209" s="9" t="str">
        <f>IF(W209&gt;50000,"Highe Target","Low Target")</f>
        <v>Highe Target</v>
      </c>
      <c r="Y209" s="9" t="str">
        <f t="shared" si="3"/>
        <v>Highe target</v>
      </c>
      <c r="Z209" s="9" t="str" cm="1">
        <f t="array" ref="Z209">_xlfn.IFS(W209&lt;60000,"LOWERTarget",W209&lt;80000,"Medium Target",W209,"Highe Target")</f>
        <v>Highe Target</v>
      </c>
      <c r="AA209" s="8" t="s">
        <v>243</v>
      </c>
      <c r="AB209" s="5" t="str">
        <f>UPPER(AA209)</f>
        <v>POSITIVE ATTITUDE</v>
      </c>
      <c r="AC209" s="5" t="str">
        <f>LOWER(AA209)</f>
        <v>positive attitude</v>
      </c>
      <c r="AD209" s="5" t="str">
        <f>PROPER(AA209)</f>
        <v>Positive Attitude</v>
      </c>
      <c r="AF209" s="6"/>
    </row>
    <row r="210" ht="14.25" customHeight="1" spans="1:32">
      <c r="A210" s="8" t="s">
        <v>900</v>
      </c>
      <c r="B210" s="8" t="s">
        <v>901</v>
      </c>
      <c r="C210" s="9">
        <f>LEN(B210)</f>
        <v>10</v>
      </c>
      <c r="D210" s="8" t="s">
        <v>60</v>
      </c>
      <c r="E210" s="8" t="str">
        <f>_xlfn.CONCAT(B210,"(",A210,")"," - ",D210)</f>
        <v>Yash Joshi(E1009) - HR</v>
      </c>
      <c r="F210" s="9" t="str">
        <f>LEFT(E210,FIND("-",E210))</f>
        <v>Yash Joshi(E1009) -</v>
      </c>
      <c r="G210" s="9" t="str">
        <f>RIGHT(E210,LEN(E210)-FIND("-",E210)-1)</f>
        <v>HR</v>
      </c>
      <c r="H210" s="9">
        <f>FIND("-",E210)</f>
        <v>19</v>
      </c>
      <c r="I210" s="9">
        <f>LEN(E210)-FIND("-",E210)</f>
        <v>3</v>
      </c>
      <c r="J210" s="8" t="s">
        <v>53</v>
      </c>
      <c r="K210" s="9" t="str">
        <f>SUBSTITUTE(J210,"a","@",1)</f>
        <v>Delhi</v>
      </c>
      <c r="L210" s="8" t="s">
        <v>902</v>
      </c>
      <c r="M210" s="8" t="str">
        <f>TEXT(L210,"dddd")</f>
        <v>Saturday</v>
      </c>
      <c r="N210" s="8" t="str">
        <f>LEFT(M210,3)</f>
        <v>Sat</v>
      </c>
      <c r="O210" s="8" t="str">
        <f>RIGHT(M210,3)</f>
        <v>day</v>
      </c>
      <c r="P210" s="8">
        <f>MONTH(L210)</f>
        <v>8</v>
      </c>
      <c r="Q210" s="8">
        <f>YEAR(L210)</f>
        <v>2023</v>
      </c>
      <c r="R210" s="8" t="s">
        <v>903</v>
      </c>
      <c r="S210" s="8">
        <f>HOUR(R210)</f>
        <v>9</v>
      </c>
      <c r="T210" s="8">
        <f>MINUTE(R210)</f>
        <v>17</v>
      </c>
      <c r="U210" s="8">
        <f>SECOND(R210)</f>
        <v>59</v>
      </c>
      <c r="V210" s="8">
        <v>81335</v>
      </c>
      <c r="W210" s="8">
        <v>81943</v>
      </c>
      <c r="X210" s="9" t="str">
        <f>IF(W210&gt;50000,"Highe Target","Low Target")</f>
        <v>Highe Target</v>
      </c>
      <c r="Y210" s="9" t="str">
        <f t="shared" si="3"/>
        <v>Highe target</v>
      </c>
      <c r="Z210" s="9" t="str" cm="1">
        <f t="array" ref="Z210">_xlfn.IFS(W210&lt;60000,"LOWERTarget",W210&lt;80000,"Medium Target",W210,"Highe Target")</f>
        <v>Highe Target</v>
      </c>
      <c r="AA210" s="8" t="s">
        <v>138</v>
      </c>
      <c r="AB210" s="5" t="str">
        <f>UPPER(AA210)</f>
        <v>GOOD TEAMWORK</v>
      </c>
      <c r="AC210" s="5" t="str">
        <f>LOWER(AA210)</f>
        <v>good teamwork</v>
      </c>
      <c r="AD210" s="5" t="str">
        <f>PROPER(AA210)</f>
        <v>Good Teamwork</v>
      </c>
      <c r="AF210" s="6"/>
    </row>
    <row r="211" ht="14.25" customHeight="1" spans="1:32">
      <c r="A211" s="8" t="s">
        <v>904</v>
      </c>
      <c r="B211" s="8" t="s">
        <v>905</v>
      </c>
      <c r="C211" s="9">
        <f>LEN(B211)</f>
        <v>12</v>
      </c>
      <c r="D211" s="8" t="s">
        <v>44</v>
      </c>
      <c r="E211" s="8" t="str">
        <f>_xlfn.CONCAT(B211,"(",A211,")"," - ",D211)</f>
        <v>Karan Mishra(E1207) - Marketing</v>
      </c>
      <c r="F211" s="9" t="str">
        <f>LEFT(E211,FIND("-",E211))</f>
        <v>Karan Mishra(E1207) -</v>
      </c>
      <c r="G211" s="9" t="str">
        <f>RIGHT(E211,LEN(E211)-FIND("-",E211)-1)</f>
        <v>Marketing</v>
      </c>
      <c r="H211" s="9">
        <f>FIND("-",E211)</f>
        <v>21</v>
      </c>
      <c r="I211" s="9">
        <f>LEN(E211)-FIND("-",E211)</f>
        <v>10</v>
      </c>
      <c r="J211" s="8" t="s">
        <v>153</v>
      </c>
      <c r="K211" s="9" t="str">
        <f>SUBSTITUTE(J211,"a","@",1)</f>
        <v>Mumb@i</v>
      </c>
      <c r="L211" s="8" t="s">
        <v>906</v>
      </c>
      <c r="M211" s="8" t="str">
        <f>TEXT(L211,"dddd")</f>
        <v>Tuesday</v>
      </c>
      <c r="N211" s="8" t="str">
        <f>LEFT(M211,3)</f>
        <v>Tue</v>
      </c>
      <c r="O211" s="8" t="str">
        <f>RIGHT(M211,3)</f>
        <v>day</v>
      </c>
      <c r="P211" s="8">
        <f>MONTH(L211)</f>
        <v>10</v>
      </c>
      <c r="Q211" s="8">
        <f>YEAR(L211)</f>
        <v>2023</v>
      </c>
      <c r="R211" s="8" t="s">
        <v>907</v>
      </c>
      <c r="S211" s="8">
        <f>HOUR(R211)</f>
        <v>10</v>
      </c>
      <c r="T211" s="8">
        <f>MINUTE(R211)</f>
        <v>34</v>
      </c>
      <c r="U211" s="8">
        <f>SECOND(R211)</f>
        <v>18</v>
      </c>
      <c r="V211" s="8">
        <v>86866</v>
      </c>
      <c r="W211" s="8">
        <v>82068</v>
      </c>
      <c r="X211" s="9" t="str">
        <f>IF(W211&gt;50000,"Highe Target","Low Target")</f>
        <v>Highe Target</v>
      </c>
      <c r="Y211" s="9" t="str">
        <f t="shared" si="3"/>
        <v>Highe target</v>
      </c>
      <c r="Z211" s="9" t="str" cm="1">
        <f t="array" ref="Z211">_xlfn.IFS(W211&lt;60000,"LOWERTarget",W211&lt;80000,"Medium Target",W211,"Highe Target")</f>
        <v>Highe Target</v>
      </c>
      <c r="AA211" s="8" t="s">
        <v>179</v>
      </c>
      <c r="AB211" s="5" t="str">
        <f>UPPER(AA211)</f>
        <v>HELPFUL ATTITUDE</v>
      </c>
      <c r="AC211" s="5" t="str">
        <f>LOWER(AA211)</f>
        <v>helpful attitude</v>
      </c>
      <c r="AD211" s="5" t="str">
        <f>PROPER(AA211)</f>
        <v>Helpful Attitude</v>
      </c>
      <c r="AF211" s="6"/>
    </row>
    <row r="212" ht="14.25" customHeight="1" spans="1:32">
      <c r="A212" s="8" t="s">
        <v>908</v>
      </c>
      <c r="B212" s="8" t="s">
        <v>909</v>
      </c>
      <c r="C212" s="9">
        <f>LEN(B212)</f>
        <v>14</v>
      </c>
      <c r="D212" s="8" t="s">
        <v>44</v>
      </c>
      <c r="E212" s="8" t="str">
        <f>_xlfn.CONCAT(B212,"(",A212,")"," - ",D212)</f>
        <v>Suresh Agarwal(E1201) - Marketing</v>
      </c>
      <c r="F212" s="9" t="str">
        <f>LEFT(E212,FIND("-",E212))</f>
        <v>Suresh Agarwal(E1201) -</v>
      </c>
      <c r="G212" s="9" t="str">
        <f>RIGHT(E212,LEN(E212)-FIND("-",E212)-1)</f>
        <v>Marketing</v>
      </c>
      <c r="H212" s="9">
        <f>FIND("-",E212)</f>
        <v>23</v>
      </c>
      <c r="I212" s="9">
        <f>LEN(E212)-FIND("-",E212)</f>
        <v>10</v>
      </c>
      <c r="J212" s="8" t="s">
        <v>182</v>
      </c>
      <c r="K212" s="9" t="str">
        <f>SUBSTITUTE(J212,"a","@",1)</f>
        <v>Kolk@ta</v>
      </c>
      <c r="L212" s="8" t="s">
        <v>910</v>
      </c>
      <c r="M212" s="8" t="str">
        <f>TEXT(L212,"dddd")</f>
        <v>Saturday</v>
      </c>
      <c r="N212" s="8" t="str">
        <f>LEFT(M212,3)</f>
        <v>Sat</v>
      </c>
      <c r="O212" s="8" t="str">
        <f>RIGHT(M212,3)</f>
        <v>day</v>
      </c>
      <c r="P212" s="8">
        <f>MONTH(L212)</f>
        <v>3</v>
      </c>
      <c r="Q212" s="8">
        <f>YEAR(L212)</f>
        <v>2024</v>
      </c>
      <c r="R212" s="8" t="s">
        <v>911</v>
      </c>
      <c r="S212" s="8">
        <f>HOUR(R212)</f>
        <v>8</v>
      </c>
      <c r="T212" s="8">
        <f>MINUTE(R212)</f>
        <v>8</v>
      </c>
      <c r="U212" s="8">
        <f>SECOND(R212)</f>
        <v>20</v>
      </c>
      <c r="V212" s="8">
        <v>71956</v>
      </c>
      <c r="W212" s="8">
        <v>82096</v>
      </c>
      <c r="X212" s="9" t="str">
        <f>IF(W212&gt;50000,"Highe Target","Low Target")</f>
        <v>Highe Target</v>
      </c>
      <c r="Y212" s="9" t="str">
        <f t="shared" si="3"/>
        <v>Highe target</v>
      </c>
      <c r="Z212" s="9" t="str" cm="1">
        <f t="array" ref="Z212">_xlfn.IFS(W212&lt;60000,"LOWERTarget",W212&lt;80000,"Medium Target",W212,"Highe Target")</f>
        <v>Highe Target</v>
      </c>
      <c r="AA212" s="8" t="s">
        <v>179</v>
      </c>
      <c r="AB212" s="5" t="str">
        <f>UPPER(AA212)</f>
        <v>HELPFUL ATTITUDE</v>
      </c>
      <c r="AC212" s="5" t="str">
        <f>LOWER(AA212)</f>
        <v>helpful attitude</v>
      </c>
      <c r="AD212" s="5" t="str">
        <f>PROPER(AA212)</f>
        <v>Helpful Attitude</v>
      </c>
      <c r="AF212" s="6"/>
    </row>
    <row r="213" ht="14.25" customHeight="1" spans="1:32">
      <c r="A213" s="8" t="s">
        <v>912</v>
      </c>
      <c r="B213" s="8" t="s">
        <v>913</v>
      </c>
      <c r="C213" s="9">
        <f>LEN(B213)</f>
        <v>10</v>
      </c>
      <c r="D213" s="8" t="s">
        <v>35</v>
      </c>
      <c r="E213" s="8" t="str">
        <f>_xlfn.CONCAT(B213,"(",A213,")"," - ",D213)</f>
        <v>Harsh Nair(E1296) - Finance</v>
      </c>
      <c r="F213" s="9" t="str">
        <f>LEFT(E213,FIND("-",E213))</f>
        <v>Harsh Nair(E1296) -</v>
      </c>
      <c r="G213" s="9" t="str">
        <f>RIGHT(E213,LEN(E213)-FIND("-",E213)-1)</f>
        <v>Finance</v>
      </c>
      <c r="H213" s="9">
        <f>FIND("-",E213)</f>
        <v>19</v>
      </c>
      <c r="I213" s="9">
        <f>LEN(E213)-FIND("-",E213)</f>
        <v>8</v>
      </c>
      <c r="J213" s="8" t="s">
        <v>53</v>
      </c>
      <c r="K213" s="9" t="str">
        <f>SUBSTITUTE(J213,"a","@",1)</f>
        <v>Delhi</v>
      </c>
      <c r="L213" s="8" t="s">
        <v>914</v>
      </c>
      <c r="M213" s="8" t="str">
        <f>TEXT(L213,"dddd")</f>
        <v>Sunday</v>
      </c>
      <c r="N213" s="8" t="str">
        <f>LEFT(M213,3)</f>
        <v>Sun</v>
      </c>
      <c r="O213" s="8" t="str">
        <f>RIGHT(M213,3)</f>
        <v>day</v>
      </c>
      <c r="P213" s="8">
        <f>MONTH(L213)</f>
        <v>8</v>
      </c>
      <c r="Q213" s="8">
        <f>YEAR(L213)</f>
        <v>2024</v>
      </c>
      <c r="R213" s="8" t="s">
        <v>915</v>
      </c>
      <c r="S213" s="8">
        <f>HOUR(R213)</f>
        <v>10</v>
      </c>
      <c r="T213" s="8">
        <f>MINUTE(R213)</f>
        <v>2</v>
      </c>
      <c r="U213" s="8">
        <f>SECOND(R213)</f>
        <v>36</v>
      </c>
      <c r="V213" s="8">
        <v>93461</v>
      </c>
      <c r="W213" s="8">
        <v>82272</v>
      </c>
      <c r="X213" s="9" t="str">
        <f>IF(W213&gt;50000,"Highe Target","Low Target")</f>
        <v>Highe Target</v>
      </c>
      <c r="Y213" s="9" t="str">
        <f t="shared" si="3"/>
        <v>Highe target</v>
      </c>
      <c r="Z213" s="9" t="str" cm="1">
        <f t="array" ref="Z213">_xlfn.IFS(W213&lt;60000,"LOWERTarget",W213&lt;80000,"Medium Target",W213,"Highe Target")</f>
        <v>Highe Target</v>
      </c>
      <c r="AA213" s="8" t="s">
        <v>118</v>
      </c>
      <c r="AB213" s="5" t="str">
        <f>UPPER(AA213)</f>
        <v>CUSTOMER FOCUSED</v>
      </c>
      <c r="AC213" s="5" t="str">
        <f>LOWER(AA213)</f>
        <v>customer focused</v>
      </c>
      <c r="AD213" s="5" t="str">
        <f>PROPER(AA213)</f>
        <v>Customer Focused</v>
      </c>
      <c r="AF213" s="6"/>
    </row>
    <row r="214" ht="14.25" customHeight="1" spans="1:32">
      <c r="A214" s="8" t="s">
        <v>916</v>
      </c>
      <c r="B214" s="8" t="s">
        <v>885</v>
      </c>
      <c r="C214" s="9">
        <f>LEN(B214)</f>
        <v>10</v>
      </c>
      <c r="D214" s="8" t="s">
        <v>44</v>
      </c>
      <c r="E214" s="8" t="str">
        <f>_xlfn.CONCAT(B214,"(",A214,")"," - ",D214)</f>
        <v>Arjun Jain(E1193) - Marketing</v>
      </c>
      <c r="F214" s="9" t="str">
        <f>LEFT(E214,FIND("-",E214))</f>
        <v>Arjun Jain(E1193) -</v>
      </c>
      <c r="G214" s="9" t="str">
        <f>RIGHT(E214,LEN(E214)-FIND("-",E214)-1)</f>
        <v>Marketing</v>
      </c>
      <c r="H214" s="9">
        <f>FIND("-",E214)</f>
        <v>19</v>
      </c>
      <c r="I214" s="9">
        <f>LEN(E214)-FIND("-",E214)</f>
        <v>10</v>
      </c>
      <c r="J214" s="8" t="s">
        <v>153</v>
      </c>
      <c r="K214" s="9" t="str">
        <f>SUBSTITUTE(J214,"a","@",1)</f>
        <v>Mumb@i</v>
      </c>
      <c r="L214" s="8" t="s">
        <v>917</v>
      </c>
      <c r="M214" s="8" t="str">
        <f>TEXT(L214,"dddd")</f>
        <v>Thursday</v>
      </c>
      <c r="N214" s="8" t="str">
        <f>LEFT(M214,3)</f>
        <v>Thu</v>
      </c>
      <c r="O214" s="8" t="str">
        <f>RIGHT(M214,3)</f>
        <v>day</v>
      </c>
      <c r="P214" s="8">
        <f>MONTH(L214)</f>
        <v>9</v>
      </c>
      <c r="Q214" s="8">
        <f>YEAR(L214)</f>
        <v>2021</v>
      </c>
      <c r="R214" s="8" t="s">
        <v>918</v>
      </c>
      <c r="S214" s="8">
        <f>HOUR(R214)</f>
        <v>8</v>
      </c>
      <c r="T214" s="8">
        <f>MINUTE(R214)</f>
        <v>15</v>
      </c>
      <c r="U214" s="8">
        <f>SECOND(R214)</f>
        <v>49</v>
      </c>
      <c r="V214" s="8">
        <v>91288</v>
      </c>
      <c r="W214" s="8">
        <v>82281</v>
      </c>
      <c r="X214" s="9" t="str">
        <f>IF(W214&gt;50000,"Highe Target","Low Target")</f>
        <v>Highe Target</v>
      </c>
      <c r="Y214" s="9" t="str">
        <f t="shared" si="3"/>
        <v>Highe target</v>
      </c>
      <c r="Z214" s="9" t="str" cm="1">
        <f t="array" ref="Z214">_xlfn.IFS(W214&lt;60000,"LOWERTarget",W214&lt;80000,"Medium Target",W214,"Highe Target")</f>
        <v>Highe Target</v>
      </c>
      <c r="AA214" s="8" t="s">
        <v>48</v>
      </c>
      <c r="AB214" s="5" t="str">
        <f>UPPER(AA214)</f>
        <v>CREATIVE IDEAS</v>
      </c>
      <c r="AC214" s="5" t="str">
        <f>LOWER(AA214)</f>
        <v>creative ideas</v>
      </c>
      <c r="AD214" s="5" t="str">
        <f>PROPER(AA214)</f>
        <v>Creative Ideas</v>
      </c>
      <c r="AF214" s="6"/>
    </row>
    <row r="215" ht="14.25" customHeight="1" spans="1:32">
      <c r="A215" s="8" t="s">
        <v>919</v>
      </c>
      <c r="B215" s="8" t="s">
        <v>920</v>
      </c>
      <c r="C215" s="9">
        <f>LEN(B215)</f>
        <v>12</v>
      </c>
      <c r="D215" s="8" t="s">
        <v>35</v>
      </c>
      <c r="E215" s="8" t="str">
        <f>_xlfn.CONCAT(B215,"(",A215,")"," - ",D215)</f>
        <v>Manish Patel(E1070) - Finance</v>
      </c>
      <c r="F215" s="9" t="str">
        <f>LEFT(E215,FIND("-",E215))</f>
        <v>Manish Patel(E1070) -</v>
      </c>
      <c r="G215" s="9" t="str">
        <f>RIGHT(E215,LEN(E215)-FIND("-",E215)-1)</f>
        <v>Finance</v>
      </c>
      <c r="H215" s="9">
        <f>FIND("-",E215)</f>
        <v>21</v>
      </c>
      <c r="I215" s="9">
        <f>LEN(E215)-FIND("-",E215)</f>
        <v>8</v>
      </c>
      <c r="J215" s="8" t="s">
        <v>182</v>
      </c>
      <c r="K215" s="9" t="str">
        <f>SUBSTITUTE(J215,"a","@",1)</f>
        <v>Kolk@ta</v>
      </c>
      <c r="L215" s="8" t="s">
        <v>921</v>
      </c>
      <c r="M215" s="8" t="str">
        <f>TEXT(L215,"dddd")</f>
        <v>Monday</v>
      </c>
      <c r="N215" s="8" t="str">
        <f>LEFT(M215,3)</f>
        <v>Mon</v>
      </c>
      <c r="O215" s="8" t="str">
        <f>RIGHT(M215,3)</f>
        <v>day</v>
      </c>
      <c r="P215" s="8">
        <f>MONTH(L215)</f>
        <v>9</v>
      </c>
      <c r="Q215" s="8">
        <f>YEAR(L215)</f>
        <v>2024</v>
      </c>
      <c r="R215" s="8" t="s">
        <v>922</v>
      </c>
      <c r="S215" s="8">
        <f>HOUR(R215)</f>
        <v>9</v>
      </c>
      <c r="T215" s="8">
        <f>MINUTE(R215)</f>
        <v>4</v>
      </c>
      <c r="U215" s="8">
        <f>SECOND(R215)</f>
        <v>32</v>
      </c>
      <c r="V215" s="8">
        <v>89799</v>
      </c>
      <c r="W215" s="8">
        <v>82437</v>
      </c>
      <c r="X215" s="9" t="str">
        <f>IF(W215&gt;50000,"Highe Target","Low Target")</f>
        <v>Highe Target</v>
      </c>
      <c r="Y215" s="9" t="str">
        <f t="shared" si="3"/>
        <v>Highe target</v>
      </c>
      <c r="Z215" s="9" t="str" cm="1">
        <f t="array" ref="Z215">_xlfn.IFS(W215&lt;60000,"LOWERTarget",W215&lt;80000,"Medium Target",W215,"Highe Target")</f>
        <v>Highe Target</v>
      </c>
      <c r="AA215" s="8" t="s">
        <v>87</v>
      </c>
      <c r="AB215" s="5" t="str">
        <f>UPPER(AA215)</f>
        <v>EXCELLENT SERVICE</v>
      </c>
      <c r="AC215" s="5" t="str">
        <f>LOWER(AA215)</f>
        <v>excellent service</v>
      </c>
      <c r="AD215" s="5" t="str">
        <f>PROPER(AA215)</f>
        <v>Excellent Service</v>
      </c>
      <c r="AF215" s="6"/>
    </row>
    <row r="216" ht="14.25" customHeight="1" spans="1:32">
      <c r="A216" s="8" t="s">
        <v>923</v>
      </c>
      <c r="B216" s="8" t="s">
        <v>924</v>
      </c>
      <c r="C216" s="9">
        <f>LEN(B216)</f>
        <v>11</v>
      </c>
      <c r="D216" s="8" t="s">
        <v>44</v>
      </c>
      <c r="E216" s="8" t="str">
        <f>_xlfn.CONCAT(B216,"(",A216,")"," - ",D216)</f>
        <v>Isha Chopra(E1293) - Marketing</v>
      </c>
      <c r="F216" s="9" t="str">
        <f>LEFT(E216,FIND("-",E216))</f>
        <v>Isha Chopra(E1293) -</v>
      </c>
      <c r="G216" s="9" t="str">
        <f>RIGHT(E216,LEN(E216)-FIND("-",E216)-1)</f>
        <v>Marketing</v>
      </c>
      <c r="H216" s="9">
        <f>FIND("-",E216)</f>
        <v>20</v>
      </c>
      <c r="I216" s="9">
        <f>LEN(E216)-FIND("-",E216)</f>
        <v>10</v>
      </c>
      <c r="J216" s="8" t="s">
        <v>53</v>
      </c>
      <c r="K216" s="9" t="str">
        <f>SUBSTITUTE(J216,"a","@",1)</f>
        <v>Delhi</v>
      </c>
      <c r="L216" s="8" t="s">
        <v>925</v>
      </c>
      <c r="M216" s="8" t="str">
        <f>TEXT(L216,"dddd")</f>
        <v>Sunday</v>
      </c>
      <c r="N216" s="8" t="str">
        <f>LEFT(M216,3)</f>
        <v>Sun</v>
      </c>
      <c r="O216" s="8" t="str">
        <f>RIGHT(M216,3)</f>
        <v>day</v>
      </c>
      <c r="P216" s="8">
        <f>MONTH(L216)</f>
        <v>7</v>
      </c>
      <c r="Q216" s="8">
        <f>YEAR(L216)</f>
        <v>2024</v>
      </c>
      <c r="R216" s="8" t="s">
        <v>926</v>
      </c>
      <c r="S216" s="8">
        <f>HOUR(R216)</f>
        <v>9</v>
      </c>
      <c r="T216" s="8">
        <f>MINUTE(R216)</f>
        <v>15</v>
      </c>
      <c r="U216" s="8">
        <f>SECOND(R216)</f>
        <v>16</v>
      </c>
      <c r="V216" s="8">
        <v>78267</v>
      </c>
      <c r="W216" s="8">
        <v>83166</v>
      </c>
      <c r="X216" s="9" t="str">
        <f>IF(W216&gt;50000,"Highe Target","Low Target")</f>
        <v>Highe Target</v>
      </c>
      <c r="Y216" s="9" t="str">
        <f t="shared" si="3"/>
        <v>Highe target</v>
      </c>
      <c r="Z216" s="9" t="str" cm="1">
        <f t="array" ref="Z216">_xlfn.IFS(W216&lt;60000,"LOWERTarget",W216&lt;80000,"Medium Target",W216,"Highe Target")</f>
        <v>Highe Target</v>
      </c>
      <c r="AA216" s="8" t="s">
        <v>96</v>
      </c>
      <c r="AB216" s="5" t="str">
        <f>UPPER(AA216)</f>
        <v>FAST DELIVERY</v>
      </c>
      <c r="AC216" s="5" t="str">
        <f>LOWER(AA216)</f>
        <v>fast delivery</v>
      </c>
      <c r="AD216" s="5" t="str">
        <f>PROPER(AA216)</f>
        <v>Fast Delivery</v>
      </c>
      <c r="AF216" s="6"/>
    </row>
    <row r="217" ht="14.25" customHeight="1" spans="1:32">
      <c r="A217" s="8" t="s">
        <v>927</v>
      </c>
      <c r="B217" s="8" t="s">
        <v>928</v>
      </c>
      <c r="C217" s="9">
        <f>LEN(B217)</f>
        <v>11</v>
      </c>
      <c r="D217" s="8" t="s">
        <v>93</v>
      </c>
      <c r="E217" s="8" t="str">
        <f>_xlfn.CONCAT(B217,"(",A217,")"," - ",D217)</f>
        <v>Manish Jain(E1086) - Sales</v>
      </c>
      <c r="F217" s="9" t="str">
        <f>LEFT(E217,FIND("-",E217))</f>
        <v>Manish Jain(E1086) -</v>
      </c>
      <c r="G217" s="9" t="str">
        <f>RIGHT(E217,LEN(E217)-FIND("-",E217)-1)</f>
        <v>Sales</v>
      </c>
      <c r="H217" s="9">
        <f>FIND("-",E217)</f>
        <v>20</v>
      </c>
      <c r="I217" s="9">
        <f>LEN(E217)-FIND("-",E217)</f>
        <v>6</v>
      </c>
      <c r="J217" s="8" t="s">
        <v>76</v>
      </c>
      <c r="K217" s="9" t="str">
        <f>SUBSTITUTE(J217,"a","@",1)</f>
        <v>Pune</v>
      </c>
      <c r="L217" s="8" t="s">
        <v>929</v>
      </c>
      <c r="M217" s="8" t="str">
        <f>TEXT(L217,"dddd")</f>
        <v>Wednesday</v>
      </c>
      <c r="N217" s="8" t="str">
        <f>LEFT(M217,3)</f>
        <v>Wed</v>
      </c>
      <c r="O217" s="8" t="str">
        <f>RIGHT(M217,3)</f>
        <v>day</v>
      </c>
      <c r="P217" s="8">
        <f>MONTH(L217)</f>
        <v>3</v>
      </c>
      <c r="Q217" s="8">
        <f>YEAR(L217)</f>
        <v>2022</v>
      </c>
      <c r="R217" s="8" t="s">
        <v>930</v>
      </c>
      <c r="S217" s="8">
        <f>HOUR(R217)</f>
        <v>10</v>
      </c>
      <c r="T217" s="8">
        <f>MINUTE(R217)</f>
        <v>13</v>
      </c>
      <c r="U217" s="8">
        <f>SECOND(R217)</f>
        <v>16</v>
      </c>
      <c r="V217" s="8">
        <v>73601</v>
      </c>
      <c r="W217" s="8">
        <v>83281</v>
      </c>
      <c r="X217" s="9" t="str">
        <f>IF(W217&gt;50000,"Highe Target","Low Target")</f>
        <v>Highe Target</v>
      </c>
      <c r="Y217" s="9" t="str">
        <f t="shared" si="3"/>
        <v>Highe target</v>
      </c>
      <c r="Z217" s="9" t="str" cm="1">
        <f t="array" ref="Z217">_xlfn.IFS(W217&lt;60000,"LOWERTarget",W217&lt;80000,"Medium Target",W217,"Highe Target")</f>
        <v>Highe Target</v>
      </c>
      <c r="AA217" s="8" t="s">
        <v>285</v>
      </c>
      <c r="AB217" s="5" t="str">
        <f>UPPER(AA217)</f>
        <v>QUICK RESPONSE</v>
      </c>
      <c r="AC217" s="5" t="str">
        <f>LOWER(AA217)</f>
        <v>quick response</v>
      </c>
      <c r="AD217" s="5" t="str">
        <f>PROPER(AA217)</f>
        <v>Quick Response</v>
      </c>
      <c r="AF217" s="6"/>
    </row>
    <row r="218" ht="14.25" customHeight="1" spans="1:32">
      <c r="A218" s="8" t="s">
        <v>931</v>
      </c>
      <c r="B218" s="8" t="s">
        <v>932</v>
      </c>
      <c r="C218" s="9">
        <f>LEN(B218)</f>
        <v>12</v>
      </c>
      <c r="D218" s="8" t="s">
        <v>35</v>
      </c>
      <c r="E218" s="8" t="str">
        <f>_xlfn.CONCAT(B218,"(",A218,")"," - ",D218)</f>
        <v>Deepak Goyal(E1035) - Finance</v>
      </c>
      <c r="F218" s="9" t="str">
        <f>LEFT(E218,FIND("-",E218))</f>
        <v>Deepak Goyal(E1035) -</v>
      </c>
      <c r="G218" s="9" t="str">
        <f>RIGHT(E218,LEN(E218)-FIND("-",E218)-1)</f>
        <v>Finance</v>
      </c>
      <c r="H218" s="9">
        <f>FIND("-",E218)</f>
        <v>21</v>
      </c>
      <c r="I218" s="9">
        <f>LEN(E218)-FIND("-",E218)</f>
        <v>8</v>
      </c>
      <c r="J218" s="8" t="s">
        <v>153</v>
      </c>
      <c r="K218" s="9" t="str">
        <f>SUBSTITUTE(J218,"a","@",1)</f>
        <v>Mumb@i</v>
      </c>
      <c r="L218" s="8" t="s">
        <v>933</v>
      </c>
      <c r="M218" s="8" t="str">
        <f>TEXT(L218,"dddd")</f>
        <v>Sunday</v>
      </c>
      <c r="N218" s="8" t="str">
        <f>LEFT(M218,3)</f>
        <v>Sun</v>
      </c>
      <c r="O218" s="8" t="str">
        <f>RIGHT(M218,3)</f>
        <v>day</v>
      </c>
      <c r="P218" s="8">
        <f>MONTH(L218)</f>
        <v>9</v>
      </c>
      <c r="Q218" s="8">
        <f>YEAR(L218)</f>
        <v>2024</v>
      </c>
      <c r="R218" s="8" t="s">
        <v>934</v>
      </c>
      <c r="S218" s="8">
        <f>HOUR(R218)</f>
        <v>10</v>
      </c>
      <c r="T218" s="8">
        <f>MINUTE(R218)</f>
        <v>19</v>
      </c>
      <c r="U218" s="8">
        <f>SECOND(R218)</f>
        <v>59</v>
      </c>
      <c r="V218" s="8">
        <v>75263</v>
      </c>
      <c r="W218" s="8">
        <v>83475</v>
      </c>
      <c r="X218" s="9" t="str">
        <f>IF(W218&gt;50000,"Highe Target","Low Target")</f>
        <v>Highe Target</v>
      </c>
      <c r="Y218" s="9" t="str">
        <f t="shared" si="3"/>
        <v>Highe target</v>
      </c>
      <c r="Z218" s="9" t="str" cm="1">
        <f t="array" ref="Z218">_xlfn.IFS(W218&lt;60000,"LOWERTarget",W218&lt;80000,"Medium Target",W218,"Highe Target")</f>
        <v>Highe Target</v>
      </c>
      <c r="AA218" s="8" t="s">
        <v>935</v>
      </c>
      <c r="AB218" s="5" t="str">
        <f>UPPER(AA218)</f>
        <v>   GREAT SUPPORT   </v>
      </c>
      <c r="AC218" s="5" t="str">
        <f>LOWER(AA218)</f>
        <v>   great support   </v>
      </c>
      <c r="AD218" s="5" t="str">
        <f>PROPER(AA218)</f>
        <v>   Great Support   </v>
      </c>
      <c r="AF218" s="6"/>
    </row>
    <row r="219" ht="14.25" customHeight="1" spans="1:32">
      <c r="A219" s="8" t="s">
        <v>936</v>
      </c>
      <c r="B219" s="8" t="s">
        <v>937</v>
      </c>
      <c r="C219" s="9">
        <f>LEN(B219)</f>
        <v>11</v>
      </c>
      <c r="D219" s="8" t="s">
        <v>60</v>
      </c>
      <c r="E219" s="8" t="str">
        <f>_xlfn.CONCAT(B219,"(",A219,")"," - ",D219)</f>
        <v>Priya Goyal(E1055) - HR</v>
      </c>
      <c r="F219" s="9" t="str">
        <f>LEFT(E219,FIND("-",E219))</f>
        <v>Priya Goyal(E1055) -</v>
      </c>
      <c r="G219" s="9" t="str">
        <f>RIGHT(E219,LEN(E219)-FIND("-",E219)-1)</f>
        <v>HR</v>
      </c>
      <c r="H219" s="9">
        <f>FIND("-",E219)</f>
        <v>20</v>
      </c>
      <c r="I219" s="9">
        <f>LEN(E219)-FIND("-",E219)</f>
        <v>3</v>
      </c>
      <c r="J219" s="8" t="s">
        <v>76</v>
      </c>
      <c r="K219" s="9" t="str">
        <f>SUBSTITUTE(J219,"a","@",1)</f>
        <v>Pune</v>
      </c>
      <c r="L219" s="8" t="s">
        <v>938</v>
      </c>
      <c r="M219" s="8" t="str">
        <f>TEXT(L219,"dddd")</f>
        <v>Monday</v>
      </c>
      <c r="N219" s="8" t="str">
        <f>LEFT(M219,3)</f>
        <v>Mon</v>
      </c>
      <c r="O219" s="8" t="str">
        <f>RIGHT(M219,3)</f>
        <v>day</v>
      </c>
      <c r="P219" s="8">
        <f>MONTH(L219)</f>
        <v>7</v>
      </c>
      <c r="Q219" s="8">
        <f>YEAR(L219)</f>
        <v>2023</v>
      </c>
      <c r="R219" s="8" t="s">
        <v>939</v>
      </c>
      <c r="S219" s="8">
        <f>HOUR(R219)</f>
        <v>8</v>
      </c>
      <c r="T219" s="8">
        <f>MINUTE(R219)</f>
        <v>51</v>
      </c>
      <c r="U219" s="8">
        <f>SECOND(R219)</f>
        <v>29</v>
      </c>
      <c r="V219" s="8">
        <v>103558</v>
      </c>
      <c r="W219" s="8">
        <v>83750</v>
      </c>
      <c r="X219" s="9" t="str">
        <f>IF(W219&gt;50000,"Highe Target","Low Target")</f>
        <v>Highe Target</v>
      </c>
      <c r="Y219" s="9" t="str">
        <f t="shared" si="3"/>
        <v>Highe target</v>
      </c>
      <c r="Z219" s="9" t="str" cm="1">
        <f t="array" ref="Z219">_xlfn.IFS(W219&lt;60000,"LOWERTarget",W219&lt;80000,"Medium Target",W219,"Highe Target")</f>
        <v>Highe Target</v>
      </c>
      <c r="AA219" s="8" t="s">
        <v>229</v>
      </c>
      <c r="AB219" s="5" t="str">
        <f>UPPER(AA219)</f>
        <v>STRONG PRESENTATION</v>
      </c>
      <c r="AC219" s="5" t="str">
        <f>LOWER(AA219)</f>
        <v>strong presentation</v>
      </c>
      <c r="AD219" s="5" t="str">
        <f>PROPER(AA219)</f>
        <v>Strong Presentation</v>
      </c>
      <c r="AF219" s="6"/>
    </row>
    <row r="220" ht="14.25" customHeight="1" spans="1:32">
      <c r="A220" s="8" t="s">
        <v>940</v>
      </c>
      <c r="B220" s="8" t="s">
        <v>941</v>
      </c>
      <c r="C220" s="9">
        <f>LEN(B220)</f>
        <v>13</v>
      </c>
      <c r="D220" s="8" t="s">
        <v>93</v>
      </c>
      <c r="E220" s="8" t="str">
        <f>_xlfn.CONCAT(B220,"(",A220,")"," - ",D220)</f>
        <v>Nisha Agarwal(E1094) - Sales</v>
      </c>
      <c r="F220" s="9" t="str">
        <f>LEFT(E220,FIND("-",E220))</f>
        <v>Nisha Agarwal(E1094) -</v>
      </c>
      <c r="G220" s="9" t="str">
        <f>RIGHT(E220,LEN(E220)-FIND("-",E220)-1)</f>
        <v>Sales</v>
      </c>
      <c r="H220" s="9">
        <f>FIND("-",E220)</f>
        <v>22</v>
      </c>
      <c r="I220" s="9">
        <f>LEN(E220)-FIND("-",E220)</f>
        <v>6</v>
      </c>
      <c r="J220" s="8" t="s">
        <v>36</v>
      </c>
      <c r="K220" s="9" t="str">
        <f>SUBSTITUTE(J220,"a","@",1)</f>
        <v>Ahmed@bad</v>
      </c>
      <c r="L220" s="8" t="s">
        <v>942</v>
      </c>
      <c r="M220" s="8" t="str">
        <f>TEXT(L220,"dddd")</f>
        <v>Wednesday</v>
      </c>
      <c r="N220" s="8" t="str">
        <f>LEFT(M220,3)</f>
        <v>Wed</v>
      </c>
      <c r="O220" s="8" t="str">
        <f>RIGHT(M220,3)</f>
        <v>day</v>
      </c>
      <c r="P220" s="8">
        <f>MONTH(L220)</f>
        <v>12</v>
      </c>
      <c r="Q220" s="8">
        <f>YEAR(L220)</f>
        <v>2022</v>
      </c>
      <c r="R220" s="8" t="s">
        <v>943</v>
      </c>
      <c r="S220" s="8">
        <f>HOUR(R220)</f>
        <v>9</v>
      </c>
      <c r="T220" s="8">
        <f>MINUTE(R220)</f>
        <v>21</v>
      </c>
      <c r="U220" s="8">
        <f>SECOND(R220)</f>
        <v>20</v>
      </c>
      <c r="V220" s="8">
        <v>75772</v>
      </c>
      <c r="W220" s="8">
        <v>83917</v>
      </c>
      <c r="X220" s="9" t="str">
        <f>IF(W220&gt;50000,"Highe Target","Low Target")</f>
        <v>Highe Target</v>
      </c>
      <c r="Y220" s="9" t="str">
        <f t="shared" si="3"/>
        <v>Highe target</v>
      </c>
      <c r="Z220" s="9" t="str" cm="1">
        <f t="array" ref="Z220">_xlfn.IFS(W220&lt;60000,"LOWERTarget",W220&lt;80000,"Medium Target",W220,"Highe Target")</f>
        <v>Highe Target</v>
      </c>
      <c r="AA220" s="8" t="s">
        <v>243</v>
      </c>
      <c r="AB220" s="5" t="str">
        <f>UPPER(AA220)</f>
        <v>POSITIVE ATTITUDE</v>
      </c>
      <c r="AC220" s="5" t="str">
        <f>LOWER(AA220)</f>
        <v>positive attitude</v>
      </c>
      <c r="AD220" s="5" t="str">
        <f>PROPER(AA220)</f>
        <v>Positive Attitude</v>
      </c>
      <c r="AF220" s="6"/>
    </row>
    <row r="221" ht="14.25" customHeight="1" spans="1:32">
      <c r="A221" s="8" t="s">
        <v>944</v>
      </c>
      <c r="B221" s="8" t="s">
        <v>724</v>
      </c>
      <c r="C221" s="9">
        <f>LEN(B221)</f>
        <v>12</v>
      </c>
      <c r="D221" s="8" t="s">
        <v>44</v>
      </c>
      <c r="E221" s="8" t="str">
        <f>_xlfn.CONCAT(B221,"(",A221,")"," - ",D221)</f>
        <v>Rohan Saxena(E1220) - Marketing</v>
      </c>
      <c r="F221" s="9" t="str">
        <f>LEFT(E221,FIND("-",E221))</f>
        <v>Rohan Saxena(E1220) -</v>
      </c>
      <c r="G221" s="9" t="str">
        <f>RIGHT(E221,LEN(E221)-FIND("-",E221)-1)</f>
        <v>Marketing</v>
      </c>
      <c r="H221" s="9">
        <f>FIND("-",E221)</f>
        <v>21</v>
      </c>
      <c r="I221" s="9">
        <f>LEN(E221)-FIND("-",E221)</f>
        <v>10</v>
      </c>
      <c r="J221" s="8" t="s">
        <v>61</v>
      </c>
      <c r="K221" s="9" t="str">
        <f>SUBSTITUTE(J221,"a","@",1)</f>
        <v>Chenn@i</v>
      </c>
      <c r="L221" s="8" t="s">
        <v>945</v>
      </c>
      <c r="M221" s="8" t="str">
        <f>TEXT(L221,"dddd")</f>
        <v>Thursday</v>
      </c>
      <c r="N221" s="8" t="str">
        <f>LEFT(M221,3)</f>
        <v>Thu</v>
      </c>
      <c r="O221" s="8" t="str">
        <f>RIGHT(M221,3)</f>
        <v>day</v>
      </c>
      <c r="P221" s="8">
        <f>MONTH(L221)</f>
        <v>8</v>
      </c>
      <c r="Q221" s="8">
        <f>YEAR(L221)</f>
        <v>2023</v>
      </c>
      <c r="R221" s="8" t="s">
        <v>946</v>
      </c>
      <c r="S221" s="8">
        <f>HOUR(R221)</f>
        <v>8</v>
      </c>
      <c r="T221" s="8">
        <f>MINUTE(R221)</f>
        <v>23</v>
      </c>
      <c r="U221" s="8">
        <f>SECOND(R221)</f>
        <v>21</v>
      </c>
      <c r="V221" s="8">
        <v>76341</v>
      </c>
      <c r="W221" s="8">
        <v>84158</v>
      </c>
      <c r="X221" s="9" t="str">
        <f>IF(W221&gt;50000,"Highe Target","Low Target")</f>
        <v>Highe Target</v>
      </c>
      <c r="Y221" s="9" t="str">
        <f t="shared" si="3"/>
        <v>Highe target</v>
      </c>
      <c r="Z221" s="9" t="str" cm="1">
        <f t="array" ref="Z221">_xlfn.IFS(W221&lt;60000,"LOWERTarget",W221&lt;80000,"Medium Target",W221,"Highe Target")</f>
        <v>Highe Target</v>
      </c>
      <c r="AA221" s="8" t="s">
        <v>39</v>
      </c>
      <c r="AB221" s="5" t="str">
        <f>UPPER(AA221)</f>
        <v>DETAILED ANALYSIS</v>
      </c>
      <c r="AC221" s="5" t="str">
        <f>LOWER(AA221)</f>
        <v>detailed analysis</v>
      </c>
      <c r="AD221" s="5" t="str">
        <f>PROPER(AA221)</f>
        <v>Detailed Analysis</v>
      </c>
      <c r="AF221" s="6"/>
    </row>
    <row r="222" ht="14.25" customHeight="1" spans="1:32">
      <c r="A222" s="8" t="s">
        <v>947</v>
      </c>
      <c r="B222" s="8" t="s">
        <v>948</v>
      </c>
      <c r="C222" s="9">
        <f>LEN(B222)</f>
        <v>10</v>
      </c>
      <c r="D222" s="8" t="s">
        <v>93</v>
      </c>
      <c r="E222" s="8" t="str">
        <f>_xlfn.CONCAT(B222,"(",A222,")"," - ",D222)</f>
        <v>Yash Patel(E1192) - Sales</v>
      </c>
      <c r="F222" s="9" t="str">
        <f>LEFT(E222,FIND("-",E222))</f>
        <v>Yash Patel(E1192) -</v>
      </c>
      <c r="G222" s="9" t="str">
        <f>RIGHT(E222,LEN(E222)-FIND("-",E222)-1)</f>
        <v>Sales</v>
      </c>
      <c r="H222" s="9">
        <f>FIND("-",E222)</f>
        <v>19</v>
      </c>
      <c r="I222" s="9">
        <f>LEN(E222)-FIND("-",E222)</f>
        <v>6</v>
      </c>
      <c r="J222" s="8" t="s">
        <v>182</v>
      </c>
      <c r="K222" s="9" t="str">
        <f>SUBSTITUTE(J222,"a","@",1)</f>
        <v>Kolk@ta</v>
      </c>
      <c r="L222" s="8" t="s">
        <v>949</v>
      </c>
      <c r="M222" s="8" t="str">
        <f>TEXT(L222,"dddd")</f>
        <v>Sunday</v>
      </c>
      <c r="N222" s="8" t="str">
        <f>LEFT(M222,3)</f>
        <v>Sun</v>
      </c>
      <c r="O222" s="8" t="str">
        <f>RIGHT(M222,3)</f>
        <v>day</v>
      </c>
      <c r="P222" s="8">
        <f>MONTH(L222)</f>
        <v>1</v>
      </c>
      <c r="Q222" s="8">
        <f>YEAR(L222)</f>
        <v>2023</v>
      </c>
      <c r="R222" s="8" t="s">
        <v>950</v>
      </c>
      <c r="S222" s="8">
        <f>HOUR(R222)</f>
        <v>10</v>
      </c>
      <c r="T222" s="8">
        <f>MINUTE(R222)</f>
        <v>51</v>
      </c>
      <c r="U222" s="8">
        <f>SECOND(R222)</f>
        <v>47</v>
      </c>
      <c r="V222" s="8">
        <v>80009</v>
      </c>
      <c r="W222" s="8">
        <v>84525</v>
      </c>
      <c r="X222" s="9" t="str">
        <f>IF(W222&gt;50000,"Highe Target","Low Target")</f>
        <v>Highe Target</v>
      </c>
      <c r="Y222" s="9" t="str">
        <f t="shared" si="3"/>
        <v>Highe target</v>
      </c>
      <c r="Z222" s="9" t="str" cm="1">
        <f t="array" ref="Z222">_xlfn.IFS(W222&lt;60000,"LOWERTarget",W222&lt;80000,"Medium Target",W222,"Highe Target")</f>
        <v>Highe Target</v>
      </c>
      <c r="AA222" s="8" t="s">
        <v>87</v>
      </c>
      <c r="AB222" s="5" t="str">
        <f>UPPER(AA222)</f>
        <v>EXCELLENT SERVICE</v>
      </c>
      <c r="AC222" s="5" t="str">
        <f>LOWER(AA222)</f>
        <v>excellent service</v>
      </c>
      <c r="AD222" s="5" t="str">
        <f>PROPER(AA222)</f>
        <v>Excellent Service</v>
      </c>
      <c r="AF222" s="6"/>
    </row>
    <row r="223" ht="14.25" customHeight="1" spans="1:32">
      <c r="A223" s="8" t="s">
        <v>951</v>
      </c>
      <c r="B223" s="8" t="s">
        <v>176</v>
      </c>
      <c r="C223" s="9">
        <f>LEN(B223)</f>
        <v>13</v>
      </c>
      <c r="D223" s="8" t="s">
        <v>60</v>
      </c>
      <c r="E223" s="8" t="str">
        <f>_xlfn.CONCAT(B223,"(",A223,")"," - ",D223)</f>
        <v>Manish Mishra(E1298) - HR</v>
      </c>
      <c r="F223" s="9" t="str">
        <f>LEFT(E223,FIND("-",E223))</f>
        <v>Manish Mishra(E1298) -</v>
      </c>
      <c r="G223" s="9" t="str">
        <f>RIGHT(E223,LEN(E223)-FIND("-",E223)-1)</f>
        <v>HR</v>
      </c>
      <c r="H223" s="9">
        <f>FIND("-",E223)</f>
        <v>22</v>
      </c>
      <c r="I223" s="9">
        <f>LEN(E223)-FIND("-",E223)</f>
        <v>3</v>
      </c>
      <c r="J223" s="8" t="s">
        <v>36</v>
      </c>
      <c r="K223" s="9" t="str">
        <f>SUBSTITUTE(J223,"a","@",1)</f>
        <v>Ahmed@bad</v>
      </c>
      <c r="L223" s="8" t="s">
        <v>952</v>
      </c>
      <c r="M223" s="8" t="str">
        <f>TEXT(L223,"dddd")</f>
        <v>Monday</v>
      </c>
      <c r="N223" s="8" t="str">
        <f>LEFT(M223,3)</f>
        <v>Mon</v>
      </c>
      <c r="O223" s="8" t="str">
        <f>RIGHT(M223,3)</f>
        <v>day</v>
      </c>
      <c r="P223" s="8">
        <f>MONTH(L223)</f>
        <v>2</v>
      </c>
      <c r="Q223" s="8">
        <f>YEAR(L223)</f>
        <v>2023</v>
      </c>
      <c r="R223" s="8" t="s">
        <v>953</v>
      </c>
      <c r="S223" s="8">
        <f>HOUR(R223)</f>
        <v>9</v>
      </c>
      <c r="T223" s="8">
        <f>MINUTE(R223)</f>
        <v>29</v>
      </c>
      <c r="U223" s="8">
        <f>SECOND(R223)</f>
        <v>49</v>
      </c>
      <c r="V223" s="8">
        <v>102333</v>
      </c>
      <c r="W223" s="8">
        <v>84535</v>
      </c>
      <c r="X223" s="9" t="str">
        <f>IF(W223&gt;50000,"Highe Target","Low Target")</f>
        <v>Highe Target</v>
      </c>
      <c r="Y223" s="9" t="str">
        <f t="shared" si="3"/>
        <v>Highe target</v>
      </c>
      <c r="Z223" s="9" t="str" cm="1">
        <f t="array" ref="Z223">_xlfn.IFS(W223&lt;60000,"LOWERTarget",W223&lt;80000,"Medium Target",W223,"Highe Target")</f>
        <v>Highe Target</v>
      </c>
      <c r="AA223" s="8" t="s">
        <v>285</v>
      </c>
      <c r="AB223" s="5" t="str">
        <f>UPPER(AA223)</f>
        <v>QUICK RESPONSE</v>
      </c>
      <c r="AC223" s="5" t="str">
        <f>LOWER(AA223)</f>
        <v>quick response</v>
      </c>
      <c r="AD223" s="5" t="str">
        <f>PROPER(AA223)</f>
        <v>Quick Response</v>
      </c>
      <c r="AF223" s="6"/>
    </row>
    <row r="224" ht="14.25" customHeight="1" spans="1:32">
      <c r="A224" s="8" t="s">
        <v>954</v>
      </c>
      <c r="B224" s="8" t="s">
        <v>693</v>
      </c>
      <c r="C224" s="9">
        <f>LEN(B224)</f>
        <v>12</v>
      </c>
      <c r="D224" s="8" t="s">
        <v>35</v>
      </c>
      <c r="E224" s="8" t="str">
        <f>_xlfn.CONCAT(B224,"(",A224,")"," - ",D224)</f>
        <v>Arjun Chopra(E1248) - Finance</v>
      </c>
      <c r="F224" s="9" t="str">
        <f>LEFT(E224,FIND("-",E224))</f>
        <v>Arjun Chopra(E1248) -</v>
      </c>
      <c r="G224" s="9" t="str">
        <f>RIGHT(E224,LEN(E224)-FIND("-",E224)-1)</f>
        <v>Finance</v>
      </c>
      <c r="H224" s="9">
        <f>FIND("-",E224)</f>
        <v>21</v>
      </c>
      <c r="I224" s="9">
        <f>LEN(E224)-FIND("-",E224)</f>
        <v>8</v>
      </c>
      <c r="J224" s="8" t="s">
        <v>182</v>
      </c>
      <c r="K224" s="9" t="str">
        <f>SUBSTITUTE(J224,"a","@",1)</f>
        <v>Kolk@ta</v>
      </c>
      <c r="L224" s="8" t="s">
        <v>955</v>
      </c>
      <c r="M224" s="8" t="str">
        <f>TEXT(L224,"dddd")</f>
        <v>Saturday</v>
      </c>
      <c r="N224" s="8" t="str">
        <f>LEFT(M224,3)</f>
        <v>Sat</v>
      </c>
      <c r="O224" s="8" t="str">
        <f>RIGHT(M224,3)</f>
        <v>day</v>
      </c>
      <c r="P224" s="8">
        <f>MONTH(L224)</f>
        <v>7</v>
      </c>
      <c r="Q224" s="8">
        <f>YEAR(L224)</f>
        <v>2023</v>
      </c>
      <c r="R224" s="8" t="s">
        <v>956</v>
      </c>
      <c r="S224" s="8">
        <f>HOUR(R224)</f>
        <v>9</v>
      </c>
      <c r="T224" s="8">
        <f>MINUTE(R224)</f>
        <v>24</v>
      </c>
      <c r="U224" s="8">
        <f>SECOND(R224)</f>
        <v>5</v>
      </c>
      <c r="V224" s="8">
        <v>78458</v>
      </c>
      <c r="W224" s="8">
        <v>84743</v>
      </c>
      <c r="X224" s="9" t="str">
        <f>IF(W224&gt;50000,"Highe Target","Low Target")</f>
        <v>Highe Target</v>
      </c>
      <c r="Y224" s="9" t="str">
        <f t="shared" si="3"/>
        <v>Highe target</v>
      </c>
      <c r="Z224" s="9" t="str" cm="1">
        <f t="array" ref="Z224">_xlfn.IFS(W224&lt;60000,"LOWERTarget",W224&lt;80000,"Medium Target",W224,"Highe Target")</f>
        <v>Highe Target</v>
      </c>
      <c r="AA224" s="8" t="s">
        <v>138</v>
      </c>
      <c r="AB224" s="5" t="str">
        <f>UPPER(AA224)</f>
        <v>GOOD TEAMWORK</v>
      </c>
      <c r="AC224" s="5" t="str">
        <f>LOWER(AA224)</f>
        <v>good teamwork</v>
      </c>
      <c r="AD224" s="5" t="str">
        <f>PROPER(AA224)</f>
        <v>Good Teamwork</v>
      </c>
      <c r="AF224" s="6"/>
    </row>
    <row r="225" ht="14.25" customHeight="1" spans="1:32">
      <c r="A225" s="8" t="s">
        <v>957</v>
      </c>
      <c r="B225" s="8" t="s">
        <v>958</v>
      </c>
      <c r="C225" s="9">
        <f>LEN(B225)</f>
        <v>12</v>
      </c>
      <c r="D225" s="8" t="s">
        <v>93</v>
      </c>
      <c r="E225" s="8" t="str">
        <f>_xlfn.CONCAT(B225,"(",A225,")"," - ",D225)</f>
        <v>Anjali Gupta(E1116) - Sales</v>
      </c>
      <c r="F225" s="9" t="str">
        <f>LEFT(E225,FIND("-",E225))</f>
        <v>Anjali Gupta(E1116) -</v>
      </c>
      <c r="G225" s="9" t="str">
        <f>RIGHT(E225,LEN(E225)-FIND("-",E225)-1)</f>
        <v>Sales</v>
      </c>
      <c r="H225" s="9">
        <f>FIND("-",E225)</f>
        <v>21</v>
      </c>
      <c r="I225" s="9">
        <f>LEN(E225)-FIND("-",E225)</f>
        <v>6</v>
      </c>
      <c r="J225" s="8" t="s">
        <v>182</v>
      </c>
      <c r="K225" s="9" t="str">
        <f>SUBSTITUTE(J225,"a","@",1)</f>
        <v>Kolk@ta</v>
      </c>
      <c r="L225" s="8" t="s">
        <v>959</v>
      </c>
      <c r="M225" s="8" t="str">
        <f>TEXT(L225,"dddd")</f>
        <v>Sunday</v>
      </c>
      <c r="N225" s="8" t="str">
        <f>LEFT(M225,3)</f>
        <v>Sun</v>
      </c>
      <c r="O225" s="8" t="str">
        <f>RIGHT(M225,3)</f>
        <v>day</v>
      </c>
      <c r="P225" s="8">
        <f>MONTH(L225)</f>
        <v>7</v>
      </c>
      <c r="Q225" s="8">
        <f>YEAR(L225)</f>
        <v>2022</v>
      </c>
      <c r="R225" s="8" t="s">
        <v>960</v>
      </c>
      <c r="S225" s="8">
        <f>HOUR(R225)</f>
        <v>8</v>
      </c>
      <c r="T225" s="8">
        <f>MINUTE(R225)</f>
        <v>36</v>
      </c>
      <c r="U225" s="8">
        <f>SECOND(R225)</f>
        <v>55</v>
      </c>
      <c r="V225" s="8">
        <v>73158</v>
      </c>
      <c r="W225" s="8">
        <v>84944</v>
      </c>
      <c r="X225" s="9" t="str">
        <f>IF(W225&gt;50000,"Highe Target","Low Target")</f>
        <v>Highe Target</v>
      </c>
      <c r="Y225" s="9" t="str">
        <f t="shared" si="3"/>
        <v>Highe target</v>
      </c>
      <c r="Z225" s="9" t="str" cm="1">
        <f t="array" ref="Z225">_xlfn.IFS(W225&lt;60000,"LOWERTarget",W225&lt;80000,"Medium Target",W225,"Highe Target")</f>
        <v>Highe Target</v>
      </c>
      <c r="AA225" s="8" t="s">
        <v>71</v>
      </c>
      <c r="AB225" s="5" t="str">
        <f>UPPER(AA225)</f>
        <v>GREAT SUPPORT</v>
      </c>
      <c r="AC225" s="5" t="str">
        <f>LOWER(AA225)</f>
        <v>great support</v>
      </c>
      <c r="AD225" s="5" t="str">
        <f>PROPER(AA225)</f>
        <v>Great Support</v>
      </c>
      <c r="AF225" s="6"/>
    </row>
    <row r="226" ht="14.25" customHeight="1" spans="1:32">
      <c r="A226" s="8" t="s">
        <v>961</v>
      </c>
      <c r="B226" s="8" t="s">
        <v>181</v>
      </c>
      <c r="C226" s="9">
        <f>LEN(B226)</f>
        <v>11</v>
      </c>
      <c r="D226" s="8" t="s">
        <v>60</v>
      </c>
      <c r="E226" s="8" t="str">
        <f>_xlfn.CONCAT(B226,"(",A226,")"," - ",D226)</f>
        <v>Karan Verma(E1076) - HR</v>
      </c>
      <c r="F226" s="9" t="str">
        <f>LEFT(E226,FIND("-",E226))</f>
        <v>Karan Verma(E1076) -</v>
      </c>
      <c r="G226" s="9" t="str">
        <f>RIGHT(E226,LEN(E226)-FIND("-",E226)-1)</f>
        <v>HR</v>
      </c>
      <c r="H226" s="9">
        <f>FIND("-",E226)</f>
        <v>20</v>
      </c>
      <c r="I226" s="9">
        <f>LEN(E226)-FIND("-",E226)</f>
        <v>3</v>
      </c>
      <c r="J226" s="8" t="s">
        <v>182</v>
      </c>
      <c r="K226" s="9" t="str">
        <f>SUBSTITUTE(J226,"a","@",1)</f>
        <v>Kolk@ta</v>
      </c>
      <c r="L226" s="8" t="s">
        <v>549</v>
      </c>
      <c r="M226" s="8" t="str">
        <f>TEXT(L226,"dddd")</f>
        <v>Thursday</v>
      </c>
      <c r="N226" s="8" t="str">
        <f>LEFT(M226,3)</f>
        <v>Thu</v>
      </c>
      <c r="O226" s="8" t="str">
        <f>RIGHT(M226,3)</f>
        <v>day</v>
      </c>
      <c r="P226" s="8">
        <f>MONTH(L226)</f>
        <v>9</v>
      </c>
      <c r="Q226" s="8">
        <f>YEAR(L226)</f>
        <v>2023</v>
      </c>
      <c r="R226" s="8" t="s">
        <v>962</v>
      </c>
      <c r="S226" s="8">
        <f>HOUR(R226)</f>
        <v>10</v>
      </c>
      <c r="T226" s="8">
        <f>MINUTE(R226)</f>
        <v>48</v>
      </c>
      <c r="U226" s="8">
        <f>SECOND(R226)</f>
        <v>15</v>
      </c>
      <c r="V226" s="8">
        <v>101460</v>
      </c>
      <c r="W226" s="8">
        <v>85259</v>
      </c>
      <c r="X226" s="9" t="str">
        <f>IF(W226&gt;50000,"Highe Target","Low Target")</f>
        <v>Highe Target</v>
      </c>
      <c r="Y226" s="9" t="str">
        <f t="shared" si="3"/>
        <v>Highe target</v>
      </c>
      <c r="Z226" s="9" t="str" cm="1">
        <f t="array" ref="Z226">_xlfn.IFS(W226&lt;60000,"LOWERTarget",W226&lt;80000,"Medium Target",W226,"Highe Target")</f>
        <v>Highe Target</v>
      </c>
      <c r="AA226" s="8" t="s">
        <v>138</v>
      </c>
      <c r="AB226" s="5" t="str">
        <f>UPPER(AA226)</f>
        <v>GOOD TEAMWORK</v>
      </c>
      <c r="AC226" s="5" t="str">
        <f>LOWER(AA226)</f>
        <v>good teamwork</v>
      </c>
      <c r="AD226" s="5" t="str">
        <f>PROPER(AA226)</f>
        <v>Good Teamwork</v>
      </c>
      <c r="AF226" s="6"/>
    </row>
    <row r="227" ht="14.25" customHeight="1" spans="1:32">
      <c r="A227" s="8" t="s">
        <v>963</v>
      </c>
      <c r="B227" s="8" t="s">
        <v>964</v>
      </c>
      <c r="C227" s="9">
        <f>LEN(B227)</f>
        <v>17</v>
      </c>
      <c r="D227" s="8" t="s">
        <v>44</v>
      </c>
      <c r="E227" s="8" t="str">
        <f>_xlfn.CONCAT(B227,"(",A227,")"," - ",D227)</f>
        <v>Siddharth Agarwal(E1077) - Marketing</v>
      </c>
      <c r="F227" s="9" t="str">
        <f>LEFT(E227,FIND("-",E227))</f>
        <v>Siddharth Agarwal(E1077) -</v>
      </c>
      <c r="G227" s="9" t="str">
        <f>RIGHT(E227,LEN(E227)-FIND("-",E227)-1)</f>
        <v>Marketing</v>
      </c>
      <c r="H227" s="9">
        <f>FIND("-",E227)</f>
        <v>26</v>
      </c>
      <c r="I227" s="9">
        <f>LEN(E227)-FIND("-",E227)</f>
        <v>10</v>
      </c>
      <c r="J227" s="8" t="s">
        <v>153</v>
      </c>
      <c r="K227" s="9" t="str">
        <f>SUBSTITUTE(J227,"a","@",1)</f>
        <v>Mumb@i</v>
      </c>
      <c r="L227" s="8" t="s">
        <v>965</v>
      </c>
      <c r="M227" s="8" t="str">
        <f>TEXT(L227,"dddd")</f>
        <v>Saturday</v>
      </c>
      <c r="N227" s="8" t="str">
        <f>LEFT(M227,3)</f>
        <v>Sat</v>
      </c>
      <c r="O227" s="8" t="str">
        <f>RIGHT(M227,3)</f>
        <v>day</v>
      </c>
      <c r="P227" s="8">
        <f>MONTH(L227)</f>
        <v>7</v>
      </c>
      <c r="Q227" s="8">
        <f>YEAR(L227)</f>
        <v>2021</v>
      </c>
      <c r="R227" s="8" t="s">
        <v>966</v>
      </c>
      <c r="S227" s="8">
        <f>HOUR(R227)</f>
        <v>9</v>
      </c>
      <c r="T227" s="8">
        <f>MINUTE(R227)</f>
        <v>14</v>
      </c>
      <c r="U227" s="8">
        <f>SECOND(R227)</f>
        <v>25</v>
      </c>
      <c r="V227" s="8">
        <v>86281</v>
      </c>
      <c r="W227" s="8">
        <v>85336</v>
      </c>
      <c r="X227" s="9" t="str">
        <f>IF(W227&gt;50000,"Highe Target","Low Target")</f>
        <v>Highe Target</v>
      </c>
      <c r="Y227" s="9" t="str">
        <f t="shared" si="3"/>
        <v>Highe target</v>
      </c>
      <c r="Z227" s="9" t="str" cm="1">
        <f t="array" ref="Z227">_xlfn.IFS(W227&lt;60000,"LOWERTarget",W227&lt;80000,"Medium Target",W227,"Highe Target")</f>
        <v>Highe Target</v>
      </c>
      <c r="AA227" s="8" t="s">
        <v>64</v>
      </c>
      <c r="AB227" s="5" t="str">
        <f>UPPER(AA227)</f>
        <v>NEEDS IMPROVEMENT</v>
      </c>
      <c r="AC227" s="5" t="str">
        <f>LOWER(AA227)</f>
        <v>needs improvement</v>
      </c>
      <c r="AD227" s="5" t="str">
        <f>PROPER(AA227)</f>
        <v>Needs Improvement</v>
      </c>
      <c r="AF227" s="6"/>
    </row>
    <row r="228" ht="14.25" customHeight="1" spans="1:32">
      <c r="A228" s="8" t="s">
        <v>967</v>
      </c>
      <c r="B228" s="8" t="s">
        <v>968</v>
      </c>
      <c r="C228" s="9">
        <f>LEN(B228)</f>
        <v>11</v>
      </c>
      <c r="D228" s="8" t="s">
        <v>35</v>
      </c>
      <c r="E228" s="8" t="str">
        <f>_xlfn.CONCAT(B228,"(",A228,")"," - ",D228)</f>
        <v>Vikram Iyer(E1058) - Finance</v>
      </c>
      <c r="F228" s="9" t="str">
        <f>LEFT(E228,FIND("-",E228))</f>
        <v>Vikram Iyer(E1058) -</v>
      </c>
      <c r="G228" s="9" t="str">
        <f>RIGHT(E228,LEN(E228)-FIND("-",E228)-1)</f>
        <v>Finance</v>
      </c>
      <c r="H228" s="9">
        <f>FIND("-",E228)</f>
        <v>20</v>
      </c>
      <c r="I228" s="9">
        <f>LEN(E228)-FIND("-",E228)</f>
        <v>8</v>
      </c>
      <c r="J228" s="8" t="s">
        <v>76</v>
      </c>
      <c r="K228" s="9" t="str">
        <f>SUBSTITUTE(J228,"a","@",1)</f>
        <v>Pune</v>
      </c>
      <c r="L228" s="8" t="s">
        <v>969</v>
      </c>
      <c r="M228" s="8" t="str">
        <f>TEXT(L228,"dddd")</f>
        <v>Monday</v>
      </c>
      <c r="N228" s="8" t="str">
        <f>LEFT(M228,3)</f>
        <v>Mon</v>
      </c>
      <c r="O228" s="8" t="str">
        <f>RIGHT(M228,3)</f>
        <v>day</v>
      </c>
      <c r="P228" s="8">
        <f>MONTH(L228)</f>
        <v>10</v>
      </c>
      <c r="Q228" s="8">
        <f>YEAR(L228)</f>
        <v>2021</v>
      </c>
      <c r="R228" s="8" t="s">
        <v>970</v>
      </c>
      <c r="S228" s="8">
        <f>HOUR(R228)</f>
        <v>8</v>
      </c>
      <c r="T228" s="8">
        <f>MINUTE(R228)</f>
        <v>14</v>
      </c>
      <c r="U228" s="8">
        <f>SECOND(R228)</f>
        <v>24</v>
      </c>
      <c r="V228" s="8">
        <v>80492</v>
      </c>
      <c r="W228" s="8">
        <v>85478</v>
      </c>
      <c r="X228" s="9" t="str">
        <f>IF(W228&gt;50000,"Highe Target","Low Target")</f>
        <v>Highe Target</v>
      </c>
      <c r="Y228" s="9" t="str">
        <f t="shared" si="3"/>
        <v>Highe target</v>
      </c>
      <c r="Z228" s="9" t="str" cm="1">
        <f t="array" ref="Z228">_xlfn.IFS(W228&lt;60000,"LOWERTarget",W228&lt;80000,"Medium Target",W228,"Highe Target")</f>
        <v>Highe Target</v>
      </c>
      <c r="AA228" s="8" t="s">
        <v>96</v>
      </c>
      <c r="AB228" s="5" t="str">
        <f>UPPER(AA228)</f>
        <v>FAST DELIVERY</v>
      </c>
      <c r="AC228" s="5" t="str">
        <f>LOWER(AA228)</f>
        <v>fast delivery</v>
      </c>
      <c r="AD228" s="5" t="str">
        <f>PROPER(AA228)</f>
        <v>Fast Delivery</v>
      </c>
      <c r="AF228" s="6"/>
    </row>
    <row r="229" ht="14.25" customHeight="1" spans="1:32">
      <c r="A229" s="8" t="s">
        <v>971</v>
      </c>
      <c r="B229" s="8" t="s">
        <v>972</v>
      </c>
      <c r="C229" s="9">
        <f>LEN(B229)</f>
        <v>10</v>
      </c>
      <c r="D229" s="8" t="s">
        <v>44</v>
      </c>
      <c r="E229" s="8" t="str">
        <f>_xlfn.CONCAT(B229,"(",A229,")"," - ",D229)</f>
        <v>Isha Verma(E1053) - Marketing</v>
      </c>
      <c r="F229" s="9" t="str">
        <f>LEFT(E229,FIND("-",E229))</f>
        <v>Isha Verma(E1053) -</v>
      </c>
      <c r="G229" s="9" t="str">
        <f>RIGHT(E229,LEN(E229)-FIND("-",E229)-1)</f>
        <v>Marketing</v>
      </c>
      <c r="H229" s="9">
        <f>FIND("-",E229)</f>
        <v>19</v>
      </c>
      <c r="I229" s="9">
        <f>LEN(E229)-FIND("-",E229)</f>
        <v>10</v>
      </c>
      <c r="J229" s="8" t="s">
        <v>182</v>
      </c>
      <c r="K229" s="9" t="str">
        <f>SUBSTITUTE(J229,"a","@",1)</f>
        <v>Kolk@ta</v>
      </c>
      <c r="L229" s="8" t="s">
        <v>973</v>
      </c>
      <c r="M229" s="8" t="str">
        <f>TEXT(L229,"dddd")</f>
        <v>Saturday</v>
      </c>
      <c r="N229" s="8" t="str">
        <f>LEFT(M229,3)</f>
        <v>Sat</v>
      </c>
      <c r="O229" s="8" t="str">
        <f>RIGHT(M229,3)</f>
        <v>day</v>
      </c>
      <c r="P229" s="8">
        <f>MONTH(L229)</f>
        <v>7</v>
      </c>
      <c r="Q229" s="8">
        <f>YEAR(L229)</f>
        <v>2024</v>
      </c>
      <c r="R229" s="8" t="s">
        <v>974</v>
      </c>
      <c r="S229" s="8">
        <f>HOUR(R229)</f>
        <v>10</v>
      </c>
      <c r="T229" s="8">
        <f>MINUTE(R229)</f>
        <v>12</v>
      </c>
      <c r="U229" s="8">
        <f>SECOND(R229)</f>
        <v>45</v>
      </c>
      <c r="V229" s="8">
        <v>95800</v>
      </c>
      <c r="W229" s="8">
        <v>85636</v>
      </c>
      <c r="X229" s="9" t="str">
        <f>IF(W229&gt;50000,"Highe Target","Low Target")</f>
        <v>Highe Target</v>
      </c>
      <c r="Y229" s="9" t="str">
        <f t="shared" si="3"/>
        <v>Highe target</v>
      </c>
      <c r="Z229" s="9" t="str" cm="1">
        <f t="array" ref="Z229">_xlfn.IFS(W229&lt;60000,"LOWERTarget",W229&lt;80000,"Medium Target",W229,"Highe Target")</f>
        <v>Highe Target</v>
      </c>
      <c r="AA229" s="8" t="s">
        <v>179</v>
      </c>
      <c r="AB229" s="5" t="str">
        <f>UPPER(AA229)</f>
        <v>HELPFUL ATTITUDE</v>
      </c>
      <c r="AC229" s="5" t="str">
        <f>LOWER(AA229)</f>
        <v>helpful attitude</v>
      </c>
      <c r="AD229" s="5" t="str">
        <f>PROPER(AA229)</f>
        <v>Helpful Attitude</v>
      </c>
      <c r="AF229" s="6"/>
    </row>
    <row r="230" ht="14.25" customHeight="1" spans="1:32">
      <c r="A230" s="8" t="s">
        <v>975</v>
      </c>
      <c r="B230" s="8" t="s">
        <v>976</v>
      </c>
      <c r="C230" s="9">
        <f>LEN(B230)</f>
        <v>10</v>
      </c>
      <c r="D230" s="8" t="s">
        <v>35</v>
      </c>
      <c r="E230" s="8" t="str">
        <f>_xlfn.CONCAT(B230,"(",A230,")"," - ",D230)</f>
        <v>Isha Singh(E1048) - Finance</v>
      </c>
      <c r="F230" s="9" t="str">
        <f>LEFT(E230,FIND("-",E230))</f>
        <v>Isha Singh(E1048) -</v>
      </c>
      <c r="G230" s="9" t="str">
        <f>RIGHT(E230,LEN(E230)-FIND("-",E230)-1)</f>
        <v>Finance</v>
      </c>
      <c r="H230" s="9">
        <f>FIND("-",E230)</f>
        <v>19</v>
      </c>
      <c r="I230" s="9">
        <f>LEN(E230)-FIND("-",E230)</f>
        <v>8</v>
      </c>
      <c r="J230" s="8" t="s">
        <v>61</v>
      </c>
      <c r="K230" s="9" t="str">
        <f>SUBSTITUTE(J230,"a","@",1)</f>
        <v>Chenn@i</v>
      </c>
      <c r="L230" s="8" t="s">
        <v>977</v>
      </c>
      <c r="M230" s="8" t="str">
        <f>TEXT(L230,"dddd")</f>
        <v>Friday</v>
      </c>
      <c r="N230" s="8" t="str">
        <f>LEFT(M230,3)</f>
        <v>Fri</v>
      </c>
      <c r="O230" s="8" t="str">
        <f>RIGHT(M230,3)</f>
        <v>day</v>
      </c>
      <c r="P230" s="8">
        <f>MONTH(L230)</f>
        <v>9</v>
      </c>
      <c r="Q230" s="8">
        <f>YEAR(L230)</f>
        <v>2024</v>
      </c>
      <c r="R230" s="8" t="s">
        <v>978</v>
      </c>
      <c r="S230" s="8">
        <f>HOUR(R230)</f>
        <v>9</v>
      </c>
      <c r="T230" s="8">
        <f>MINUTE(R230)</f>
        <v>20</v>
      </c>
      <c r="U230" s="8">
        <f>SECOND(R230)</f>
        <v>25</v>
      </c>
      <c r="V230" s="8">
        <v>90068</v>
      </c>
      <c r="W230" s="8">
        <v>85692</v>
      </c>
      <c r="X230" s="9" t="str">
        <f>IF(W230&gt;50000,"Highe Target","Low Target")</f>
        <v>Highe Target</v>
      </c>
      <c r="Y230" s="9" t="str">
        <f t="shared" si="3"/>
        <v>Highe target</v>
      </c>
      <c r="Z230" s="9" t="str" cm="1">
        <f t="array" ref="Z230">_xlfn.IFS(W230&lt;60000,"LOWERTarget",W230&lt;80000,"Medium Target",W230,"Highe Target")</f>
        <v>Highe Target</v>
      </c>
      <c r="AA230" s="8" t="s">
        <v>229</v>
      </c>
      <c r="AB230" s="5" t="str">
        <f>UPPER(AA230)</f>
        <v>STRONG PRESENTATION</v>
      </c>
      <c r="AC230" s="5" t="str">
        <f>LOWER(AA230)</f>
        <v>strong presentation</v>
      </c>
      <c r="AD230" s="5" t="str">
        <f>PROPER(AA230)</f>
        <v>Strong Presentation</v>
      </c>
      <c r="AF230" s="6"/>
    </row>
    <row r="231" ht="14.25" customHeight="1" spans="1:32">
      <c r="A231" s="8" t="s">
        <v>979</v>
      </c>
      <c r="B231" s="8" t="s">
        <v>980</v>
      </c>
      <c r="C231" s="9">
        <f>LEN(B231)</f>
        <v>12</v>
      </c>
      <c r="D231" s="8" t="s">
        <v>93</v>
      </c>
      <c r="E231" s="8" t="str">
        <f>_xlfn.CONCAT(B231,"(",A231,")"," - ",D231)</f>
        <v>Tanya Bansal(E1273) - Sales</v>
      </c>
      <c r="F231" s="9" t="str">
        <f>LEFT(E231,FIND("-",E231))</f>
        <v>Tanya Bansal(E1273) -</v>
      </c>
      <c r="G231" s="9" t="str">
        <f>RIGHT(E231,LEN(E231)-FIND("-",E231)-1)</f>
        <v>Sales</v>
      </c>
      <c r="H231" s="9">
        <f>FIND("-",E231)</f>
        <v>21</v>
      </c>
      <c r="I231" s="9">
        <f>LEN(E231)-FIND("-",E231)</f>
        <v>6</v>
      </c>
      <c r="J231" s="8" t="s">
        <v>172</v>
      </c>
      <c r="K231" s="9" t="str">
        <f>SUBSTITUTE(J231,"a","@",1)</f>
        <v>Hyder@bad</v>
      </c>
      <c r="L231" s="8" t="s">
        <v>981</v>
      </c>
      <c r="M231" s="8" t="str">
        <f>TEXT(L231,"dddd")</f>
        <v>Wednesday</v>
      </c>
      <c r="N231" s="8" t="str">
        <f>LEFT(M231,3)</f>
        <v>Wed</v>
      </c>
      <c r="O231" s="8" t="str">
        <f>RIGHT(M231,3)</f>
        <v>day</v>
      </c>
      <c r="P231" s="8">
        <f>MONTH(L231)</f>
        <v>4</v>
      </c>
      <c r="Q231" s="8">
        <f>YEAR(L231)</f>
        <v>2023</v>
      </c>
      <c r="R231" s="8" t="s">
        <v>982</v>
      </c>
      <c r="S231" s="8">
        <f>HOUR(R231)</f>
        <v>9</v>
      </c>
      <c r="T231" s="8">
        <f>MINUTE(R231)</f>
        <v>36</v>
      </c>
      <c r="U231" s="8">
        <f>SECOND(R231)</f>
        <v>15</v>
      </c>
      <c r="V231" s="8">
        <v>85495</v>
      </c>
      <c r="W231" s="8">
        <v>85694</v>
      </c>
      <c r="X231" s="9" t="str">
        <f>IF(W231&gt;50000,"Highe Target","Low Target")</f>
        <v>Highe Target</v>
      </c>
      <c r="Y231" s="9" t="str">
        <f t="shared" si="3"/>
        <v>Highe target</v>
      </c>
      <c r="Z231" s="9" t="str" cm="1">
        <f t="array" ref="Z231">_xlfn.IFS(W231&lt;60000,"LOWERTarget",W231&lt;80000,"Medium Target",W231,"Highe Target")</f>
        <v>Highe Target</v>
      </c>
      <c r="AA231" s="8" t="s">
        <v>64</v>
      </c>
      <c r="AB231" s="5" t="str">
        <f>UPPER(AA231)</f>
        <v>NEEDS IMPROVEMENT</v>
      </c>
      <c r="AC231" s="5" t="str">
        <f>LOWER(AA231)</f>
        <v>needs improvement</v>
      </c>
      <c r="AD231" s="5" t="str">
        <f>PROPER(AA231)</f>
        <v>Needs Improvement</v>
      </c>
      <c r="AF231" s="6"/>
    </row>
    <row r="232" ht="14.25" customHeight="1" spans="1:32">
      <c r="A232" s="8" t="s">
        <v>983</v>
      </c>
      <c r="B232" s="8" t="s">
        <v>795</v>
      </c>
      <c r="C232" s="9">
        <f>LEN(B232)</f>
        <v>10</v>
      </c>
      <c r="D232" s="8" t="s">
        <v>60</v>
      </c>
      <c r="E232" s="8" t="str">
        <f>_xlfn.CONCAT(B232,"(",A232,")"," - ",D232)</f>
        <v>Yash Reddy(E1008) - HR</v>
      </c>
      <c r="F232" s="9" t="str">
        <f>LEFT(E232,FIND("-",E232))</f>
        <v>Yash Reddy(E1008) -</v>
      </c>
      <c r="G232" s="9" t="str">
        <f>RIGHT(E232,LEN(E232)-FIND("-",E232)-1)</f>
        <v>HR</v>
      </c>
      <c r="H232" s="9">
        <f>FIND("-",E232)</f>
        <v>19</v>
      </c>
      <c r="I232" s="9">
        <f>LEN(E232)-FIND("-",E232)</f>
        <v>3</v>
      </c>
      <c r="J232" s="8" t="s">
        <v>172</v>
      </c>
      <c r="K232" s="9" t="str">
        <f>SUBSTITUTE(J232,"a","@",1)</f>
        <v>Hyder@bad</v>
      </c>
      <c r="L232" s="8" t="s">
        <v>984</v>
      </c>
      <c r="M232" s="8" t="str">
        <f>TEXT(L232,"dddd")</f>
        <v>Thursday</v>
      </c>
      <c r="N232" s="8" t="str">
        <f>LEFT(M232,3)</f>
        <v>Thu</v>
      </c>
      <c r="O232" s="8" t="str">
        <f>RIGHT(M232,3)</f>
        <v>day</v>
      </c>
      <c r="P232" s="8">
        <f>MONTH(L232)</f>
        <v>12</v>
      </c>
      <c r="Q232" s="8">
        <f>YEAR(L232)</f>
        <v>2022</v>
      </c>
      <c r="R232" s="8" t="s">
        <v>985</v>
      </c>
      <c r="S232" s="8">
        <f>HOUR(R232)</f>
        <v>8</v>
      </c>
      <c r="T232" s="8">
        <f>MINUTE(R232)</f>
        <v>42</v>
      </c>
      <c r="U232" s="8">
        <f>SECOND(R232)</f>
        <v>17</v>
      </c>
      <c r="V232" s="8">
        <v>75673</v>
      </c>
      <c r="W232" s="8">
        <v>85994</v>
      </c>
      <c r="X232" s="9" t="str">
        <f>IF(W232&gt;50000,"Highe Target","Low Target")</f>
        <v>Highe Target</v>
      </c>
      <c r="Y232" s="9" t="str">
        <f t="shared" si="3"/>
        <v>Highe target</v>
      </c>
      <c r="Z232" s="9" t="str" cm="1">
        <f t="array" ref="Z232">_xlfn.IFS(W232&lt;60000,"LOWERTarget",W232&lt;80000,"Medium Target",W232,"Highe Target")</f>
        <v>Highe Target</v>
      </c>
      <c r="AA232" s="8" t="s">
        <v>79</v>
      </c>
      <c r="AB232" s="5" t="str">
        <f>UPPER(AA232)</f>
        <v>EXCELLENT LEADERSHIP</v>
      </c>
      <c r="AC232" s="5" t="str">
        <f>LOWER(AA232)</f>
        <v>excellent leadership</v>
      </c>
      <c r="AD232" s="5" t="s">
        <v>986</v>
      </c>
      <c r="AF232" s="6"/>
    </row>
    <row r="233" ht="14.25" customHeight="1" spans="1:32">
      <c r="A233" s="8" t="s">
        <v>987</v>
      </c>
      <c r="B233" s="8" t="s">
        <v>988</v>
      </c>
      <c r="C233" s="9">
        <f>LEN(B233)</f>
        <v>9</v>
      </c>
      <c r="D233" s="8" t="s">
        <v>60</v>
      </c>
      <c r="E233" s="8" t="str">
        <f>_xlfn.CONCAT(B233,"(",A233,")"," - ",D233)</f>
        <v>Amit Iyer(E1038) - HR</v>
      </c>
      <c r="F233" s="9" t="str">
        <f>LEFT(E233,FIND("-",E233))</f>
        <v>Amit Iyer(E1038) -</v>
      </c>
      <c r="G233" s="9" t="str">
        <f>RIGHT(E233,LEN(E233)-FIND("-",E233)-1)</f>
        <v>HR</v>
      </c>
      <c r="H233" s="9">
        <f>FIND("-",E233)</f>
        <v>18</v>
      </c>
      <c r="I233" s="9">
        <f>LEN(E233)-FIND("-",E233)</f>
        <v>3</v>
      </c>
      <c r="J233" s="8" t="s">
        <v>61</v>
      </c>
      <c r="K233" s="9" t="str">
        <f>SUBSTITUTE(J233,"a","@",1)</f>
        <v>Chenn@i</v>
      </c>
      <c r="L233" s="8" t="s">
        <v>989</v>
      </c>
      <c r="M233" s="8" t="str">
        <f>TEXT(L233,"dddd")</f>
        <v>Saturday</v>
      </c>
      <c r="N233" s="8" t="str">
        <f>LEFT(M233,3)</f>
        <v>Sat</v>
      </c>
      <c r="O233" s="8" t="str">
        <f>RIGHT(M233,3)</f>
        <v>day</v>
      </c>
      <c r="P233" s="8">
        <f>MONTH(L233)</f>
        <v>11</v>
      </c>
      <c r="Q233" s="8">
        <f>YEAR(L233)</f>
        <v>2021</v>
      </c>
      <c r="R233" s="8" t="s">
        <v>990</v>
      </c>
      <c r="S233" s="8">
        <f>HOUR(R233)</f>
        <v>10</v>
      </c>
      <c r="T233" s="8">
        <f>MINUTE(R233)</f>
        <v>28</v>
      </c>
      <c r="U233" s="8">
        <f>SECOND(R233)</f>
        <v>35</v>
      </c>
      <c r="V233" s="8">
        <v>99274</v>
      </c>
      <c r="W233" s="8">
        <v>86246</v>
      </c>
      <c r="X233" s="9" t="str">
        <f>IF(W233&gt;50000,"Highe Target","Low Target")</f>
        <v>Highe Target</v>
      </c>
      <c r="Y233" s="9" t="str">
        <f t="shared" si="3"/>
        <v>Highe target</v>
      </c>
      <c r="Z233" s="9" t="str" cm="1">
        <f t="array" ref="Z233">_xlfn.IFS(W233&lt;60000,"LOWERTarget",W233&lt;80000,"Medium Target",W233,"Highe Target")</f>
        <v>Highe Target</v>
      </c>
      <c r="AA233" s="8" t="s">
        <v>229</v>
      </c>
      <c r="AB233" s="5" t="str">
        <f>UPPER(AA233)</f>
        <v>STRONG PRESENTATION</v>
      </c>
      <c r="AC233" s="5" t="str">
        <f>LOWER(AA233)</f>
        <v>strong presentation</v>
      </c>
      <c r="AD233" s="5" t="str">
        <f>PROPER(AA233)</f>
        <v>Strong Presentation</v>
      </c>
      <c r="AF233" s="6"/>
    </row>
    <row r="234" ht="14.25" customHeight="1" spans="1:32">
      <c r="A234" s="8" t="s">
        <v>991</v>
      </c>
      <c r="B234" s="8" t="s">
        <v>135</v>
      </c>
      <c r="C234" s="9">
        <f>LEN(B234)</f>
        <v>12</v>
      </c>
      <c r="D234" s="8" t="s">
        <v>93</v>
      </c>
      <c r="E234" s="8" t="str">
        <f>_xlfn.CONCAT(B234,"(",A234,")"," - ",D234)</f>
        <v>Aakash Patel(E1203) - Sales</v>
      </c>
      <c r="F234" s="9" t="str">
        <f>LEFT(E234,FIND("-",E234))</f>
        <v>Aakash Patel(E1203) -</v>
      </c>
      <c r="G234" s="9" t="str">
        <f>RIGHT(E234,LEN(E234)-FIND("-",E234)-1)</f>
        <v>Sales</v>
      </c>
      <c r="H234" s="9">
        <f>FIND("-",E234)</f>
        <v>21</v>
      </c>
      <c r="I234" s="9">
        <f>LEN(E234)-FIND("-",E234)</f>
        <v>6</v>
      </c>
      <c r="J234" s="8" t="s">
        <v>53</v>
      </c>
      <c r="K234" s="9" t="str">
        <f>SUBSTITUTE(J234,"a","@",1)</f>
        <v>Delhi</v>
      </c>
      <c r="L234" s="8" t="s">
        <v>992</v>
      </c>
      <c r="M234" s="8" t="str">
        <f>TEXT(L234,"dddd")</f>
        <v>Thursday</v>
      </c>
      <c r="N234" s="8" t="str">
        <f>LEFT(M234,3)</f>
        <v>Thu</v>
      </c>
      <c r="O234" s="8" t="str">
        <f>RIGHT(M234,3)</f>
        <v>day</v>
      </c>
      <c r="P234" s="8">
        <f>MONTH(L234)</f>
        <v>9</v>
      </c>
      <c r="Q234" s="8">
        <f>YEAR(L234)</f>
        <v>2022</v>
      </c>
      <c r="R234" s="8" t="s">
        <v>993</v>
      </c>
      <c r="S234" s="8">
        <f>HOUR(R234)</f>
        <v>8</v>
      </c>
      <c r="T234" s="8">
        <f>MINUTE(R234)</f>
        <v>10</v>
      </c>
      <c r="U234" s="8">
        <f>SECOND(R234)</f>
        <v>20</v>
      </c>
      <c r="V234" s="8">
        <v>86262</v>
      </c>
      <c r="W234" s="8">
        <v>86486</v>
      </c>
      <c r="X234" s="9" t="str">
        <f>IF(W234&gt;50000,"Highe Target","Low Target")</f>
        <v>Highe Target</v>
      </c>
      <c r="Y234" s="9" t="str">
        <f t="shared" si="3"/>
        <v>Highe target</v>
      </c>
      <c r="Z234" s="9" t="str" cm="1">
        <f t="array" ref="Z234">_xlfn.IFS(W234&lt;60000,"LOWERTarget",W234&lt;80000,"Medium Target",W234,"Highe Target")</f>
        <v>Highe Target</v>
      </c>
      <c r="AA234" s="8" t="s">
        <v>220</v>
      </c>
      <c r="AB234" s="5" t="str">
        <f>UPPER(AA234)</f>
        <v>   CREATIVE IDEAS   </v>
      </c>
      <c r="AC234" s="5" t="str">
        <f>LOWER(AA234)</f>
        <v>   creative ideas   </v>
      </c>
      <c r="AD234" s="5" t="str">
        <f>PROPER(AA234)</f>
        <v>   Creative Ideas   </v>
      </c>
      <c r="AF234" s="6"/>
    </row>
    <row r="235" ht="14.25" customHeight="1" spans="1:32">
      <c r="A235" s="8" t="s">
        <v>994</v>
      </c>
      <c r="B235" s="8" t="s">
        <v>995</v>
      </c>
      <c r="C235" s="9">
        <f>LEN(B235)</f>
        <v>12</v>
      </c>
      <c r="D235" s="8" t="s">
        <v>60</v>
      </c>
      <c r="E235" s="8" t="str">
        <f>_xlfn.CONCAT(B235,"(",A235,")"," - ",D235)</f>
        <v>Shreya Gupta(E1282) - HR</v>
      </c>
      <c r="F235" s="9" t="str">
        <f>LEFT(E235,FIND("-",E235))</f>
        <v>Shreya Gupta(E1282) -</v>
      </c>
      <c r="G235" s="9" t="str">
        <f>RIGHT(E235,LEN(E235)-FIND("-",E235)-1)</f>
        <v>HR</v>
      </c>
      <c r="H235" s="9">
        <f>FIND("-",E235)</f>
        <v>21</v>
      </c>
      <c r="I235" s="9">
        <f>LEN(E235)-FIND("-",E235)</f>
        <v>3</v>
      </c>
      <c r="J235" s="8" t="s">
        <v>76</v>
      </c>
      <c r="K235" s="9" t="str">
        <f>SUBSTITUTE(J235,"a","@",1)</f>
        <v>Pune</v>
      </c>
      <c r="L235" s="8" t="s">
        <v>996</v>
      </c>
      <c r="M235" s="8" t="str">
        <f>TEXT(L235,"dddd")</f>
        <v>Friday</v>
      </c>
      <c r="N235" s="8" t="str">
        <f>LEFT(M235,3)</f>
        <v>Fri</v>
      </c>
      <c r="O235" s="8" t="str">
        <f>RIGHT(M235,3)</f>
        <v>day</v>
      </c>
      <c r="P235" s="8">
        <f>MONTH(L235)</f>
        <v>6</v>
      </c>
      <c r="Q235" s="8">
        <f>YEAR(L235)</f>
        <v>2021</v>
      </c>
      <c r="R235" s="8" t="s">
        <v>997</v>
      </c>
      <c r="S235" s="8">
        <f>HOUR(R235)</f>
        <v>9</v>
      </c>
      <c r="T235" s="8">
        <f>MINUTE(R235)</f>
        <v>9</v>
      </c>
      <c r="U235" s="8">
        <f>SECOND(R235)</f>
        <v>24</v>
      </c>
      <c r="V235" s="8">
        <v>81750</v>
      </c>
      <c r="W235" s="8">
        <v>86640</v>
      </c>
      <c r="X235" s="9" t="str">
        <f>IF(W235&gt;50000,"Highe Target","Low Target")</f>
        <v>Highe Target</v>
      </c>
      <c r="Y235" s="9" t="str">
        <f t="shared" si="3"/>
        <v>Highe target</v>
      </c>
      <c r="Z235" s="9" t="str" cm="1">
        <f t="array" ref="Z235">_xlfn.IFS(W235&lt;60000,"LOWERTarget",W235&lt;80000,"Medium Target",W235,"Highe Target")</f>
        <v>Highe Target</v>
      </c>
      <c r="AA235" s="8" t="s">
        <v>96</v>
      </c>
      <c r="AB235" s="5" t="str">
        <f>UPPER(AA235)</f>
        <v>FAST DELIVERY</v>
      </c>
      <c r="AC235" s="5" t="str">
        <f>LOWER(AA235)</f>
        <v>fast delivery</v>
      </c>
      <c r="AD235" s="5" t="str">
        <f>PROPER(AA235)</f>
        <v>Fast Delivery</v>
      </c>
      <c r="AF235" s="6"/>
    </row>
    <row r="236" ht="14.25" customHeight="1" spans="1:32">
      <c r="A236" s="8" t="s">
        <v>998</v>
      </c>
      <c r="B236" s="8" t="s">
        <v>999</v>
      </c>
      <c r="C236" s="9">
        <f>LEN(B236)</f>
        <v>11</v>
      </c>
      <c r="D236" s="8" t="s">
        <v>44</v>
      </c>
      <c r="E236" s="8" t="str">
        <f>_xlfn.CONCAT(B236,"(",A236,")"," - ",D236)</f>
        <v>Varun Singh(E1100) - Marketing</v>
      </c>
      <c r="F236" s="9" t="str">
        <f>LEFT(E236,FIND("-",E236))</f>
        <v>Varun Singh(E1100) -</v>
      </c>
      <c r="G236" s="9" t="str">
        <f>RIGHT(E236,LEN(E236)-FIND("-",E236)-1)</f>
        <v>Marketing</v>
      </c>
      <c r="H236" s="9">
        <f>FIND("-",E236)</f>
        <v>20</v>
      </c>
      <c r="I236" s="9">
        <f>LEN(E236)-FIND("-",E236)</f>
        <v>10</v>
      </c>
      <c r="J236" s="8" t="s">
        <v>76</v>
      </c>
      <c r="K236" s="9" t="str">
        <f>SUBSTITUTE(J236,"a","@",1)</f>
        <v>Pune</v>
      </c>
      <c r="L236" s="8" t="s">
        <v>1000</v>
      </c>
      <c r="M236" s="8" t="str">
        <f>TEXT(L236,"dddd")</f>
        <v>Monday</v>
      </c>
      <c r="N236" s="8" t="str">
        <f>LEFT(M236,3)</f>
        <v>Mon</v>
      </c>
      <c r="O236" s="8" t="str">
        <f>RIGHT(M236,3)</f>
        <v>day</v>
      </c>
      <c r="P236" s="8">
        <f>MONTH(L236)</f>
        <v>8</v>
      </c>
      <c r="Q236" s="8">
        <f>YEAR(L236)</f>
        <v>2024</v>
      </c>
      <c r="R236" s="8" t="s">
        <v>1001</v>
      </c>
      <c r="S236" s="8">
        <f>HOUR(R236)</f>
        <v>8</v>
      </c>
      <c r="T236" s="8">
        <f>MINUTE(R236)</f>
        <v>31</v>
      </c>
      <c r="U236" s="8">
        <f>SECOND(R236)</f>
        <v>59</v>
      </c>
      <c r="V236" s="8">
        <v>91090</v>
      </c>
      <c r="W236" s="8">
        <v>86963</v>
      </c>
      <c r="X236" s="9" t="str">
        <f>IF(W236&gt;50000,"Highe Target","Low Target")</f>
        <v>Highe Target</v>
      </c>
      <c r="Y236" s="9" t="str">
        <f t="shared" si="3"/>
        <v>Highe target</v>
      </c>
      <c r="Z236" s="9" t="str" cm="1">
        <f t="array" ref="Z236">_xlfn.IFS(W236&lt;60000,"LOWERTarget",W236&lt;80000,"Medium Target",W236,"Highe Target")</f>
        <v>Highe Target</v>
      </c>
      <c r="AA236" s="8" t="s">
        <v>229</v>
      </c>
      <c r="AB236" s="5" t="str">
        <f>UPPER(AA236)</f>
        <v>STRONG PRESENTATION</v>
      </c>
      <c r="AC236" s="5" t="str">
        <f>LOWER(AA236)</f>
        <v>strong presentation</v>
      </c>
      <c r="AD236" s="5" t="str">
        <f>PROPER(AA236)</f>
        <v>Strong Presentation</v>
      </c>
      <c r="AF236" s="6"/>
    </row>
    <row r="237" ht="14.25" customHeight="1" spans="1:32">
      <c r="A237" s="8" t="s">
        <v>1002</v>
      </c>
      <c r="B237" s="8" t="s">
        <v>632</v>
      </c>
      <c r="C237" s="9">
        <f>LEN(B237)</f>
        <v>14</v>
      </c>
      <c r="D237" s="8" t="s">
        <v>35</v>
      </c>
      <c r="E237" s="8" t="str">
        <f>_xlfn.CONCAT(B237,"(",A237,")"," - ",D237)</f>
        <v>Karan Malhotra(E1067) - Finance</v>
      </c>
      <c r="F237" s="9" t="str">
        <f>LEFT(E237,FIND("-",E237))</f>
        <v>Karan Malhotra(E1067) -</v>
      </c>
      <c r="G237" s="9" t="str">
        <f>RIGHT(E237,LEN(E237)-FIND("-",E237)-1)</f>
        <v>Finance</v>
      </c>
      <c r="H237" s="9">
        <f>FIND("-",E237)</f>
        <v>23</v>
      </c>
      <c r="I237" s="9">
        <f>LEN(E237)-FIND("-",E237)</f>
        <v>8</v>
      </c>
      <c r="J237" s="8" t="s">
        <v>172</v>
      </c>
      <c r="K237" s="9" t="str">
        <f>SUBSTITUTE(J237,"a","@",1)</f>
        <v>Hyder@bad</v>
      </c>
      <c r="L237" s="8" t="s">
        <v>1003</v>
      </c>
      <c r="M237" s="8" t="str">
        <f>TEXT(L237,"dddd")</f>
        <v>Friday</v>
      </c>
      <c r="N237" s="8" t="str">
        <f>LEFT(M237,3)</f>
        <v>Fri</v>
      </c>
      <c r="O237" s="8" t="str">
        <f>RIGHT(M237,3)</f>
        <v>day</v>
      </c>
      <c r="P237" s="8">
        <f>MONTH(L237)</f>
        <v>12</v>
      </c>
      <c r="Q237" s="8">
        <f>YEAR(L237)</f>
        <v>2021</v>
      </c>
      <c r="R237" s="8" t="s">
        <v>1004</v>
      </c>
      <c r="S237" s="8">
        <f>HOUR(R237)</f>
        <v>10</v>
      </c>
      <c r="T237" s="8">
        <f>MINUTE(R237)</f>
        <v>38</v>
      </c>
      <c r="U237" s="8">
        <f>SECOND(R237)</f>
        <v>47</v>
      </c>
      <c r="V237" s="8">
        <v>79584</v>
      </c>
      <c r="W237" s="8">
        <v>87078</v>
      </c>
      <c r="X237" s="9" t="str">
        <f>IF(W237&gt;50000,"Highe Target","Low Target")</f>
        <v>Highe Target</v>
      </c>
      <c r="Y237" s="9" t="str">
        <f t="shared" si="3"/>
        <v>Highe target</v>
      </c>
      <c r="Z237" s="9" t="str" cm="1">
        <f t="array" ref="Z237">_xlfn.IFS(W237&lt;60000,"LOWERTarget",W237&lt;80000,"Medium Target",W237,"Highe Target")</f>
        <v>Highe Target</v>
      </c>
      <c r="AA237" s="8" t="s">
        <v>118</v>
      </c>
      <c r="AB237" s="5" t="str">
        <f>UPPER(AA237)</f>
        <v>CUSTOMER FOCUSED</v>
      </c>
      <c r="AC237" s="5" t="str">
        <f>LOWER(AA237)</f>
        <v>customer focused</v>
      </c>
      <c r="AD237" s="5" t="str">
        <f>PROPER(AA237)</f>
        <v>Customer Focused</v>
      </c>
      <c r="AF237" s="6"/>
    </row>
    <row r="238" ht="14.25" customHeight="1" spans="1:32">
      <c r="A238" s="8" t="s">
        <v>1005</v>
      </c>
      <c r="B238" s="8" t="s">
        <v>1006</v>
      </c>
      <c r="C238" s="9">
        <f>LEN(B238)</f>
        <v>10</v>
      </c>
      <c r="D238" s="8" t="s">
        <v>60</v>
      </c>
      <c r="E238" s="8" t="str">
        <f>_xlfn.CONCAT(B238,"(",A238,")"," - ",D238)</f>
        <v>Varun Jain(E1170) - HR</v>
      </c>
      <c r="F238" s="9" t="str">
        <f>LEFT(E238,FIND("-",E238))</f>
        <v>Varun Jain(E1170) -</v>
      </c>
      <c r="G238" s="9" t="str">
        <f>RIGHT(E238,LEN(E238)-FIND("-",E238)-1)</f>
        <v>HR</v>
      </c>
      <c r="H238" s="9">
        <f>FIND("-",E238)</f>
        <v>19</v>
      </c>
      <c r="I238" s="9">
        <f>LEN(E238)-FIND("-",E238)</f>
        <v>3</v>
      </c>
      <c r="J238" s="8" t="s">
        <v>36</v>
      </c>
      <c r="K238" s="9" t="str">
        <f>SUBSTITUTE(J238,"a","@",1)</f>
        <v>Ahmed@bad</v>
      </c>
      <c r="L238" s="8" t="s">
        <v>1007</v>
      </c>
      <c r="M238" s="8" t="str">
        <f>TEXT(L238,"dddd")</f>
        <v>Wednesday</v>
      </c>
      <c r="N238" s="8" t="str">
        <f>LEFT(M238,3)</f>
        <v>Wed</v>
      </c>
      <c r="O238" s="8" t="str">
        <f>RIGHT(M238,3)</f>
        <v>day</v>
      </c>
      <c r="P238" s="8">
        <f>MONTH(L238)</f>
        <v>3</v>
      </c>
      <c r="Q238" s="8">
        <f>YEAR(L238)</f>
        <v>2021</v>
      </c>
      <c r="R238" s="8" t="s">
        <v>1008</v>
      </c>
      <c r="S238" s="8">
        <f>HOUR(R238)</f>
        <v>9</v>
      </c>
      <c r="T238" s="8">
        <f>MINUTE(R238)</f>
        <v>23</v>
      </c>
      <c r="U238" s="8">
        <f>SECOND(R238)</f>
        <v>43</v>
      </c>
      <c r="V238" s="8">
        <v>87724</v>
      </c>
      <c r="W238" s="8">
        <v>87158</v>
      </c>
      <c r="X238" s="9" t="str">
        <f>IF(W238&gt;50000,"Highe Target","Low Target")</f>
        <v>Highe Target</v>
      </c>
      <c r="Y238" s="9" t="str">
        <f t="shared" si="3"/>
        <v>Highe target</v>
      </c>
      <c r="Z238" s="9" t="str" cm="1">
        <f t="array" ref="Z238">_xlfn.IFS(W238&lt;60000,"LOWERTarget",W238&lt;80000,"Medium Target",W238,"Highe Target")</f>
        <v>Highe Target</v>
      </c>
      <c r="AA238" s="8" t="s">
        <v>56</v>
      </c>
      <c r="AB238" s="5" t="str">
        <f>UPPER(AA238)</f>
        <v>   HELPFUL ATTITUDE   </v>
      </c>
      <c r="AC238" s="5" t="str">
        <f>LOWER(AA238)</f>
        <v>   helpful attitude   </v>
      </c>
      <c r="AD238" s="5" t="str">
        <f>PROPER(AA238)</f>
        <v>   Helpful Attitude   </v>
      </c>
      <c r="AF238" s="6"/>
    </row>
    <row r="239" ht="14.25" customHeight="1" spans="1:32">
      <c r="A239" s="8" t="s">
        <v>1009</v>
      </c>
      <c r="B239" s="8" t="s">
        <v>1010</v>
      </c>
      <c r="C239" s="9">
        <f>LEN(B239)</f>
        <v>11</v>
      </c>
      <c r="D239" s="8" t="s">
        <v>60</v>
      </c>
      <c r="E239" s="8" t="str">
        <f>_xlfn.CONCAT(B239,"(",A239,")"," - ",D239)</f>
        <v>Komal Goyal(E1080) - HR</v>
      </c>
      <c r="F239" s="9" t="str">
        <f>LEFT(E239,FIND("-",E239))</f>
        <v>Komal Goyal(E1080) -</v>
      </c>
      <c r="G239" s="9" t="str">
        <f>RIGHT(E239,LEN(E239)-FIND("-",E239)-1)</f>
        <v>HR</v>
      </c>
      <c r="H239" s="9">
        <f>FIND("-",E239)</f>
        <v>20</v>
      </c>
      <c r="I239" s="9">
        <f>LEN(E239)-FIND("-",E239)</f>
        <v>3</v>
      </c>
      <c r="J239" s="8" t="s">
        <v>45</v>
      </c>
      <c r="K239" s="9" t="str">
        <f>SUBSTITUTE(J239,"a","@",1)</f>
        <v>B@ngalore</v>
      </c>
      <c r="L239" s="8" t="s">
        <v>1011</v>
      </c>
      <c r="M239" s="8" t="str">
        <f>TEXT(L239,"dddd")</f>
        <v>Sunday</v>
      </c>
      <c r="N239" s="8" t="str">
        <f>LEFT(M239,3)</f>
        <v>Sun</v>
      </c>
      <c r="O239" s="8" t="str">
        <f>RIGHT(M239,3)</f>
        <v>day</v>
      </c>
      <c r="P239" s="8">
        <f>MONTH(L239)</f>
        <v>3</v>
      </c>
      <c r="Q239" s="8">
        <f>YEAR(L239)</f>
        <v>2022</v>
      </c>
      <c r="R239" s="8" t="s">
        <v>137</v>
      </c>
      <c r="S239" s="8">
        <f>HOUR(R239)</f>
        <v>10</v>
      </c>
      <c r="T239" s="8">
        <f>MINUTE(R239)</f>
        <v>30</v>
      </c>
      <c r="U239" s="8">
        <f>SECOND(R239)</f>
        <v>17</v>
      </c>
      <c r="V239" s="8">
        <v>106868</v>
      </c>
      <c r="W239" s="8">
        <v>87486</v>
      </c>
      <c r="X239" s="9" t="str">
        <f>IF(W239&gt;50000,"Highe Target","Low Target")</f>
        <v>Highe Target</v>
      </c>
      <c r="Y239" s="9" t="str">
        <f t="shared" si="3"/>
        <v>Highe target</v>
      </c>
      <c r="Z239" s="9" t="str" cm="1">
        <f t="array" ref="Z239">_xlfn.IFS(W239&lt;60000,"LOWERTarget",W239&lt;80000,"Medium Target",W239,"Highe Target")</f>
        <v>Highe Target</v>
      </c>
      <c r="AA239" s="8" t="s">
        <v>79</v>
      </c>
      <c r="AB239" s="5" t="str">
        <f>UPPER(AA239)</f>
        <v>EXCELLENT LEADERSHIP</v>
      </c>
      <c r="AC239" s="5" t="str">
        <f>LOWER(AA239)</f>
        <v>excellent leadership</v>
      </c>
      <c r="AD239" s="5" t="str">
        <f>PROPER(AA239)</f>
        <v>Excellent Leadership</v>
      </c>
      <c r="AF239" s="6"/>
    </row>
    <row r="240" ht="14.25" customHeight="1" spans="1:32">
      <c r="A240" s="8" t="s">
        <v>1012</v>
      </c>
      <c r="B240" s="8" t="s">
        <v>1013</v>
      </c>
      <c r="C240" s="9">
        <f>LEN(B240)</f>
        <v>10</v>
      </c>
      <c r="D240" s="8" t="s">
        <v>93</v>
      </c>
      <c r="E240" s="8" t="str">
        <f>_xlfn.CONCAT(B240,"(",A240,")"," - ",D240)</f>
        <v>Isha Reddy(E1249) - Sales</v>
      </c>
      <c r="F240" s="9" t="str">
        <f>LEFT(E240,FIND("-",E240))</f>
        <v>Isha Reddy(E1249) -</v>
      </c>
      <c r="G240" s="9" t="str">
        <f>RIGHT(E240,LEN(E240)-FIND("-",E240)-1)</f>
        <v>Sales</v>
      </c>
      <c r="H240" s="9">
        <f>FIND("-",E240)</f>
        <v>19</v>
      </c>
      <c r="I240" s="9">
        <f>LEN(E240)-FIND("-",E240)</f>
        <v>6</v>
      </c>
      <c r="J240" s="8" t="s">
        <v>53</v>
      </c>
      <c r="K240" s="9" t="str">
        <f>SUBSTITUTE(J240,"a","@",1)</f>
        <v>Delhi</v>
      </c>
      <c r="L240" s="8" t="s">
        <v>1014</v>
      </c>
      <c r="M240" s="8" t="str">
        <f>TEXT(L240,"dddd")</f>
        <v>Saturday</v>
      </c>
      <c r="N240" s="8" t="str">
        <f>LEFT(M240,3)</f>
        <v>Sat</v>
      </c>
      <c r="O240" s="8" t="str">
        <f>RIGHT(M240,3)</f>
        <v>day</v>
      </c>
      <c r="P240" s="8">
        <f>MONTH(L240)</f>
        <v>1</v>
      </c>
      <c r="Q240" s="8">
        <f>YEAR(L240)</f>
        <v>2024</v>
      </c>
      <c r="R240" s="8" t="s">
        <v>1015</v>
      </c>
      <c r="S240" s="8">
        <f>HOUR(R240)</f>
        <v>9</v>
      </c>
      <c r="T240" s="8">
        <f>MINUTE(R240)</f>
        <v>33</v>
      </c>
      <c r="U240" s="8">
        <f>SECOND(R240)</f>
        <v>8</v>
      </c>
      <c r="V240" s="8">
        <v>87294</v>
      </c>
      <c r="W240" s="8">
        <v>87700</v>
      </c>
      <c r="X240" s="9" t="str">
        <f>IF(W240&gt;50000,"Highe Target","Low Target")</f>
        <v>Highe Target</v>
      </c>
      <c r="Y240" s="9" t="str">
        <f t="shared" si="3"/>
        <v>Highe target</v>
      </c>
      <c r="Z240" s="9" t="str" cm="1">
        <f t="array" ref="Z240">_xlfn.IFS(W240&lt;60000,"LOWERTarget",W240&lt;80000,"Medium Target",W240,"Highe Target")</f>
        <v>Highe Target</v>
      </c>
      <c r="AA240" s="8" t="s">
        <v>243</v>
      </c>
      <c r="AB240" s="5" t="str">
        <f>UPPER(AA240)</f>
        <v>POSITIVE ATTITUDE</v>
      </c>
      <c r="AC240" s="5" t="str">
        <f>LOWER(AA240)</f>
        <v>positive attitude</v>
      </c>
      <c r="AD240" s="5" t="str">
        <f>PROPER(AA240)</f>
        <v>Positive Attitude</v>
      </c>
      <c r="AF240" s="6"/>
    </row>
    <row r="241" ht="14.25" customHeight="1" spans="1:32">
      <c r="A241" s="8" t="s">
        <v>1016</v>
      </c>
      <c r="B241" s="8" t="s">
        <v>1017</v>
      </c>
      <c r="C241" s="9">
        <f>LEN(B241)</f>
        <v>12</v>
      </c>
      <c r="D241" s="8" t="s">
        <v>35</v>
      </c>
      <c r="E241" s="8" t="str">
        <f>_xlfn.CONCAT(B241,"(",A241,")"," - ",D241)</f>
        <v>Suresh Singh(E1005) - Finance</v>
      </c>
      <c r="F241" s="9" t="str">
        <f>LEFT(E241,FIND("-",E241))</f>
        <v>Suresh Singh(E1005) -</v>
      </c>
      <c r="G241" s="9" t="str">
        <f>RIGHT(E241,LEN(E241)-FIND("-",E241)-1)</f>
        <v>Finance</v>
      </c>
      <c r="H241" s="9">
        <f>FIND("-",E241)</f>
        <v>21</v>
      </c>
      <c r="I241" s="9">
        <f>LEN(E241)-FIND("-",E241)</f>
        <v>8</v>
      </c>
      <c r="J241" s="8" t="s">
        <v>172</v>
      </c>
      <c r="K241" s="9" t="str">
        <f>SUBSTITUTE(J241,"a","@",1)</f>
        <v>Hyder@bad</v>
      </c>
      <c r="L241" s="8" t="s">
        <v>1018</v>
      </c>
      <c r="M241" s="8" t="str">
        <f>TEXT(L241,"dddd")</f>
        <v>Tuesday</v>
      </c>
      <c r="N241" s="8" t="str">
        <f>LEFT(M241,3)</f>
        <v>Tue</v>
      </c>
      <c r="O241" s="8" t="str">
        <f>RIGHT(M241,3)</f>
        <v>day</v>
      </c>
      <c r="P241" s="8">
        <f>MONTH(L241)</f>
        <v>5</v>
      </c>
      <c r="Q241" s="8">
        <f>YEAR(L241)</f>
        <v>2024</v>
      </c>
      <c r="R241" s="8" t="s">
        <v>1019</v>
      </c>
      <c r="S241" s="8">
        <f>HOUR(R241)</f>
        <v>9</v>
      </c>
      <c r="T241" s="8">
        <f>MINUTE(R241)</f>
        <v>51</v>
      </c>
      <c r="U241" s="8">
        <f>SECOND(R241)</f>
        <v>2</v>
      </c>
      <c r="V241" s="8">
        <v>102931</v>
      </c>
      <c r="W241" s="8">
        <v>87823</v>
      </c>
      <c r="X241" s="9" t="str">
        <f>IF(W241&gt;50000,"Highe Target","Low Target")</f>
        <v>Highe Target</v>
      </c>
      <c r="Y241" s="9" t="str">
        <f t="shared" si="3"/>
        <v>Highe target</v>
      </c>
      <c r="Z241" s="9" t="str" cm="1">
        <f t="array" ref="Z241">_xlfn.IFS(W241&lt;60000,"LOWERTarget",W241&lt;80000,"Medium Target",W241,"Highe Target")</f>
        <v>Highe Target</v>
      </c>
      <c r="AA241" s="8" t="s">
        <v>229</v>
      </c>
      <c r="AB241" s="5" t="str">
        <f>UPPER(AA241)</f>
        <v>STRONG PRESENTATION</v>
      </c>
      <c r="AC241" s="5" t="str">
        <f>LOWER(AA241)</f>
        <v>strong presentation</v>
      </c>
      <c r="AD241" s="5" t="str">
        <f>PROPER(AA241)</f>
        <v>Strong Presentation</v>
      </c>
      <c r="AF241" s="6"/>
    </row>
    <row r="242" ht="14.25" customHeight="1" spans="1:32">
      <c r="A242" s="8" t="s">
        <v>1020</v>
      </c>
      <c r="B242" s="8" t="s">
        <v>1021</v>
      </c>
      <c r="C242" s="9">
        <f>LEN(B242)</f>
        <v>13</v>
      </c>
      <c r="D242" s="8" t="s">
        <v>44</v>
      </c>
      <c r="E242" s="8" t="str">
        <f>_xlfn.CONCAT(B242,"(",A242,")"," - ",D242)</f>
        <v>Suresh Sharma(E1028) - Marketing</v>
      </c>
      <c r="F242" s="9" t="str">
        <f>LEFT(E242,FIND("-",E242))</f>
        <v>Suresh Sharma(E1028) -</v>
      </c>
      <c r="G242" s="9" t="str">
        <f>RIGHT(E242,LEN(E242)-FIND("-",E242)-1)</f>
        <v>Marketing</v>
      </c>
      <c r="H242" s="9">
        <f>FIND("-",E242)</f>
        <v>22</v>
      </c>
      <c r="I242" s="9">
        <f>LEN(E242)-FIND("-",E242)</f>
        <v>10</v>
      </c>
      <c r="J242" s="8" t="s">
        <v>61</v>
      </c>
      <c r="K242" s="9" t="str">
        <f>SUBSTITUTE(J242,"a","@",1)</f>
        <v>Chenn@i</v>
      </c>
      <c r="L242" s="8" t="s">
        <v>1022</v>
      </c>
      <c r="M242" s="8" t="str">
        <f>TEXT(L242,"dddd")</f>
        <v>Friday</v>
      </c>
      <c r="N242" s="8" t="str">
        <f>LEFT(M242,3)</f>
        <v>Fri</v>
      </c>
      <c r="O242" s="8" t="str">
        <f>RIGHT(M242,3)</f>
        <v>day</v>
      </c>
      <c r="P242" s="8">
        <f>MONTH(L242)</f>
        <v>7</v>
      </c>
      <c r="Q242" s="8">
        <f>YEAR(L242)</f>
        <v>2023</v>
      </c>
      <c r="R242" s="8" t="s">
        <v>1023</v>
      </c>
      <c r="S242" s="8">
        <f>HOUR(R242)</f>
        <v>9</v>
      </c>
      <c r="T242" s="8">
        <f>MINUTE(R242)</f>
        <v>27</v>
      </c>
      <c r="U242" s="8">
        <f>SECOND(R242)</f>
        <v>44</v>
      </c>
      <c r="V242" s="8">
        <v>104768</v>
      </c>
      <c r="W242" s="8">
        <v>87874</v>
      </c>
      <c r="X242" s="9" t="str">
        <f>IF(W242&gt;50000,"Highe Target","Low Target")</f>
        <v>Highe Target</v>
      </c>
      <c r="Y242" s="9" t="str">
        <f t="shared" si="3"/>
        <v>Highe target</v>
      </c>
      <c r="Z242" s="9" t="str" cm="1">
        <f t="array" ref="Z242">_xlfn.IFS(W242&lt;60000,"LOWERTarget",W242&lt;80000,"Medium Target",W242,"Highe Target")</f>
        <v>Highe Target</v>
      </c>
      <c r="AA242" s="8" t="s">
        <v>285</v>
      </c>
      <c r="AB242" s="5" t="str">
        <f>UPPER(AA242)</f>
        <v>QUICK RESPONSE</v>
      </c>
      <c r="AC242" s="5" t="str">
        <f>LOWER(AA242)</f>
        <v>quick response</v>
      </c>
      <c r="AD242" s="5" t="str">
        <f>PROPER(AA242)</f>
        <v>Quick Response</v>
      </c>
      <c r="AF242" s="6"/>
    </row>
    <row r="243" ht="14.25" customHeight="1" spans="1:32">
      <c r="A243" s="8" t="s">
        <v>1024</v>
      </c>
      <c r="B243" s="8" t="s">
        <v>1025</v>
      </c>
      <c r="C243" s="9">
        <f>LEN(B243)</f>
        <v>10</v>
      </c>
      <c r="D243" s="8" t="s">
        <v>35</v>
      </c>
      <c r="E243" s="8" t="str">
        <f>_xlfn.CONCAT(B243,"(",A243,")"," - ",D243)</f>
        <v>Meera Nair(E1132) - Finance</v>
      </c>
      <c r="F243" s="9" t="str">
        <f>LEFT(E243,FIND("-",E243))</f>
        <v>Meera Nair(E1132) -</v>
      </c>
      <c r="G243" s="9" t="str">
        <f>RIGHT(E243,LEN(E243)-FIND("-",E243)-1)</f>
        <v>Finance</v>
      </c>
      <c r="H243" s="9">
        <f>FIND("-",E243)</f>
        <v>19</v>
      </c>
      <c r="I243" s="9">
        <f>LEN(E243)-FIND("-",E243)</f>
        <v>8</v>
      </c>
      <c r="J243" s="8" t="s">
        <v>153</v>
      </c>
      <c r="K243" s="9" t="str">
        <f>SUBSTITUTE(J243,"a","@",1)</f>
        <v>Mumb@i</v>
      </c>
      <c r="L243" s="8" t="s">
        <v>1026</v>
      </c>
      <c r="M243" s="8" t="str">
        <f>TEXT(L243,"dddd")</f>
        <v>Thursday</v>
      </c>
      <c r="N243" s="8" t="str">
        <f>LEFT(M243,3)</f>
        <v>Thu</v>
      </c>
      <c r="O243" s="8" t="str">
        <f>RIGHT(M243,3)</f>
        <v>day</v>
      </c>
      <c r="P243" s="8">
        <f>MONTH(L243)</f>
        <v>12</v>
      </c>
      <c r="Q243" s="8">
        <f>YEAR(L243)</f>
        <v>2021</v>
      </c>
      <c r="R243" s="8" t="s">
        <v>1027</v>
      </c>
      <c r="S243" s="8">
        <f>HOUR(R243)</f>
        <v>9</v>
      </c>
      <c r="T243" s="8">
        <f>MINUTE(R243)</f>
        <v>3</v>
      </c>
      <c r="U243" s="8">
        <f>SECOND(R243)</f>
        <v>8</v>
      </c>
      <c r="V243" s="8">
        <v>101197</v>
      </c>
      <c r="W243" s="8">
        <v>88609</v>
      </c>
      <c r="X243" s="9" t="str">
        <f>IF(W243&gt;50000,"Highe Target","Low Target")</f>
        <v>Highe Target</v>
      </c>
      <c r="Y243" s="9" t="str">
        <f t="shared" si="3"/>
        <v>Highe target</v>
      </c>
      <c r="Z243" s="9" t="str" cm="1">
        <f t="array" ref="Z243">_xlfn.IFS(W243&lt;60000,"LOWERTarget",W243&lt;80000,"Medium Target",W243,"Highe Target")</f>
        <v>Highe Target</v>
      </c>
      <c r="AA243" s="8" t="s">
        <v>229</v>
      </c>
      <c r="AB243" s="5" t="str">
        <f>UPPER(AA243)</f>
        <v>STRONG PRESENTATION</v>
      </c>
      <c r="AC243" s="5" t="str">
        <f>LOWER(AA243)</f>
        <v>strong presentation</v>
      </c>
      <c r="AD243" s="5" t="str">
        <f>PROPER(AA243)</f>
        <v>Strong Presentation</v>
      </c>
      <c r="AF243" s="6"/>
    </row>
    <row r="244" ht="14.25" customHeight="1" spans="1:32">
      <c r="A244" s="8" t="s">
        <v>1028</v>
      </c>
      <c r="B244" s="8" t="s">
        <v>1029</v>
      </c>
      <c r="C244" s="9">
        <f>LEN(B244)</f>
        <v>11</v>
      </c>
      <c r="D244" s="8" t="s">
        <v>44</v>
      </c>
      <c r="E244" s="8" t="str">
        <f>_xlfn.CONCAT(B244,"(",A244,")"," - ",D244)</f>
        <v>Shreya Iyer(E1056) - Marketing</v>
      </c>
      <c r="F244" s="9" t="str">
        <f>LEFT(E244,FIND("-",E244))</f>
        <v>Shreya Iyer(E1056) -</v>
      </c>
      <c r="G244" s="9" t="str">
        <f>RIGHT(E244,LEN(E244)-FIND("-",E244)-1)</f>
        <v>Marketing</v>
      </c>
      <c r="H244" s="9">
        <f>FIND("-",E244)</f>
        <v>20</v>
      </c>
      <c r="I244" s="9">
        <f>LEN(E244)-FIND("-",E244)</f>
        <v>10</v>
      </c>
      <c r="J244" s="8" t="s">
        <v>182</v>
      </c>
      <c r="K244" s="9" t="str">
        <f>SUBSTITUTE(J244,"a","@",1)</f>
        <v>Kolk@ta</v>
      </c>
      <c r="L244" s="8" t="s">
        <v>1030</v>
      </c>
      <c r="M244" s="8" t="str">
        <f>TEXT(L244,"dddd")</f>
        <v>Sunday</v>
      </c>
      <c r="N244" s="8" t="str">
        <f>LEFT(M244,3)</f>
        <v>Sun</v>
      </c>
      <c r="O244" s="8" t="str">
        <f>RIGHT(M244,3)</f>
        <v>day</v>
      </c>
      <c r="P244" s="8">
        <f>MONTH(L244)</f>
        <v>1</v>
      </c>
      <c r="Q244" s="8">
        <f>YEAR(L244)</f>
        <v>2024</v>
      </c>
      <c r="R244" s="8" t="s">
        <v>1031</v>
      </c>
      <c r="S244" s="8">
        <f>HOUR(R244)</f>
        <v>9</v>
      </c>
      <c r="T244" s="8">
        <f>MINUTE(R244)</f>
        <v>57</v>
      </c>
      <c r="U244" s="8">
        <f>SECOND(R244)</f>
        <v>10</v>
      </c>
      <c r="V244" s="8">
        <v>104844</v>
      </c>
      <c r="W244" s="8">
        <v>88736</v>
      </c>
      <c r="X244" s="9" t="str">
        <f>IF(W244&gt;50000,"Highe Target","Low Target")</f>
        <v>Highe Target</v>
      </c>
      <c r="Y244" s="9" t="str">
        <f t="shared" si="3"/>
        <v>Highe target</v>
      </c>
      <c r="Z244" s="9" t="str" cm="1">
        <f t="array" ref="Z244">_xlfn.IFS(W244&lt;60000,"LOWERTarget",W244&lt;80000,"Medium Target",W244,"Highe Target")</f>
        <v>Highe Target</v>
      </c>
      <c r="AA244" s="8" t="s">
        <v>56</v>
      </c>
      <c r="AB244" s="5" t="str">
        <f>UPPER(AA244)</f>
        <v>   HELPFUL ATTITUDE   </v>
      </c>
      <c r="AC244" s="5" t="str">
        <f>LOWER(AA244)</f>
        <v>   helpful attitude   </v>
      </c>
      <c r="AD244" s="5" t="str">
        <f>PROPER(AA244)</f>
        <v>   Helpful Attitude   </v>
      </c>
      <c r="AF244" s="6"/>
    </row>
    <row r="245" ht="14.25" customHeight="1" spans="1:32">
      <c r="A245" s="8" t="s">
        <v>1032</v>
      </c>
      <c r="B245" s="8" t="s">
        <v>162</v>
      </c>
      <c r="C245" s="9">
        <f>LEN(B245)</f>
        <v>12</v>
      </c>
      <c r="D245" s="8" t="s">
        <v>44</v>
      </c>
      <c r="E245" s="8" t="str">
        <f>_xlfn.CONCAT(B245,"(",A245,")"," - ",D245)</f>
        <v>Yash Agarwal(E1011) - Marketing</v>
      </c>
      <c r="F245" s="9" t="str">
        <f>LEFT(E245,FIND("-",E245))</f>
        <v>Yash Agarwal(E1011) -</v>
      </c>
      <c r="G245" s="9" t="str">
        <f>RIGHT(E245,LEN(E245)-FIND("-",E245)-1)</f>
        <v>Marketing</v>
      </c>
      <c r="H245" s="9">
        <f>FIND("-",E245)</f>
        <v>21</v>
      </c>
      <c r="I245" s="9">
        <f>LEN(E245)-FIND("-",E245)</f>
        <v>10</v>
      </c>
      <c r="J245" s="8" t="s">
        <v>36</v>
      </c>
      <c r="K245" s="9" t="str">
        <f>SUBSTITUTE(J245,"a","@",1)</f>
        <v>Ahmed@bad</v>
      </c>
      <c r="L245" s="8" t="s">
        <v>1033</v>
      </c>
      <c r="M245" s="8" t="str">
        <f>TEXT(L245,"dddd")</f>
        <v>Wednesday</v>
      </c>
      <c r="N245" s="8" t="str">
        <f>LEFT(M245,3)</f>
        <v>Wed</v>
      </c>
      <c r="O245" s="8" t="str">
        <f>RIGHT(M245,3)</f>
        <v>day</v>
      </c>
      <c r="P245" s="8">
        <f>MONTH(L245)</f>
        <v>10</v>
      </c>
      <c r="Q245" s="8">
        <f>YEAR(L245)</f>
        <v>2021</v>
      </c>
      <c r="R245" s="8" t="s">
        <v>1034</v>
      </c>
      <c r="S245" s="8">
        <f>HOUR(R245)</f>
        <v>9</v>
      </c>
      <c r="T245" s="8">
        <f>MINUTE(R245)</f>
        <v>8</v>
      </c>
      <c r="U245" s="8">
        <f>SECOND(R245)</f>
        <v>15</v>
      </c>
      <c r="V245" s="8">
        <v>91042</v>
      </c>
      <c r="W245" s="8">
        <v>88823</v>
      </c>
      <c r="X245" s="9" t="str">
        <f>IF(W245&gt;50000,"Highe Target","Low Target")</f>
        <v>Highe Target</v>
      </c>
      <c r="Y245" s="9" t="str">
        <f t="shared" si="3"/>
        <v>Highe target</v>
      </c>
      <c r="Z245" s="9" t="str" cm="1">
        <f t="array" ref="Z245">_xlfn.IFS(W245&lt;60000,"LOWERTarget",W245&lt;80000,"Medium Target",W245,"Highe Target")</f>
        <v>Highe Target</v>
      </c>
      <c r="AA245" s="8" t="s">
        <v>96</v>
      </c>
      <c r="AB245" s="5" t="str">
        <f>UPPER(AA245)</f>
        <v>FAST DELIVERY</v>
      </c>
      <c r="AC245" s="5" t="str">
        <f>LOWER(AA245)</f>
        <v>fast delivery</v>
      </c>
      <c r="AD245" s="5" t="str">
        <f>PROPER(AA245)</f>
        <v>Fast Delivery</v>
      </c>
      <c r="AF245" s="6"/>
    </row>
    <row r="246" ht="14.25" customHeight="1" spans="1:32">
      <c r="A246" s="8" t="s">
        <v>1035</v>
      </c>
      <c r="B246" s="8" t="s">
        <v>392</v>
      </c>
      <c r="C246" s="9">
        <f>LEN(B246)</f>
        <v>12</v>
      </c>
      <c r="D246" s="8" t="s">
        <v>35</v>
      </c>
      <c r="E246" s="8" t="str">
        <f>_xlfn.CONCAT(B246,"(",A246,")"," - ",D246)</f>
        <v>Nidhi Mishra(E1078) - Finance</v>
      </c>
      <c r="F246" s="9" t="str">
        <f>LEFT(E246,FIND("-",E246))</f>
        <v>Nidhi Mishra(E1078) -</v>
      </c>
      <c r="G246" s="9" t="str">
        <f>RIGHT(E246,LEN(E246)-FIND("-",E246)-1)</f>
        <v>Finance</v>
      </c>
      <c r="H246" s="9">
        <f>FIND("-",E246)</f>
        <v>21</v>
      </c>
      <c r="I246" s="9">
        <f>LEN(E246)-FIND("-",E246)</f>
        <v>8</v>
      </c>
      <c r="J246" s="8" t="s">
        <v>36</v>
      </c>
      <c r="K246" s="9" t="str">
        <f>SUBSTITUTE(J246,"a","@",1)</f>
        <v>Ahmed@bad</v>
      </c>
      <c r="L246" s="8" t="s">
        <v>875</v>
      </c>
      <c r="M246" s="8" t="str">
        <f>TEXT(L246,"dddd")</f>
        <v>Thursday</v>
      </c>
      <c r="N246" s="8" t="str">
        <f>LEFT(M246,3)</f>
        <v>Thu</v>
      </c>
      <c r="O246" s="8" t="str">
        <f>RIGHT(M246,3)</f>
        <v>day</v>
      </c>
      <c r="P246" s="8">
        <f>MONTH(L246)</f>
        <v>2</v>
      </c>
      <c r="Q246" s="8">
        <f>YEAR(L246)</f>
        <v>2024</v>
      </c>
      <c r="R246" s="8" t="s">
        <v>1036</v>
      </c>
      <c r="S246" s="8">
        <f>HOUR(R246)</f>
        <v>10</v>
      </c>
      <c r="T246" s="8">
        <f>MINUTE(R246)</f>
        <v>22</v>
      </c>
      <c r="U246" s="8">
        <f>SECOND(R246)</f>
        <v>27</v>
      </c>
      <c r="V246" s="8">
        <v>95563</v>
      </c>
      <c r="W246" s="8">
        <v>88885</v>
      </c>
      <c r="X246" s="9" t="str">
        <f>IF(W246&gt;50000,"Highe Target","Low Target")</f>
        <v>Highe Target</v>
      </c>
      <c r="Y246" s="9" t="str">
        <f t="shared" si="3"/>
        <v>Highe target</v>
      </c>
      <c r="Z246" s="9" t="str" cm="1">
        <f t="array" ref="Z246">_xlfn.IFS(W246&lt;60000,"LOWERTarget",W246&lt;80000,"Medium Target",W246,"Highe Target")</f>
        <v>Highe Target</v>
      </c>
      <c r="AA246" s="8" t="s">
        <v>48</v>
      </c>
      <c r="AB246" s="5" t="str">
        <f>UPPER(AA246)</f>
        <v>CREATIVE IDEAS</v>
      </c>
      <c r="AC246" s="5" t="str">
        <f>LOWER(AA246)</f>
        <v>creative ideas</v>
      </c>
      <c r="AD246" s="5" t="str">
        <f>PROPER(AA246)</f>
        <v>Creative Ideas</v>
      </c>
      <c r="AF246" s="6"/>
    </row>
    <row r="247" ht="14.25" customHeight="1" spans="1:32">
      <c r="A247" s="8" t="s">
        <v>1037</v>
      </c>
      <c r="B247" s="8" t="s">
        <v>1038</v>
      </c>
      <c r="C247" s="9">
        <f>LEN(B247)</f>
        <v>12</v>
      </c>
      <c r="D247" s="8" t="s">
        <v>93</v>
      </c>
      <c r="E247" s="8" t="str">
        <f>_xlfn.CONCAT(B247,"(",A247,")"," - ",D247)</f>
        <v>Rohan Chopra(E1297) - Sales</v>
      </c>
      <c r="F247" s="9" t="str">
        <f>LEFT(E247,FIND("-",E247))</f>
        <v>Rohan Chopra(E1297) -</v>
      </c>
      <c r="G247" s="9" t="str">
        <f>RIGHT(E247,LEN(E247)-FIND("-",E247)-1)</f>
        <v>Sales</v>
      </c>
      <c r="H247" s="9">
        <f>FIND("-",E247)</f>
        <v>21</v>
      </c>
      <c r="I247" s="9">
        <f>LEN(E247)-FIND("-",E247)</f>
        <v>6</v>
      </c>
      <c r="J247" s="8" t="s">
        <v>153</v>
      </c>
      <c r="K247" s="9" t="str">
        <f>SUBSTITUTE(J247,"a","@",1)</f>
        <v>Mumb@i</v>
      </c>
      <c r="L247" s="8" t="s">
        <v>1039</v>
      </c>
      <c r="M247" s="8" t="str">
        <f>TEXT(L247,"dddd")</f>
        <v>Wednesday</v>
      </c>
      <c r="N247" s="8" t="str">
        <f>LEFT(M247,3)</f>
        <v>Wed</v>
      </c>
      <c r="O247" s="8" t="str">
        <f>RIGHT(M247,3)</f>
        <v>day</v>
      </c>
      <c r="P247" s="8">
        <f>MONTH(L247)</f>
        <v>7</v>
      </c>
      <c r="Q247" s="8">
        <f>YEAR(L247)</f>
        <v>2021</v>
      </c>
      <c r="R247" s="8" t="s">
        <v>1040</v>
      </c>
      <c r="S247" s="8">
        <f>HOUR(R247)</f>
        <v>9</v>
      </c>
      <c r="T247" s="8">
        <f>MINUTE(R247)</f>
        <v>14</v>
      </c>
      <c r="U247" s="8">
        <f>SECOND(R247)</f>
        <v>32</v>
      </c>
      <c r="V247" s="8">
        <v>107944</v>
      </c>
      <c r="W247" s="8">
        <v>88945</v>
      </c>
      <c r="X247" s="9" t="str">
        <f>IF(W247&gt;50000,"Highe Target","Low Target")</f>
        <v>Highe Target</v>
      </c>
      <c r="Y247" s="9" t="str">
        <f t="shared" si="3"/>
        <v>Highe target</v>
      </c>
      <c r="Z247" s="9" t="str" cm="1">
        <f t="array" ref="Z247">_xlfn.IFS(W247&lt;60000,"LOWERTarget",W247&lt;80000,"Medium Target",W247,"Highe Target")</f>
        <v>Highe Target</v>
      </c>
      <c r="AA247" s="8" t="s">
        <v>229</v>
      </c>
      <c r="AB247" s="5" t="str">
        <f>UPPER(AA247)</f>
        <v>STRONG PRESENTATION</v>
      </c>
      <c r="AC247" s="5" t="str">
        <f>LOWER(AA247)</f>
        <v>strong presentation</v>
      </c>
      <c r="AD247" s="5" t="str">
        <f>PROPER(AA247)</f>
        <v>Strong Presentation</v>
      </c>
      <c r="AF247" s="6"/>
    </row>
    <row r="248" ht="14.25" customHeight="1" spans="1:32">
      <c r="A248" s="8" t="s">
        <v>1041</v>
      </c>
      <c r="B248" s="8" t="s">
        <v>1042</v>
      </c>
      <c r="C248" s="9">
        <f>LEN(B248)</f>
        <v>11</v>
      </c>
      <c r="D248" s="8" t="s">
        <v>60</v>
      </c>
      <c r="E248" s="8" t="str">
        <f>_xlfn.CONCAT(B248,"(",A248,")"," - ",D248)</f>
        <v>Karan Gupta(E1029) - HR</v>
      </c>
      <c r="F248" s="9" t="str">
        <f>LEFT(E248,FIND("-",E248))</f>
        <v>Karan Gupta(E1029) -</v>
      </c>
      <c r="G248" s="9" t="str">
        <f>RIGHT(E248,LEN(E248)-FIND("-",E248)-1)</f>
        <v>HR</v>
      </c>
      <c r="H248" s="9">
        <f>FIND("-",E248)</f>
        <v>20</v>
      </c>
      <c r="I248" s="9">
        <f>LEN(E248)-FIND("-",E248)</f>
        <v>3</v>
      </c>
      <c r="J248" s="8" t="s">
        <v>153</v>
      </c>
      <c r="K248" s="9" t="str">
        <f>SUBSTITUTE(J248,"a","@",1)</f>
        <v>Mumb@i</v>
      </c>
      <c r="L248" s="8" t="s">
        <v>1043</v>
      </c>
      <c r="M248" s="8" t="str">
        <f>TEXT(L248,"dddd")</f>
        <v>Monday</v>
      </c>
      <c r="N248" s="8" t="str">
        <f>LEFT(M248,3)</f>
        <v>Mon</v>
      </c>
      <c r="O248" s="8" t="str">
        <f>RIGHT(M248,3)</f>
        <v>day</v>
      </c>
      <c r="P248" s="8">
        <f>MONTH(L248)</f>
        <v>4</v>
      </c>
      <c r="Q248" s="8">
        <f>YEAR(L248)</f>
        <v>2024</v>
      </c>
      <c r="R248" s="8" t="s">
        <v>1044</v>
      </c>
      <c r="S248" s="8">
        <f>HOUR(R248)</f>
        <v>10</v>
      </c>
      <c r="T248" s="8">
        <f>MINUTE(R248)</f>
        <v>34</v>
      </c>
      <c r="U248" s="8">
        <f>SECOND(R248)</f>
        <v>3</v>
      </c>
      <c r="V248" s="8">
        <v>94571</v>
      </c>
      <c r="W248" s="8">
        <v>89019</v>
      </c>
      <c r="X248" s="9" t="str">
        <f>IF(W248&gt;50000,"Highe Target","Low Target")</f>
        <v>Highe Target</v>
      </c>
      <c r="Y248" s="9" t="str">
        <f t="shared" si="3"/>
        <v>Highe target</v>
      </c>
      <c r="Z248" s="9" t="str" cm="1">
        <f t="array" ref="Z248">_xlfn.IFS(W248&lt;60000,"LOWERTarget",W248&lt;80000,"Medium Target",W248,"Highe Target")</f>
        <v>Highe Target</v>
      </c>
      <c r="AA248" s="8" t="s">
        <v>87</v>
      </c>
      <c r="AB248" s="5" t="str">
        <f>UPPER(AA248)</f>
        <v>EXCELLENT SERVICE</v>
      </c>
      <c r="AC248" s="5" t="str">
        <f>LOWER(AA248)</f>
        <v>excellent service</v>
      </c>
      <c r="AD248" s="5" t="str">
        <f>PROPER(AA248)</f>
        <v>Excellent Service</v>
      </c>
      <c r="AF248" s="6"/>
    </row>
    <row r="249" ht="14.25" customHeight="1" spans="1:32">
      <c r="A249" s="8" t="s">
        <v>1045</v>
      </c>
      <c r="B249" s="8" t="s">
        <v>321</v>
      </c>
      <c r="C249" s="9">
        <f>LEN(B249)</f>
        <v>12</v>
      </c>
      <c r="D249" s="8" t="s">
        <v>35</v>
      </c>
      <c r="E249" s="8" t="str">
        <f>_xlfn.CONCAT(B249,"(",A249,")"," - ",D249)</f>
        <v>Priya Mishra(E1140) - Finance</v>
      </c>
      <c r="F249" s="9" t="str">
        <f>LEFT(E249,FIND("-",E249))</f>
        <v>Priya Mishra(E1140) -</v>
      </c>
      <c r="G249" s="9" t="str">
        <f>RIGHT(E249,LEN(E249)-FIND("-",E249)-1)</f>
        <v>Finance</v>
      </c>
      <c r="H249" s="9">
        <f>FIND("-",E249)</f>
        <v>21</v>
      </c>
      <c r="I249" s="9">
        <f>LEN(E249)-FIND("-",E249)</f>
        <v>8</v>
      </c>
      <c r="J249" s="8" t="s">
        <v>76</v>
      </c>
      <c r="K249" s="9" t="str">
        <f>SUBSTITUTE(J249,"a","@",1)</f>
        <v>Pune</v>
      </c>
      <c r="L249" s="8" t="s">
        <v>702</v>
      </c>
      <c r="M249" s="8" t="str">
        <f>TEXT(L249,"dddd")</f>
        <v>Saturday</v>
      </c>
      <c r="N249" s="8" t="str">
        <f>LEFT(M249,3)</f>
        <v>Sat</v>
      </c>
      <c r="O249" s="8" t="str">
        <f>RIGHT(M249,3)</f>
        <v>day</v>
      </c>
      <c r="P249" s="8">
        <f>MONTH(L249)</f>
        <v>4</v>
      </c>
      <c r="Q249" s="8">
        <f>YEAR(L249)</f>
        <v>2023</v>
      </c>
      <c r="R249" s="8" t="s">
        <v>1046</v>
      </c>
      <c r="S249" s="8">
        <f>HOUR(R249)</f>
        <v>9</v>
      </c>
      <c r="T249" s="8">
        <f>MINUTE(R249)</f>
        <v>55</v>
      </c>
      <c r="U249" s="8">
        <f>SECOND(R249)</f>
        <v>42</v>
      </c>
      <c r="V249" s="8">
        <v>101887</v>
      </c>
      <c r="W249" s="8">
        <v>89170</v>
      </c>
      <c r="X249" s="9" t="str">
        <f>IF(W249&gt;50000,"Highe Target","Low Target")</f>
        <v>Highe Target</v>
      </c>
      <c r="Y249" s="9" t="str">
        <f t="shared" si="3"/>
        <v>Highe target</v>
      </c>
      <c r="Z249" s="9" t="str" cm="1">
        <f t="array" ref="Z249">_xlfn.IFS(W249&lt;60000,"LOWERTarget",W249&lt;80000,"Medium Target",W249,"Highe Target")</f>
        <v>Highe Target</v>
      </c>
      <c r="AA249" s="8" t="s">
        <v>243</v>
      </c>
      <c r="AB249" s="5" t="str">
        <f>UPPER(AA249)</f>
        <v>POSITIVE ATTITUDE</v>
      </c>
      <c r="AC249" s="5" t="str">
        <f>LOWER(AA249)</f>
        <v>positive attitude</v>
      </c>
      <c r="AD249" s="5" t="str">
        <f>PROPER(AA249)</f>
        <v>Positive Attitude</v>
      </c>
      <c r="AF249" s="6"/>
    </row>
    <row r="250" ht="14.25" customHeight="1" spans="1:32">
      <c r="A250" s="8" t="s">
        <v>1047</v>
      </c>
      <c r="B250" s="8" t="s">
        <v>766</v>
      </c>
      <c r="C250" s="9">
        <f>LEN(B250)</f>
        <v>12</v>
      </c>
      <c r="D250" s="8" t="s">
        <v>93</v>
      </c>
      <c r="E250" s="8" t="str">
        <f>_xlfn.CONCAT(B250,"(",A250,")"," - ",D250)</f>
        <v>Nisha Bansal(E1060) - Sales</v>
      </c>
      <c r="F250" s="9" t="str">
        <f>LEFT(E250,FIND("-",E250))</f>
        <v>Nisha Bansal(E1060) -</v>
      </c>
      <c r="G250" s="9" t="str">
        <f>RIGHT(E250,LEN(E250)-FIND("-",E250)-1)</f>
        <v>Sales</v>
      </c>
      <c r="H250" s="9">
        <f>FIND("-",E250)</f>
        <v>21</v>
      </c>
      <c r="I250" s="9">
        <f>LEN(E250)-FIND("-",E250)</f>
        <v>6</v>
      </c>
      <c r="J250" s="8" t="s">
        <v>182</v>
      </c>
      <c r="K250" s="9" t="str">
        <f>SUBSTITUTE(J250,"a","@",1)</f>
        <v>Kolk@ta</v>
      </c>
      <c r="L250" s="8" t="s">
        <v>1048</v>
      </c>
      <c r="M250" s="8" t="str">
        <f>TEXT(L250,"dddd")</f>
        <v>Monday</v>
      </c>
      <c r="N250" s="8" t="str">
        <f>LEFT(M250,3)</f>
        <v>Mon</v>
      </c>
      <c r="O250" s="8" t="str">
        <f>RIGHT(M250,3)</f>
        <v>day</v>
      </c>
      <c r="P250" s="8">
        <f>MONTH(L250)</f>
        <v>9</v>
      </c>
      <c r="Q250" s="8">
        <f>YEAR(L250)</f>
        <v>2023</v>
      </c>
      <c r="R250" s="8" t="s">
        <v>1049</v>
      </c>
      <c r="S250" s="8">
        <f>HOUR(R250)</f>
        <v>8</v>
      </c>
      <c r="T250" s="8">
        <f>MINUTE(R250)</f>
        <v>22</v>
      </c>
      <c r="U250" s="8">
        <f>SECOND(R250)</f>
        <v>19</v>
      </c>
      <c r="V250" s="8">
        <v>99937</v>
      </c>
      <c r="W250" s="8">
        <v>89379</v>
      </c>
      <c r="X250" s="9" t="str">
        <f>IF(W250&gt;50000,"Highe Target","Low Target")</f>
        <v>Highe Target</v>
      </c>
      <c r="Y250" s="9" t="str">
        <f t="shared" si="3"/>
        <v>Highe target</v>
      </c>
      <c r="Z250" s="9" t="str" cm="1">
        <f t="array" ref="Z250">_xlfn.IFS(W250&lt;60000,"LOWERTarget",W250&lt;80000,"Medium Target",W250,"Highe Target")</f>
        <v>Highe Target</v>
      </c>
      <c r="AA250" s="8" t="s">
        <v>243</v>
      </c>
      <c r="AB250" s="5" t="str">
        <f>UPPER(AA250)</f>
        <v>POSITIVE ATTITUDE</v>
      </c>
      <c r="AC250" s="5" t="str">
        <f>LOWER(AA250)</f>
        <v>positive attitude</v>
      </c>
      <c r="AD250" s="5" t="str">
        <f>PROPER(AA250)</f>
        <v>Positive Attitude</v>
      </c>
      <c r="AF250" s="6"/>
    </row>
    <row r="251" ht="14.25" customHeight="1" spans="1:32">
      <c r="A251" s="8" t="s">
        <v>1050</v>
      </c>
      <c r="B251" s="8" t="s">
        <v>870</v>
      </c>
      <c r="C251" s="9">
        <f>LEN(B251)</f>
        <v>10</v>
      </c>
      <c r="D251" s="8" t="s">
        <v>35</v>
      </c>
      <c r="E251" s="8" t="str">
        <f>_xlfn.CONCAT(B251,"(",A251,")"," - ",D251)</f>
        <v>Neha Kumar(E1156) - Finance</v>
      </c>
      <c r="F251" s="9" t="str">
        <f>LEFT(E251,FIND("-",E251))</f>
        <v>Neha Kumar(E1156) -</v>
      </c>
      <c r="G251" s="9" t="str">
        <f>RIGHT(E251,LEN(E251)-FIND("-",E251)-1)</f>
        <v>Finance</v>
      </c>
      <c r="H251" s="9">
        <f>FIND("-",E251)</f>
        <v>19</v>
      </c>
      <c r="I251" s="9">
        <f>LEN(E251)-FIND("-",E251)</f>
        <v>8</v>
      </c>
      <c r="J251" s="8" t="s">
        <v>45</v>
      </c>
      <c r="K251" s="9" t="str">
        <f>SUBSTITUTE(J251,"a","@",1)</f>
        <v>B@ngalore</v>
      </c>
      <c r="L251" s="8" t="s">
        <v>1051</v>
      </c>
      <c r="M251" s="8" t="str">
        <f>TEXT(L251,"dddd")</f>
        <v>Wednesday</v>
      </c>
      <c r="N251" s="8" t="str">
        <f>LEFT(M251,3)</f>
        <v>Wed</v>
      </c>
      <c r="O251" s="8" t="str">
        <f>RIGHT(M251,3)</f>
        <v>day</v>
      </c>
      <c r="P251" s="8">
        <f>MONTH(L251)</f>
        <v>12</v>
      </c>
      <c r="Q251" s="8">
        <f>YEAR(L251)</f>
        <v>2021</v>
      </c>
      <c r="R251" s="8" t="s">
        <v>1052</v>
      </c>
      <c r="S251" s="8">
        <f>HOUR(R251)</f>
        <v>10</v>
      </c>
      <c r="T251" s="8">
        <f>MINUTE(R251)</f>
        <v>9</v>
      </c>
      <c r="U251" s="8">
        <f>SECOND(R251)</f>
        <v>48</v>
      </c>
      <c r="V251" s="8">
        <v>79689</v>
      </c>
      <c r="W251" s="8">
        <v>89751</v>
      </c>
      <c r="X251" s="9" t="str">
        <f>IF(W251&gt;50000,"Highe Target","Low Target")</f>
        <v>Highe Target</v>
      </c>
      <c r="Y251" s="9" t="str">
        <f t="shared" si="3"/>
        <v>Highe target</v>
      </c>
      <c r="Z251" s="9" t="str" cm="1">
        <f t="array" ref="Z251">_xlfn.IFS(W251&lt;60000,"LOWERTarget",W251&lt;80000,"Medium Target",W251,"Highe Target")</f>
        <v>Highe Target</v>
      </c>
      <c r="AA251" s="8" t="s">
        <v>285</v>
      </c>
      <c r="AB251" s="5" t="str">
        <f>UPPER(AA251)</f>
        <v>QUICK RESPONSE</v>
      </c>
      <c r="AC251" s="5" t="str">
        <f>LOWER(AA251)</f>
        <v>quick response</v>
      </c>
      <c r="AD251" s="5" t="str">
        <f>PROPER(AA251)</f>
        <v>Quick Response</v>
      </c>
      <c r="AF251" s="6"/>
    </row>
    <row r="252" ht="14.25" customHeight="1" spans="1:32">
      <c r="A252" s="8" t="s">
        <v>1053</v>
      </c>
      <c r="B252" s="8" t="s">
        <v>240</v>
      </c>
      <c r="C252" s="9">
        <f>LEN(B252)</f>
        <v>10</v>
      </c>
      <c r="D252" s="8" t="s">
        <v>44</v>
      </c>
      <c r="E252" s="8" t="str">
        <f>_xlfn.CONCAT(B252,"(",A252,")"," - ",D252)</f>
        <v>Sneha Iyer(E1095) - Marketing</v>
      </c>
      <c r="F252" s="9" t="str">
        <f>LEFT(E252,FIND("-",E252))</f>
        <v>Sneha Iyer(E1095) -</v>
      </c>
      <c r="G252" s="9" t="str">
        <f>RIGHT(E252,LEN(E252)-FIND("-",E252)-1)</f>
        <v>Marketing</v>
      </c>
      <c r="H252" s="9">
        <f>FIND("-",E252)</f>
        <v>19</v>
      </c>
      <c r="I252" s="9">
        <f>LEN(E252)-FIND("-",E252)</f>
        <v>10</v>
      </c>
      <c r="J252" s="8" t="s">
        <v>36</v>
      </c>
      <c r="K252" s="9" t="str">
        <f>SUBSTITUTE(J252,"a","@",1)</f>
        <v>Ahmed@bad</v>
      </c>
      <c r="L252" s="8" t="s">
        <v>143</v>
      </c>
      <c r="M252" s="8" t="str">
        <f>TEXT(L252,"dddd")</f>
        <v>Sunday</v>
      </c>
      <c r="N252" s="8" t="str">
        <f>LEFT(M252,3)</f>
        <v>Sun</v>
      </c>
      <c r="O252" s="8" t="str">
        <f>RIGHT(M252,3)</f>
        <v>day</v>
      </c>
      <c r="P252" s="8">
        <f>MONTH(L252)</f>
        <v>8</v>
      </c>
      <c r="Q252" s="8">
        <f>YEAR(L252)</f>
        <v>2022</v>
      </c>
      <c r="R252" s="8" t="s">
        <v>1054</v>
      </c>
      <c r="S252" s="8">
        <f>HOUR(R252)</f>
        <v>10</v>
      </c>
      <c r="T252" s="8">
        <f>MINUTE(R252)</f>
        <v>25</v>
      </c>
      <c r="U252" s="8">
        <f>SECOND(R252)</f>
        <v>52</v>
      </c>
      <c r="V252" s="8">
        <v>77244</v>
      </c>
      <c r="W252" s="8">
        <v>89840</v>
      </c>
      <c r="X252" s="9" t="str">
        <f>IF(W252&gt;50000,"Highe Target","Low Target")</f>
        <v>Highe Target</v>
      </c>
      <c r="Y252" s="9" t="str">
        <f t="shared" si="3"/>
        <v>Highe target</v>
      </c>
      <c r="Z252" s="9" t="str" cm="1">
        <f t="array" ref="Z252">_xlfn.IFS(W252&lt;60000,"LOWERTarget",W252&lt;80000,"Medium Target",W252,"Highe Target")</f>
        <v>Highe Target</v>
      </c>
      <c r="AA252" s="8" t="s">
        <v>56</v>
      </c>
      <c r="AB252" s="5" t="str">
        <f>UPPER(AA252)</f>
        <v>   HELPFUL ATTITUDE   </v>
      </c>
      <c r="AC252" s="5" t="str">
        <f>LOWER(AA252)</f>
        <v>   helpful attitude   </v>
      </c>
      <c r="AD252" s="5" t="str">
        <f>PROPER(AA252)</f>
        <v>   Helpful Attitude   </v>
      </c>
      <c r="AF252" s="6"/>
    </row>
    <row r="253" ht="14.25" customHeight="1" spans="1:32">
      <c r="A253" s="8" t="s">
        <v>1055</v>
      </c>
      <c r="B253" s="8" t="s">
        <v>1056</v>
      </c>
      <c r="C253" s="9">
        <f>LEN(B253)</f>
        <v>11</v>
      </c>
      <c r="D253" s="8" t="s">
        <v>93</v>
      </c>
      <c r="E253" s="8" t="str">
        <f>_xlfn.CONCAT(B253,"(",A253,")"," - ",D253)</f>
        <v>Nisha Goyal(E1143) - Sales</v>
      </c>
      <c r="F253" s="9" t="str">
        <f>LEFT(E253,FIND("-",E253))</f>
        <v>Nisha Goyal(E1143) -</v>
      </c>
      <c r="G253" s="9" t="str">
        <f>RIGHT(E253,LEN(E253)-FIND("-",E253)-1)</f>
        <v>Sales</v>
      </c>
      <c r="H253" s="9">
        <f>FIND("-",E253)</f>
        <v>20</v>
      </c>
      <c r="I253" s="9">
        <f>LEN(E253)-FIND("-",E253)</f>
        <v>6</v>
      </c>
      <c r="J253" s="8" t="s">
        <v>61</v>
      </c>
      <c r="K253" s="9" t="str">
        <f>SUBSTITUTE(J253,"a","@",1)</f>
        <v>Chenn@i</v>
      </c>
      <c r="L253" s="8" t="s">
        <v>1057</v>
      </c>
      <c r="M253" s="8" t="str">
        <f>TEXT(L253,"dddd")</f>
        <v>Monday</v>
      </c>
      <c r="N253" s="8" t="str">
        <f>LEFT(M253,3)</f>
        <v>Mon</v>
      </c>
      <c r="O253" s="8" t="str">
        <f>RIGHT(M253,3)</f>
        <v>day</v>
      </c>
      <c r="P253" s="8">
        <f>MONTH(L253)</f>
        <v>3</v>
      </c>
      <c r="Q253" s="8">
        <f>YEAR(L253)</f>
        <v>2021</v>
      </c>
      <c r="R253" s="8" t="s">
        <v>1058</v>
      </c>
      <c r="S253" s="8">
        <f>HOUR(R253)</f>
        <v>8</v>
      </c>
      <c r="T253" s="8">
        <f>MINUTE(R253)</f>
        <v>17</v>
      </c>
      <c r="U253" s="8">
        <f>SECOND(R253)</f>
        <v>44</v>
      </c>
      <c r="V253" s="8">
        <v>95214</v>
      </c>
      <c r="W253" s="8">
        <v>89965</v>
      </c>
      <c r="X253" s="9" t="str">
        <f>IF(W253&gt;50000,"Highe Target","Low Target")</f>
        <v>Highe Target</v>
      </c>
      <c r="Y253" s="9" t="str">
        <f t="shared" si="3"/>
        <v>Highe target</v>
      </c>
      <c r="Z253" s="9" t="str" cm="1">
        <f t="array" ref="Z253">_xlfn.IFS(W253&lt;60000,"LOWERTarget",W253&lt;80000,"Medium Target",W253,"Highe Target")</f>
        <v>Highe Target</v>
      </c>
      <c r="AA253" s="8" t="s">
        <v>71</v>
      </c>
      <c r="AB253" s="5" t="str">
        <f>UPPER(AA253)</f>
        <v>GREAT SUPPORT</v>
      </c>
      <c r="AC253" s="5" t="str">
        <f>LOWER(AA253)</f>
        <v>great support</v>
      </c>
      <c r="AD253" s="5" t="str">
        <f>PROPER(AA253)</f>
        <v>Great Support</v>
      </c>
      <c r="AF253" s="6"/>
    </row>
    <row r="254" ht="14.25" customHeight="1" spans="1:32">
      <c r="A254" s="8" t="s">
        <v>1059</v>
      </c>
      <c r="B254" s="8" t="s">
        <v>384</v>
      </c>
      <c r="C254" s="9">
        <f>LEN(B254)</f>
        <v>10</v>
      </c>
      <c r="D254" s="8" t="s">
        <v>93</v>
      </c>
      <c r="E254" s="8" t="str">
        <f>_xlfn.CONCAT(B254,"(",A254,")"," - ",D254)</f>
        <v>Priya Nair(E1018) - Sales</v>
      </c>
      <c r="F254" s="9" t="str">
        <f>LEFT(E254,FIND("-",E254))</f>
        <v>Priya Nair(E1018) -</v>
      </c>
      <c r="G254" s="9" t="str">
        <f>RIGHT(E254,LEN(E254)-FIND("-",E254)-1)</f>
        <v>Sales</v>
      </c>
      <c r="H254" s="9">
        <f>FIND("-",E254)</f>
        <v>19</v>
      </c>
      <c r="I254" s="9">
        <f>LEN(E254)-FIND("-",E254)</f>
        <v>6</v>
      </c>
      <c r="J254" s="8" t="s">
        <v>76</v>
      </c>
      <c r="K254" s="9" t="str">
        <f>SUBSTITUTE(J254,"a","@",1)</f>
        <v>Pune</v>
      </c>
      <c r="L254" s="8" t="s">
        <v>1060</v>
      </c>
      <c r="M254" s="8" t="str">
        <f>TEXT(L254,"dddd")</f>
        <v>Saturday</v>
      </c>
      <c r="N254" s="8" t="str">
        <f>LEFT(M254,3)</f>
        <v>Sat</v>
      </c>
      <c r="O254" s="8" t="str">
        <f>RIGHT(M254,3)</f>
        <v>day</v>
      </c>
      <c r="P254" s="8">
        <f>MONTH(L254)</f>
        <v>9</v>
      </c>
      <c r="Q254" s="8">
        <f>YEAR(L254)</f>
        <v>2023</v>
      </c>
      <c r="R254" s="8" t="s">
        <v>1061</v>
      </c>
      <c r="S254" s="8">
        <f>HOUR(R254)</f>
        <v>8</v>
      </c>
      <c r="T254" s="8">
        <f>MINUTE(R254)</f>
        <v>48</v>
      </c>
      <c r="U254" s="8">
        <f>SECOND(R254)</f>
        <v>34</v>
      </c>
      <c r="V254" s="8">
        <v>83430</v>
      </c>
      <c r="W254" s="8">
        <v>90189</v>
      </c>
      <c r="X254" s="9" t="str">
        <f>IF(W254&gt;50000,"Highe Target","Low Target")</f>
        <v>Highe Target</v>
      </c>
      <c r="Y254" s="9" t="str">
        <f t="shared" si="3"/>
        <v>Highe target</v>
      </c>
      <c r="Z254" s="9" t="str" cm="1">
        <f t="array" ref="Z254">_xlfn.IFS(W254&lt;60000,"LOWERTarget",W254&lt;80000,"Medium Target",W254,"Highe Target")</f>
        <v>Highe Target</v>
      </c>
      <c r="AA254" s="8" t="s">
        <v>285</v>
      </c>
      <c r="AB254" s="5" t="str">
        <f>UPPER(AA254)</f>
        <v>QUICK RESPONSE</v>
      </c>
      <c r="AC254" s="5" t="str">
        <f>LOWER(AA254)</f>
        <v>quick response</v>
      </c>
      <c r="AD254" s="5" t="str">
        <f>PROPER(AA254)</f>
        <v>Quick Response</v>
      </c>
      <c r="AF254" s="6"/>
    </row>
    <row r="255" ht="14.25" customHeight="1" spans="1:32">
      <c r="A255" s="8" t="s">
        <v>1062</v>
      </c>
      <c r="B255" s="8" t="s">
        <v>1063</v>
      </c>
      <c r="C255" s="9">
        <f>LEN(B255)</f>
        <v>13</v>
      </c>
      <c r="D255" s="8" t="s">
        <v>35</v>
      </c>
      <c r="E255" s="8" t="str">
        <f>_xlfn.CONCAT(B255,"(",A255,")"," - ",D255)</f>
        <v>Deepak Saxena(E1202) - Finance</v>
      </c>
      <c r="F255" s="9" t="str">
        <f>LEFT(E255,FIND("-",E255))</f>
        <v>Deepak Saxena(E1202) -</v>
      </c>
      <c r="G255" s="9" t="str">
        <f>RIGHT(E255,LEN(E255)-FIND("-",E255)-1)</f>
        <v>Finance</v>
      </c>
      <c r="H255" s="9">
        <f>FIND("-",E255)</f>
        <v>22</v>
      </c>
      <c r="I255" s="9">
        <f>LEN(E255)-FIND("-",E255)</f>
        <v>8</v>
      </c>
      <c r="J255" s="8" t="s">
        <v>53</v>
      </c>
      <c r="K255" s="9" t="str">
        <f>SUBSTITUTE(J255,"a","@",1)</f>
        <v>Delhi</v>
      </c>
      <c r="L255" s="8" t="s">
        <v>211</v>
      </c>
      <c r="M255" s="8" t="str">
        <f>TEXT(L255,"dddd")</f>
        <v>Sunday</v>
      </c>
      <c r="N255" s="8" t="str">
        <f>LEFT(M255,3)</f>
        <v>Sun</v>
      </c>
      <c r="O255" s="8" t="str">
        <f>RIGHT(M255,3)</f>
        <v>day</v>
      </c>
      <c r="P255" s="8">
        <f>MONTH(L255)</f>
        <v>2</v>
      </c>
      <c r="Q255" s="8">
        <f>YEAR(L255)</f>
        <v>2024</v>
      </c>
      <c r="R255" s="8" t="s">
        <v>1064</v>
      </c>
      <c r="S255" s="8">
        <f>HOUR(R255)</f>
        <v>10</v>
      </c>
      <c r="T255" s="8">
        <f>MINUTE(R255)</f>
        <v>37</v>
      </c>
      <c r="U255" s="8">
        <f>SECOND(R255)</f>
        <v>11</v>
      </c>
      <c r="V255" s="8">
        <v>83773</v>
      </c>
      <c r="W255" s="8">
        <v>90317</v>
      </c>
      <c r="X255" s="9" t="str">
        <f>IF(W255&gt;50000,"Highe Target","Low Target")</f>
        <v>Highe Target</v>
      </c>
      <c r="Y255" s="9" t="str">
        <f t="shared" si="3"/>
        <v>Highe target</v>
      </c>
      <c r="Z255" s="9" t="str" cm="1">
        <f t="array" ref="Z255">_xlfn.IFS(W255&lt;60000,"LOWERTarget",W255&lt;80000,"Medium Target",W255,"Highe Target")</f>
        <v>Highe Target</v>
      </c>
      <c r="AA255" s="8" t="s">
        <v>39</v>
      </c>
      <c r="AB255" s="5" t="str">
        <f>UPPER(AA255)</f>
        <v>DETAILED ANALYSIS</v>
      </c>
      <c r="AC255" s="5" t="str">
        <f>LOWER(AA255)</f>
        <v>detailed analysis</v>
      </c>
      <c r="AD255" s="5" t="str">
        <f>PROPER(AA255)</f>
        <v>Detailed Analysis</v>
      </c>
      <c r="AF255" s="6"/>
    </row>
    <row r="256" ht="14.25" customHeight="1" spans="1:32">
      <c r="A256" s="8" t="s">
        <v>1065</v>
      </c>
      <c r="B256" s="8" t="s">
        <v>1066</v>
      </c>
      <c r="C256" s="9">
        <f>LEN(B256)</f>
        <v>12</v>
      </c>
      <c r="D256" s="8" t="s">
        <v>93</v>
      </c>
      <c r="E256" s="8" t="str">
        <f>_xlfn.CONCAT(B256,"(",A256,")"," - ",D256)</f>
        <v>Vikram Goyal(E1014) - Sales</v>
      </c>
      <c r="F256" s="9" t="str">
        <f>LEFT(E256,FIND("-",E256))</f>
        <v>Vikram Goyal(E1014) -</v>
      </c>
      <c r="G256" s="9" t="str">
        <f>RIGHT(E256,LEN(E256)-FIND("-",E256)-1)</f>
        <v>Sales</v>
      </c>
      <c r="H256" s="9">
        <f>FIND("-",E256)</f>
        <v>21</v>
      </c>
      <c r="I256" s="9">
        <f>LEN(E256)-FIND("-",E256)</f>
        <v>6</v>
      </c>
      <c r="J256" s="8" t="s">
        <v>76</v>
      </c>
      <c r="K256" s="9" t="str">
        <f>SUBSTITUTE(J256,"a","@",1)</f>
        <v>Pune</v>
      </c>
      <c r="L256" s="8" t="s">
        <v>1067</v>
      </c>
      <c r="M256" s="8" t="str">
        <f>TEXT(L256,"dddd")</f>
        <v>Monday</v>
      </c>
      <c r="N256" s="8" t="str">
        <f>LEFT(M256,3)</f>
        <v>Mon</v>
      </c>
      <c r="O256" s="8" t="str">
        <f>RIGHT(M256,3)</f>
        <v>day</v>
      </c>
      <c r="P256" s="8">
        <f>MONTH(L256)</f>
        <v>10</v>
      </c>
      <c r="Q256" s="8">
        <f>YEAR(L256)</f>
        <v>2024</v>
      </c>
      <c r="R256" s="8" t="s">
        <v>1068</v>
      </c>
      <c r="S256" s="8">
        <f>HOUR(R256)</f>
        <v>10</v>
      </c>
      <c r="T256" s="8">
        <f>MINUTE(R256)</f>
        <v>48</v>
      </c>
      <c r="U256" s="8">
        <f>SECOND(R256)</f>
        <v>17</v>
      </c>
      <c r="V256" s="8">
        <v>97663</v>
      </c>
      <c r="W256" s="8">
        <v>90370</v>
      </c>
      <c r="X256" s="9" t="str">
        <f>IF(W256&gt;50000,"Highe Target","Low Target")</f>
        <v>Highe Target</v>
      </c>
      <c r="Y256" s="9" t="str">
        <f t="shared" si="3"/>
        <v>Highe target</v>
      </c>
      <c r="Z256" s="9" t="str" cm="1">
        <f t="array" ref="Z256">_xlfn.IFS(W256&lt;60000,"LOWERTarget",W256&lt;80000,"Medium Target",W256,"Highe Target")</f>
        <v>Highe Target</v>
      </c>
      <c r="AA256" s="8" t="s">
        <v>160</v>
      </c>
      <c r="AB256" s="5" t="str">
        <f>UPPER(AA256)</f>
        <v>GOOD COMMUNICATION</v>
      </c>
      <c r="AC256" s="5" t="str">
        <f>LOWER(AA256)</f>
        <v>good communication</v>
      </c>
      <c r="AD256" s="5" t="str">
        <f>PROPER(AA256)</f>
        <v>Good Communication</v>
      </c>
      <c r="AF256" s="6"/>
    </row>
    <row r="257" ht="14.25" customHeight="1" spans="1:32">
      <c r="A257" s="8" t="s">
        <v>1069</v>
      </c>
      <c r="B257" s="8" t="s">
        <v>321</v>
      </c>
      <c r="C257" s="9">
        <f>LEN(B257)</f>
        <v>12</v>
      </c>
      <c r="D257" s="8" t="s">
        <v>44</v>
      </c>
      <c r="E257" s="8" t="str">
        <f>_xlfn.CONCAT(B257,"(",A257,")"," - ",D257)</f>
        <v>Priya Mishra(E1222) - Marketing</v>
      </c>
      <c r="F257" s="9" t="str">
        <f>LEFT(E257,FIND("-",E257))</f>
        <v>Priya Mishra(E1222) -</v>
      </c>
      <c r="G257" s="9" t="str">
        <f>RIGHT(E257,LEN(E257)-FIND("-",E257)-1)</f>
        <v>Marketing</v>
      </c>
      <c r="H257" s="9">
        <f>FIND("-",E257)</f>
        <v>21</v>
      </c>
      <c r="I257" s="9">
        <f>LEN(E257)-FIND("-",E257)</f>
        <v>10</v>
      </c>
      <c r="J257" s="8" t="s">
        <v>53</v>
      </c>
      <c r="K257" s="9" t="str">
        <f>SUBSTITUTE(J257,"a","@",1)</f>
        <v>Delhi</v>
      </c>
      <c r="L257" s="8" t="s">
        <v>192</v>
      </c>
      <c r="M257" s="8" t="str">
        <f>TEXT(L257,"dddd")</f>
        <v>Sunday</v>
      </c>
      <c r="N257" s="8" t="str">
        <f>LEFT(M257,3)</f>
        <v>Sun</v>
      </c>
      <c r="O257" s="8" t="str">
        <f>RIGHT(M257,3)</f>
        <v>day</v>
      </c>
      <c r="P257" s="8">
        <f>MONTH(L257)</f>
        <v>12</v>
      </c>
      <c r="Q257" s="8">
        <f>YEAR(L257)</f>
        <v>2023</v>
      </c>
      <c r="R257" s="8" t="s">
        <v>1070</v>
      </c>
      <c r="S257" s="8">
        <f>HOUR(R257)</f>
        <v>10</v>
      </c>
      <c r="T257" s="8">
        <f>MINUTE(R257)</f>
        <v>46</v>
      </c>
      <c r="U257" s="8">
        <f>SECOND(R257)</f>
        <v>39</v>
      </c>
      <c r="V257" s="8">
        <v>100680</v>
      </c>
      <c r="W257" s="8">
        <v>90764</v>
      </c>
      <c r="X257" s="9" t="str">
        <f>IF(W257&gt;50000,"Highe Target","Low Target")</f>
        <v>Highe Target</v>
      </c>
      <c r="Y257" s="9" t="str">
        <f t="shared" si="3"/>
        <v>Highe target</v>
      </c>
      <c r="Z257" s="9" t="str" cm="1">
        <f t="array" ref="Z257">_xlfn.IFS(W257&lt;60000,"LOWERTarget",W257&lt;80000,"Medium Target",W257,"Highe Target")</f>
        <v>Highe Target</v>
      </c>
      <c r="AA257" s="8" t="s">
        <v>1071</v>
      </c>
      <c r="AB257" s="5" t="str">
        <f>UPPER(AA257)</f>
        <v>   QUICK RESPONSE   </v>
      </c>
      <c r="AC257" s="5" t="str">
        <f>LOWER(AA257)</f>
        <v>   quick response   </v>
      </c>
      <c r="AD257" s="5" t="str">
        <f>PROPER(AA257)</f>
        <v>   Quick Response   </v>
      </c>
      <c r="AF257" s="6"/>
    </row>
    <row r="258" ht="14.25" customHeight="1" spans="1:32">
      <c r="A258" s="8" t="s">
        <v>1072</v>
      </c>
      <c r="B258" s="8" t="s">
        <v>1073</v>
      </c>
      <c r="C258" s="9">
        <f>LEN(B258)</f>
        <v>13</v>
      </c>
      <c r="D258" s="8" t="s">
        <v>93</v>
      </c>
      <c r="E258" s="8" t="str">
        <f>_xlfn.CONCAT(B258,"(",A258,")"," - ",D258)</f>
        <v>Rahul Agarwal(E1065) - Sales</v>
      </c>
      <c r="F258" s="9" t="str">
        <f>LEFT(E258,FIND("-",E258))</f>
        <v>Rahul Agarwal(E1065) -</v>
      </c>
      <c r="G258" s="9" t="str">
        <f>RIGHT(E258,LEN(E258)-FIND("-",E258)-1)</f>
        <v>Sales</v>
      </c>
      <c r="H258" s="9">
        <f>FIND("-",E258)</f>
        <v>22</v>
      </c>
      <c r="I258" s="9">
        <f>LEN(E258)-FIND("-",E258)</f>
        <v>6</v>
      </c>
      <c r="J258" s="8" t="s">
        <v>153</v>
      </c>
      <c r="K258" s="9" t="str">
        <f>SUBSTITUTE(J258,"a","@",1)</f>
        <v>Mumb@i</v>
      </c>
      <c r="L258" s="8" t="s">
        <v>1074</v>
      </c>
      <c r="M258" s="8" t="str">
        <f>TEXT(L258,"dddd")</f>
        <v>Sunday</v>
      </c>
      <c r="N258" s="8" t="str">
        <f>LEFT(M258,3)</f>
        <v>Sun</v>
      </c>
      <c r="O258" s="8" t="str">
        <f>RIGHT(M258,3)</f>
        <v>day</v>
      </c>
      <c r="P258" s="8">
        <f>MONTH(L258)</f>
        <v>12</v>
      </c>
      <c r="Q258" s="8">
        <f>YEAR(L258)</f>
        <v>2022</v>
      </c>
      <c r="R258" s="8" t="s">
        <v>1075</v>
      </c>
      <c r="S258" s="8">
        <f>HOUR(R258)</f>
        <v>8</v>
      </c>
      <c r="T258" s="8">
        <f>MINUTE(R258)</f>
        <v>41</v>
      </c>
      <c r="U258" s="8">
        <f>SECOND(R258)</f>
        <v>4</v>
      </c>
      <c r="V258" s="8">
        <v>78836</v>
      </c>
      <c r="W258" s="8">
        <v>91198</v>
      </c>
      <c r="X258" s="9" t="str">
        <f>IF(W258&gt;50000,"Highe Target","Low Target")</f>
        <v>Highe Target</v>
      </c>
      <c r="Y258" s="9" t="str">
        <f t="shared" ref="Y258:Y301" si="4">IF(NOT(W258&lt;50000),"Highe target","Lower Target")</f>
        <v>Highe target</v>
      </c>
      <c r="Z258" s="9" t="str" cm="1">
        <f t="array" ref="Z258">_xlfn.IFS(W258&lt;60000,"LOWERTarget",W258&lt;80000,"Medium Target",W258,"Highe Target")</f>
        <v>Highe Target</v>
      </c>
      <c r="AA258" s="8" t="s">
        <v>118</v>
      </c>
      <c r="AB258" s="5" t="str">
        <f>UPPER(AA258)</f>
        <v>CUSTOMER FOCUSED</v>
      </c>
      <c r="AC258" s="5" t="str">
        <f>LOWER(AA258)</f>
        <v>customer focused</v>
      </c>
      <c r="AD258" s="5" t="str">
        <f>PROPER(AA258)</f>
        <v>Customer Focused</v>
      </c>
      <c r="AF258" s="6"/>
    </row>
    <row r="259" ht="14.25" customHeight="1" spans="1:32">
      <c r="A259" s="8" t="s">
        <v>1076</v>
      </c>
      <c r="B259" s="8" t="s">
        <v>995</v>
      </c>
      <c r="C259" s="9">
        <f>LEN(B259)</f>
        <v>12</v>
      </c>
      <c r="D259" s="8" t="s">
        <v>44</v>
      </c>
      <c r="E259" s="8" t="str">
        <f>_xlfn.CONCAT(B259,"(",A259,")"," - ",D259)</f>
        <v>Shreya Gupta(E1171) - Marketing</v>
      </c>
      <c r="F259" s="9" t="str">
        <f>LEFT(E259,FIND("-",E259))</f>
        <v>Shreya Gupta(E1171) -</v>
      </c>
      <c r="G259" s="9" t="str">
        <f>RIGHT(E259,LEN(E259)-FIND("-",E259)-1)</f>
        <v>Marketing</v>
      </c>
      <c r="H259" s="9">
        <f>FIND("-",E259)</f>
        <v>21</v>
      </c>
      <c r="I259" s="9">
        <f>LEN(E259)-FIND("-",E259)</f>
        <v>10</v>
      </c>
      <c r="J259" s="8" t="s">
        <v>45</v>
      </c>
      <c r="K259" s="9" t="str">
        <f>SUBSTITUTE(J259,"a","@",1)</f>
        <v>B@ngalore</v>
      </c>
      <c r="L259" s="8" t="s">
        <v>1077</v>
      </c>
      <c r="M259" s="8" t="str">
        <f>TEXT(L259,"dddd")</f>
        <v>Saturday</v>
      </c>
      <c r="N259" s="8" t="str">
        <f>LEFT(M259,3)</f>
        <v>Sat</v>
      </c>
      <c r="O259" s="8" t="str">
        <f>RIGHT(M259,3)</f>
        <v>day</v>
      </c>
      <c r="P259" s="8">
        <f>MONTH(L259)</f>
        <v>12</v>
      </c>
      <c r="Q259" s="8">
        <f>YEAR(L259)</f>
        <v>2023</v>
      </c>
      <c r="R259" s="8" t="s">
        <v>1078</v>
      </c>
      <c r="S259" s="8">
        <f>HOUR(R259)</f>
        <v>8</v>
      </c>
      <c r="T259" s="8">
        <f>MINUTE(R259)</f>
        <v>19</v>
      </c>
      <c r="U259" s="8">
        <f>SECOND(R259)</f>
        <v>51</v>
      </c>
      <c r="V259" s="8">
        <v>107141</v>
      </c>
      <c r="W259" s="8">
        <v>91404</v>
      </c>
      <c r="X259" s="9" t="str">
        <f>IF(W259&gt;50000,"Highe Target","Low Target")</f>
        <v>Highe Target</v>
      </c>
      <c r="Y259" s="9" t="str">
        <f t="shared" si="4"/>
        <v>Highe target</v>
      </c>
      <c r="Z259" s="9" t="str" cm="1">
        <f t="array" ref="Z259">_xlfn.IFS(W259&lt;60000,"LOWERTarget",W259&lt;80000,"Medium Target",W259,"Highe Target")</f>
        <v>Highe Target</v>
      </c>
      <c r="AA259" s="8" t="s">
        <v>71</v>
      </c>
      <c r="AB259" s="5" t="str">
        <f>UPPER(AA259)</f>
        <v>GREAT SUPPORT</v>
      </c>
      <c r="AC259" s="5" t="str">
        <f>LOWER(AA259)</f>
        <v>great support</v>
      </c>
      <c r="AD259" s="5" t="str">
        <f>PROPER(AA259)</f>
        <v>Great Support</v>
      </c>
      <c r="AF259" s="6"/>
    </row>
    <row r="260" ht="14.25" customHeight="1" spans="1:32">
      <c r="A260" s="8" t="s">
        <v>1079</v>
      </c>
      <c r="B260" s="8" t="s">
        <v>1080</v>
      </c>
      <c r="C260" s="9">
        <f>LEN(B260)</f>
        <v>12</v>
      </c>
      <c r="D260" s="8" t="s">
        <v>44</v>
      </c>
      <c r="E260" s="8" t="str">
        <f>_xlfn.CONCAT(B260,"(",A260,")"," - ",D260)</f>
        <v>Nidhi Chopra(E1256) - Marketing</v>
      </c>
      <c r="F260" s="9" t="str">
        <f>LEFT(E260,FIND("-",E260))</f>
        <v>Nidhi Chopra(E1256) -</v>
      </c>
      <c r="G260" s="9" t="str">
        <f>RIGHT(E260,LEN(E260)-FIND("-",E260)-1)</f>
        <v>Marketing</v>
      </c>
      <c r="H260" s="9">
        <f>FIND("-",E260)</f>
        <v>21</v>
      </c>
      <c r="I260" s="9">
        <f>LEN(E260)-FIND("-",E260)</f>
        <v>10</v>
      </c>
      <c r="J260" s="8" t="s">
        <v>153</v>
      </c>
      <c r="K260" s="9" t="str">
        <f>SUBSTITUTE(J260,"a","@",1)</f>
        <v>Mumb@i</v>
      </c>
      <c r="L260" s="8" t="s">
        <v>1081</v>
      </c>
      <c r="M260" s="8" t="str">
        <f>TEXT(L260,"dddd")</f>
        <v>Wednesday</v>
      </c>
      <c r="N260" s="8" t="str">
        <f>LEFT(M260,3)</f>
        <v>Wed</v>
      </c>
      <c r="O260" s="8" t="str">
        <f>RIGHT(M260,3)</f>
        <v>day</v>
      </c>
      <c r="P260" s="8">
        <f>MONTH(L260)</f>
        <v>12</v>
      </c>
      <c r="Q260" s="8">
        <f>YEAR(L260)</f>
        <v>2022</v>
      </c>
      <c r="R260" s="8" t="s">
        <v>1082</v>
      </c>
      <c r="S260" s="8">
        <f>HOUR(R260)</f>
        <v>10</v>
      </c>
      <c r="T260" s="8">
        <f>MINUTE(R260)</f>
        <v>42</v>
      </c>
      <c r="U260" s="8">
        <f>SECOND(R260)</f>
        <v>24</v>
      </c>
      <c r="V260" s="8">
        <v>110869</v>
      </c>
      <c r="W260" s="8">
        <v>91498</v>
      </c>
      <c r="X260" s="9" t="str">
        <f>IF(W260&gt;50000,"Highe Target","Low Target")</f>
        <v>Highe Target</v>
      </c>
      <c r="Y260" s="9" t="str">
        <f t="shared" si="4"/>
        <v>Highe target</v>
      </c>
      <c r="Z260" s="9" t="str" cm="1">
        <f t="array" ref="Z260">_xlfn.IFS(W260&lt;60000,"LOWERTarget",W260&lt;80000,"Medium Target",W260,"Highe Target")</f>
        <v>Highe Target</v>
      </c>
      <c r="AA260" s="8" t="s">
        <v>48</v>
      </c>
      <c r="AB260" s="5" t="str">
        <f>UPPER(AA260)</f>
        <v>CREATIVE IDEAS</v>
      </c>
      <c r="AC260" s="5" t="str">
        <f>LOWER(AA260)</f>
        <v>creative ideas</v>
      </c>
      <c r="AD260" s="5" t="str">
        <f>PROPER(AA260)</f>
        <v>Creative Ideas</v>
      </c>
      <c r="AF260" s="6"/>
    </row>
    <row r="261" ht="14.25" customHeight="1" spans="1:32">
      <c r="A261" s="8" t="s">
        <v>1083</v>
      </c>
      <c r="B261" s="8" t="s">
        <v>1084</v>
      </c>
      <c r="C261" s="9">
        <f>LEN(B261)</f>
        <v>12</v>
      </c>
      <c r="D261" s="8" t="s">
        <v>60</v>
      </c>
      <c r="E261" s="8" t="str">
        <f>_xlfn.CONCAT(B261,"(",A261,")"," - ",D261)</f>
        <v>Madhuri Jain(E1102) - HR</v>
      </c>
      <c r="F261" s="9" t="str">
        <f>LEFT(E261,FIND("-",E261))</f>
        <v>Madhuri Jain(E1102) -</v>
      </c>
      <c r="G261" s="9" t="str">
        <f>RIGHT(E261,LEN(E261)-FIND("-",E261)-1)</f>
        <v>HR</v>
      </c>
      <c r="H261" s="9">
        <f>FIND("-",E261)</f>
        <v>21</v>
      </c>
      <c r="I261" s="9">
        <f>LEN(E261)-FIND("-",E261)</f>
        <v>3</v>
      </c>
      <c r="J261" s="8" t="s">
        <v>76</v>
      </c>
      <c r="K261" s="9" t="str">
        <f>SUBSTITUTE(J261,"a","@",1)</f>
        <v>Pune</v>
      </c>
      <c r="L261" s="8" t="s">
        <v>1085</v>
      </c>
      <c r="M261" s="8" t="str">
        <f>TEXT(L261,"dddd")</f>
        <v>Wednesday</v>
      </c>
      <c r="N261" s="8" t="str">
        <f>LEFT(M261,3)</f>
        <v>Wed</v>
      </c>
      <c r="O261" s="8" t="str">
        <f>RIGHT(M261,3)</f>
        <v>day</v>
      </c>
      <c r="P261" s="8">
        <f>MONTH(L261)</f>
        <v>7</v>
      </c>
      <c r="Q261" s="8">
        <f>YEAR(L261)</f>
        <v>2022</v>
      </c>
      <c r="R261" s="8" t="s">
        <v>1086</v>
      </c>
      <c r="S261" s="8">
        <f>HOUR(R261)</f>
        <v>9</v>
      </c>
      <c r="T261" s="8">
        <f>MINUTE(R261)</f>
        <v>21</v>
      </c>
      <c r="U261" s="8">
        <f>SECOND(R261)</f>
        <v>59</v>
      </c>
      <c r="V261" s="8">
        <v>109898</v>
      </c>
      <c r="W261" s="8">
        <v>91623</v>
      </c>
      <c r="X261" s="9" t="str">
        <f>IF(W261&gt;50000,"Highe Target","Low Target")</f>
        <v>Highe Target</v>
      </c>
      <c r="Y261" s="9" t="str">
        <f t="shared" si="4"/>
        <v>Highe target</v>
      </c>
      <c r="Z261" s="9" t="str" cm="1">
        <f t="array" ref="Z261">_xlfn.IFS(W261&lt;60000,"LOWERTarget",W261&lt;80000,"Medium Target",W261,"Highe Target")</f>
        <v>Highe Target</v>
      </c>
      <c r="AA261" s="8" t="s">
        <v>64</v>
      </c>
      <c r="AB261" s="5" t="str">
        <f>UPPER(AA261)</f>
        <v>NEEDS IMPROVEMENT</v>
      </c>
      <c r="AC261" s="5" t="str">
        <f>LOWER(AA261)</f>
        <v>needs improvement</v>
      </c>
      <c r="AD261" s="5" t="str">
        <f>PROPER(AA261)</f>
        <v>Needs Improvement</v>
      </c>
      <c r="AF261" s="6"/>
    </row>
    <row r="262" ht="14.25" customHeight="1" spans="1:32">
      <c r="A262" s="8" t="s">
        <v>1087</v>
      </c>
      <c r="B262" s="8" t="s">
        <v>1088</v>
      </c>
      <c r="C262" s="9">
        <f>LEN(B262)</f>
        <v>11</v>
      </c>
      <c r="D262" s="8" t="s">
        <v>60</v>
      </c>
      <c r="E262" s="8" t="str">
        <f>_xlfn.CONCAT(B262,"(",A262,")"," - ",D262)</f>
        <v>Varun Goyal(E1130) - HR</v>
      </c>
      <c r="F262" s="9" t="str">
        <f>LEFT(E262,FIND("-",E262))</f>
        <v>Varun Goyal(E1130) -</v>
      </c>
      <c r="G262" s="9" t="str">
        <f>RIGHT(E262,LEN(E262)-FIND("-",E262)-1)</f>
        <v>HR</v>
      </c>
      <c r="H262" s="9">
        <f>FIND("-",E262)</f>
        <v>20</v>
      </c>
      <c r="I262" s="9">
        <f>LEN(E262)-FIND("-",E262)</f>
        <v>3</v>
      </c>
      <c r="J262" s="8" t="s">
        <v>45</v>
      </c>
      <c r="K262" s="9" t="str">
        <f>SUBSTITUTE(J262,"a","@",1)</f>
        <v>B@ngalore</v>
      </c>
      <c r="L262" s="8" t="s">
        <v>1089</v>
      </c>
      <c r="M262" s="8" t="str">
        <f>TEXT(L262,"dddd")</f>
        <v>Saturday</v>
      </c>
      <c r="N262" s="8" t="str">
        <f>LEFT(M262,3)</f>
        <v>Sat</v>
      </c>
      <c r="O262" s="8" t="str">
        <f>RIGHT(M262,3)</f>
        <v>day</v>
      </c>
      <c r="P262" s="8">
        <f>MONTH(L262)</f>
        <v>4</v>
      </c>
      <c r="Q262" s="8">
        <f>YEAR(L262)</f>
        <v>2022</v>
      </c>
      <c r="R262" s="8" t="s">
        <v>1090</v>
      </c>
      <c r="S262" s="8">
        <f>HOUR(R262)</f>
        <v>9</v>
      </c>
      <c r="T262" s="8">
        <f>MINUTE(R262)</f>
        <v>49</v>
      </c>
      <c r="U262" s="8">
        <f>SECOND(R262)</f>
        <v>9</v>
      </c>
      <c r="V262" s="8">
        <v>76869</v>
      </c>
      <c r="W262" s="8">
        <v>91684</v>
      </c>
      <c r="X262" s="9" t="str">
        <f>IF(W262&gt;50000,"Highe Target","Low Target")</f>
        <v>Highe Target</v>
      </c>
      <c r="Y262" s="9" t="str">
        <f t="shared" si="4"/>
        <v>Highe target</v>
      </c>
      <c r="Z262" s="9" t="str" cm="1">
        <f t="array" ref="Z262">_xlfn.IFS(W262&lt;60000,"LOWERTarget",W262&lt;80000,"Medium Target",W262,"Highe Target")</f>
        <v>Highe Target</v>
      </c>
      <c r="AA262" s="8" t="s">
        <v>64</v>
      </c>
      <c r="AB262" s="5" t="str">
        <f>UPPER(AA262)</f>
        <v>NEEDS IMPROVEMENT</v>
      </c>
      <c r="AC262" s="5" t="str">
        <f>LOWER(AA262)</f>
        <v>needs improvement</v>
      </c>
      <c r="AD262" s="5" t="str">
        <f>PROPER(AA262)</f>
        <v>Needs Improvement</v>
      </c>
      <c r="AF262" s="6"/>
    </row>
    <row r="263" ht="14.25" customHeight="1" spans="1:32">
      <c r="A263" s="8" t="s">
        <v>1091</v>
      </c>
      <c r="B263" s="8" t="s">
        <v>1092</v>
      </c>
      <c r="C263" s="9">
        <f>LEN(B263)</f>
        <v>16</v>
      </c>
      <c r="D263" s="8" t="s">
        <v>60</v>
      </c>
      <c r="E263" s="8" t="str">
        <f>_xlfn.CONCAT(B263,"(",A263,")"," - ",D263)</f>
        <v>Siddharth Bansal(E1166) - HR</v>
      </c>
      <c r="F263" s="9" t="str">
        <f>LEFT(E263,FIND("-",E263))</f>
        <v>Siddharth Bansal(E1166) -</v>
      </c>
      <c r="G263" s="9" t="str">
        <f>RIGHT(E263,LEN(E263)-FIND("-",E263)-1)</f>
        <v>HR</v>
      </c>
      <c r="H263" s="9">
        <f>FIND("-",E263)</f>
        <v>25</v>
      </c>
      <c r="I263" s="9">
        <f>LEN(E263)-FIND("-",E263)</f>
        <v>3</v>
      </c>
      <c r="J263" s="8" t="s">
        <v>76</v>
      </c>
      <c r="K263" s="9" t="str">
        <f>SUBSTITUTE(J263,"a","@",1)</f>
        <v>Pune</v>
      </c>
      <c r="L263" s="8" t="s">
        <v>1093</v>
      </c>
      <c r="M263" s="8" t="str">
        <f>TEXT(L263,"dddd")</f>
        <v>Tuesday</v>
      </c>
      <c r="N263" s="8" t="str">
        <f>LEFT(M263,3)</f>
        <v>Tue</v>
      </c>
      <c r="O263" s="8" t="str">
        <f>RIGHT(M263,3)</f>
        <v>day</v>
      </c>
      <c r="P263" s="8">
        <f>MONTH(L263)</f>
        <v>9</v>
      </c>
      <c r="Q263" s="8">
        <f>YEAR(L263)</f>
        <v>2022</v>
      </c>
      <c r="R263" s="8" t="s">
        <v>1094</v>
      </c>
      <c r="S263" s="8">
        <f>HOUR(R263)</f>
        <v>10</v>
      </c>
      <c r="T263" s="8">
        <f>MINUTE(R263)</f>
        <v>24</v>
      </c>
      <c r="U263" s="8">
        <f>SECOND(R263)</f>
        <v>41</v>
      </c>
      <c r="V263" s="8">
        <v>98409</v>
      </c>
      <c r="W263" s="8">
        <v>91882</v>
      </c>
      <c r="X263" s="9" t="str">
        <f>IF(W263&gt;50000,"Highe Target","Low Target")</f>
        <v>Highe Target</v>
      </c>
      <c r="Y263" s="9" t="str">
        <f t="shared" si="4"/>
        <v>Highe target</v>
      </c>
      <c r="Z263" s="9" t="str" cm="1">
        <f t="array" ref="Z263">_xlfn.IFS(W263&lt;60000,"LOWERTarget",W263&lt;80000,"Medium Target",W263,"Highe Target")</f>
        <v>Highe Target</v>
      </c>
      <c r="AA263" s="8" t="s">
        <v>243</v>
      </c>
      <c r="AB263" s="5" t="str">
        <f>UPPER(AA263)</f>
        <v>POSITIVE ATTITUDE</v>
      </c>
      <c r="AC263" s="5" t="str">
        <f>LOWER(AA263)</f>
        <v>positive attitude</v>
      </c>
      <c r="AD263" s="5" t="str">
        <f>PROPER(AA263)</f>
        <v>Positive Attitude</v>
      </c>
      <c r="AF263" s="6"/>
    </row>
    <row r="264" ht="14.25" customHeight="1" spans="1:32">
      <c r="A264" s="8" t="s">
        <v>1095</v>
      </c>
      <c r="B264" s="8" t="s">
        <v>1096</v>
      </c>
      <c r="C264" s="9">
        <f>LEN(B264)</f>
        <v>13</v>
      </c>
      <c r="D264" s="8" t="s">
        <v>60</v>
      </c>
      <c r="E264" s="8" t="str">
        <f>_xlfn.CONCAT(B264,"(",A264,")"," - ",D264)</f>
        <v>Priya Agarwal(E1043) - HR</v>
      </c>
      <c r="F264" s="9" t="str">
        <f>LEFT(E264,FIND("-",E264))</f>
        <v>Priya Agarwal(E1043) -</v>
      </c>
      <c r="G264" s="9" t="str">
        <f>RIGHT(E264,LEN(E264)-FIND("-",E264)-1)</f>
        <v>HR</v>
      </c>
      <c r="H264" s="9">
        <f>FIND("-",E264)</f>
        <v>22</v>
      </c>
      <c r="I264" s="9">
        <f>LEN(E264)-FIND("-",E264)</f>
        <v>3</v>
      </c>
      <c r="J264" s="8" t="s">
        <v>45</v>
      </c>
      <c r="K264" s="9" t="str">
        <f>SUBSTITUTE(J264,"a","@",1)</f>
        <v>B@ngalore</v>
      </c>
      <c r="L264" s="8" t="s">
        <v>1097</v>
      </c>
      <c r="M264" s="8" t="str">
        <f>TEXT(L264,"dddd")</f>
        <v>Tuesday</v>
      </c>
      <c r="N264" s="8" t="str">
        <f>LEFT(M264,3)</f>
        <v>Tue</v>
      </c>
      <c r="O264" s="8" t="str">
        <f>RIGHT(M264,3)</f>
        <v>day</v>
      </c>
      <c r="P264" s="8">
        <f>MONTH(L264)</f>
        <v>8</v>
      </c>
      <c r="Q264" s="8">
        <f>YEAR(L264)</f>
        <v>2023</v>
      </c>
      <c r="R264" s="8" t="s">
        <v>1098</v>
      </c>
      <c r="S264" s="8">
        <f>HOUR(R264)</f>
        <v>9</v>
      </c>
      <c r="T264" s="8">
        <f>MINUTE(R264)</f>
        <v>19</v>
      </c>
      <c r="U264" s="8">
        <f>SECOND(R264)</f>
        <v>52</v>
      </c>
      <c r="V264" s="8">
        <v>92038</v>
      </c>
      <c r="W264" s="8">
        <v>92123</v>
      </c>
      <c r="X264" s="9" t="str">
        <f>IF(W264&gt;50000,"Highe Target","Low Target")</f>
        <v>Highe Target</v>
      </c>
      <c r="Y264" s="9" t="str">
        <f t="shared" si="4"/>
        <v>Highe target</v>
      </c>
      <c r="Z264" s="9" t="str" cm="1">
        <f t="array" ref="Z264">_xlfn.IFS(W264&lt;60000,"LOWERTarget",W264&lt;80000,"Medium Target",W264,"Highe Target")</f>
        <v>Highe Target</v>
      </c>
      <c r="AA264" s="8" t="s">
        <v>126</v>
      </c>
      <c r="AB264" s="5" t="str">
        <f>UPPER(AA264)</f>
        <v>ACCURATE REPORTS</v>
      </c>
      <c r="AC264" s="5" t="str">
        <f>LOWER(AA264)</f>
        <v>accurate reports</v>
      </c>
      <c r="AD264" s="5" t="str">
        <f>PROPER(AA264)</f>
        <v>Accurate Reports</v>
      </c>
      <c r="AF264" s="6"/>
    </row>
    <row r="265" ht="14.25" customHeight="1" spans="1:32">
      <c r="A265" s="8" t="s">
        <v>1099</v>
      </c>
      <c r="B265" s="8" t="s">
        <v>1100</v>
      </c>
      <c r="C265" s="9">
        <f>LEN(B265)</f>
        <v>12</v>
      </c>
      <c r="D265" s="8" t="s">
        <v>44</v>
      </c>
      <c r="E265" s="8" t="str">
        <f>_xlfn.CONCAT(B265,"(",A265,")"," - ",D265)</f>
        <v>Anjali Mehta(E1227) - Marketing</v>
      </c>
      <c r="F265" s="9" t="str">
        <f>LEFT(E265,FIND("-",E265))</f>
        <v>Anjali Mehta(E1227) -</v>
      </c>
      <c r="G265" s="9" t="str">
        <f>RIGHT(E265,LEN(E265)-FIND("-",E265)-1)</f>
        <v>Marketing</v>
      </c>
      <c r="H265" s="9">
        <f>FIND("-",E265)</f>
        <v>21</v>
      </c>
      <c r="I265" s="9">
        <f>LEN(E265)-FIND("-",E265)</f>
        <v>10</v>
      </c>
      <c r="J265" s="8" t="s">
        <v>172</v>
      </c>
      <c r="K265" s="9" t="str">
        <f>SUBSTITUTE(J265,"a","@",1)</f>
        <v>Hyder@bad</v>
      </c>
      <c r="L265" s="8" t="s">
        <v>1101</v>
      </c>
      <c r="M265" s="8" t="str">
        <f>TEXT(L265,"dddd")</f>
        <v>Sunday</v>
      </c>
      <c r="N265" s="8" t="str">
        <f>LEFT(M265,3)</f>
        <v>Sun</v>
      </c>
      <c r="O265" s="8" t="str">
        <f>RIGHT(M265,3)</f>
        <v>day</v>
      </c>
      <c r="P265" s="8">
        <f>MONTH(L265)</f>
        <v>9</v>
      </c>
      <c r="Q265" s="8">
        <f>YEAR(L265)</f>
        <v>2023</v>
      </c>
      <c r="R265" s="8" t="s">
        <v>847</v>
      </c>
      <c r="S265" s="8">
        <f>HOUR(R265)</f>
        <v>9</v>
      </c>
      <c r="T265" s="8">
        <f>MINUTE(R265)</f>
        <v>35</v>
      </c>
      <c r="U265" s="8">
        <f>SECOND(R265)</f>
        <v>59</v>
      </c>
      <c r="V265" s="8">
        <v>95048</v>
      </c>
      <c r="W265" s="8">
        <v>92127</v>
      </c>
      <c r="X265" s="9" t="str">
        <f>IF(W265&gt;50000,"Highe Target","Low Target")</f>
        <v>Highe Target</v>
      </c>
      <c r="Y265" s="9" t="str">
        <f t="shared" si="4"/>
        <v>Highe target</v>
      </c>
      <c r="Z265" s="9" t="str" cm="1">
        <f t="array" ref="Z265">_xlfn.IFS(W265&lt;60000,"LOWERTarget",W265&lt;80000,"Medium Target",W265,"Highe Target")</f>
        <v>Highe Target</v>
      </c>
      <c r="AA265" s="8" t="s">
        <v>64</v>
      </c>
      <c r="AB265" s="5" t="str">
        <f>UPPER(AA265)</f>
        <v>NEEDS IMPROVEMENT</v>
      </c>
      <c r="AC265" s="5" t="str">
        <f>LOWER(AA265)</f>
        <v>needs improvement</v>
      </c>
      <c r="AD265" s="5" t="str">
        <f>PROPER(AA265)</f>
        <v>Needs Improvement</v>
      </c>
      <c r="AF265" s="6"/>
    </row>
    <row r="266" ht="14.25" customHeight="1" spans="1:32">
      <c r="A266" s="8" t="s">
        <v>1102</v>
      </c>
      <c r="B266" s="8" t="s">
        <v>673</v>
      </c>
      <c r="C266" s="9">
        <f>LEN(B266)</f>
        <v>11</v>
      </c>
      <c r="D266" s="8" t="s">
        <v>60</v>
      </c>
      <c r="E266" s="8" t="str">
        <f>_xlfn.CONCAT(B266,"(",A266,")"," - ",D266)</f>
        <v>Suresh Nair(E1054) - HR</v>
      </c>
      <c r="F266" s="9" t="str">
        <f>LEFT(E266,FIND("-",E266))</f>
        <v>Suresh Nair(E1054) -</v>
      </c>
      <c r="G266" s="9" t="str">
        <f>RIGHT(E266,LEN(E266)-FIND("-",E266)-1)</f>
        <v>HR</v>
      </c>
      <c r="H266" s="9">
        <f>FIND("-",E266)</f>
        <v>20</v>
      </c>
      <c r="I266" s="9">
        <f>LEN(E266)-FIND("-",E266)</f>
        <v>3</v>
      </c>
      <c r="J266" s="8" t="s">
        <v>153</v>
      </c>
      <c r="K266" s="9" t="str">
        <f>SUBSTITUTE(J266,"a","@",1)</f>
        <v>Mumb@i</v>
      </c>
      <c r="L266" s="8" t="s">
        <v>1103</v>
      </c>
      <c r="M266" s="8" t="str">
        <f>TEXT(L266,"dddd")</f>
        <v>Saturday</v>
      </c>
      <c r="N266" s="8" t="str">
        <f>LEFT(M266,3)</f>
        <v>Sat</v>
      </c>
      <c r="O266" s="8" t="str">
        <f>RIGHT(M266,3)</f>
        <v>day</v>
      </c>
      <c r="P266" s="8">
        <f>MONTH(L266)</f>
        <v>8</v>
      </c>
      <c r="Q266" s="8">
        <f>YEAR(L266)</f>
        <v>2021</v>
      </c>
      <c r="R266" s="8" t="s">
        <v>1104</v>
      </c>
      <c r="S266" s="8">
        <f>HOUR(R266)</f>
        <v>9</v>
      </c>
      <c r="T266" s="8">
        <f>MINUTE(R266)</f>
        <v>14</v>
      </c>
      <c r="U266" s="8">
        <f>SECOND(R266)</f>
        <v>11</v>
      </c>
      <c r="V266" s="8">
        <v>111642</v>
      </c>
      <c r="W266" s="8">
        <v>92698</v>
      </c>
      <c r="X266" s="9" t="str">
        <f>IF(W266&gt;50000,"Highe Target","Low Target")</f>
        <v>Highe Target</v>
      </c>
      <c r="Y266" s="9" t="str">
        <f t="shared" si="4"/>
        <v>Highe target</v>
      </c>
      <c r="Z266" s="9" t="str" cm="1">
        <f t="array" ref="Z266">_xlfn.IFS(W266&lt;60000,"LOWERTarget",W266&lt;80000,"Medium Target",W266,"Highe Target")</f>
        <v>Highe Target</v>
      </c>
      <c r="AA266" s="8" t="s">
        <v>179</v>
      </c>
      <c r="AB266" s="5" t="str">
        <f>UPPER(AA266)</f>
        <v>HELPFUL ATTITUDE</v>
      </c>
      <c r="AC266" s="5" t="str">
        <f>LOWER(AA266)</f>
        <v>helpful attitude</v>
      </c>
      <c r="AD266" s="5" t="str">
        <f>PROPER(AA266)</f>
        <v>Helpful Attitude</v>
      </c>
      <c r="AF266" s="6"/>
    </row>
    <row r="267" ht="14.25" customHeight="1" spans="1:32">
      <c r="A267" s="8" t="s">
        <v>1105</v>
      </c>
      <c r="B267" s="8" t="s">
        <v>518</v>
      </c>
      <c r="C267" s="9">
        <f>LEN(B267)</f>
        <v>11</v>
      </c>
      <c r="D267" s="8" t="s">
        <v>35</v>
      </c>
      <c r="E267" s="8" t="str">
        <f>_xlfn.CONCAT(B267,"(",A267,")"," - ",D267)</f>
        <v>Aakash Shah(E1271) - Finance</v>
      </c>
      <c r="F267" s="9" t="str">
        <f>LEFT(E267,FIND("-",E267))</f>
        <v>Aakash Shah(E1271) -</v>
      </c>
      <c r="G267" s="9" t="str">
        <f>RIGHT(E267,LEN(E267)-FIND("-",E267)-1)</f>
        <v>Finance</v>
      </c>
      <c r="H267" s="9">
        <f>FIND("-",E267)</f>
        <v>20</v>
      </c>
      <c r="I267" s="9">
        <f>LEN(E267)-FIND("-",E267)</f>
        <v>8</v>
      </c>
      <c r="J267" s="8" t="s">
        <v>153</v>
      </c>
      <c r="K267" s="9" t="str">
        <f>SUBSTITUTE(J267,"a","@",1)</f>
        <v>Mumb@i</v>
      </c>
      <c r="L267" s="8" t="s">
        <v>1106</v>
      </c>
      <c r="M267" s="8" t="str">
        <f>TEXT(L267,"dddd")</f>
        <v>Thursday</v>
      </c>
      <c r="N267" s="8" t="str">
        <f>LEFT(M267,3)</f>
        <v>Thu</v>
      </c>
      <c r="O267" s="8" t="str">
        <f>RIGHT(M267,3)</f>
        <v>day</v>
      </c>
      <c r="P267" s="8">
        <f>MONTH(L267)</f>
        <v>10</v>
      </c>
      <c r="Q267" s="8">
        <f>YEAR(L267)</f>
        <v>2023</v>
      </c>
      <c r="R267" s="8" t="s">
        <v>1107</v>
      </c>
      <c r="S267" s="8">
        <f>HOUR(R267)</f>
        <v>10</v>
      </c>
      <c r="T267" s="8">
        <f>MINUTE(R267)</f>
        <v>43</v>
      </c>
      <c r="U267" s="8">
        <f>SECOND(R267)</f>
        <v>27</v>
      </c>
      <c r="V267" s="8">
        <v>89581</v>
      </c>
      <c r="W267" s="8">
        <v>92833</v>
      </c>
      <c r="X267" s="9" t="str">
        <f>IF(W267&gt;50000,"Highe Target","Low Target")</f>
        <v>Highe Target</v>
      </c>
      <c r="Y267" s="9" t="str">
        <f t="shared" si="4"/>
        <v>Highe target</v>
      </c>
      <c r="Z267" s="9" t="str" cm="1">
        <f t="array" ref="Z267">_xlfn.IFS(W267&lt;60000,"LOWERTarget",W267&lt;80000,"Medium Target",W267,"Highe Target")</f>
        <v>Highe Target</v>
      </c>
      <c r="AA267" s="8" t="s">
        <v>160</v>
      </c>
      <c r="AB267" s="5" t="str">
        <f>UPPER(AA267)</f>
        <v>GOOD COMMUNICATION</v>
      </c>
      <c r="AC267" s="5" t="str">
        <f>LOWER(AA267)</f>
        <v>good communication</v>
      </c>
      <c r="AD267" s="5" t="str">
        <f>PROPER(AA267)</f>
        <v>Good Communication</v>
      </c>
      <c r="AF267" s="6"/>
    </row>
    <row r="268" ht="14.25" customHeight="1" spans="1:32">
      <c r="A268" s="8" t="s">
        <v>1108</v>
      </c>
      <c r="B268" s="8" t="s">
        <v>932</v>
      </c>
      <c r="C268" s="9">
        <f>LEN(B268)</f>
        <v>12</v>
      </c>
      <c r="D268" s="8" t="s">
        <v>44</v>
      </c>
      <c r="E268" s="8" t="str">
        <f>_xlfn.CONCAT(B268,"(",A268,")"," - ",D268)</f>
        <v>Deepak Goyal(E1235) - Marketing</v>
      </c>
      <c r="F268" s="9" t="str">
        <f>LEFT(E268,FIND("-",E268))</f>
        <v>Deepak Goyal(E1235) -</v>
      </c>
      <c r="G268" s="9" t="str">
        <f>RIGHT(E268,LEN(E268)-FIND("-",E268)-1)</f>
        <v>Marketing</v>
      </c>
      <c r="H268" s="9">
        <f>FIND("-",E268)</f>
        <v>21</v>
      </c>
      <c r="I268" s="9">
        <f>LEN(E268)-FIND("-",E268)</f>
        <v>10</v>
      </c>
      <c r="J268" s="8" t="s">
        <v>53</v>
      </c>
      <c r="K268" s="9" t="str">
        <f>SUBSTITUTE(J268,"a","@",1)</f>
        <v>Delhi</v>
      </c>
      <c r="L268" s="8" t="s">
        <v>448</v>
      </c>
      <c r="M268" s="8" t="str">
        <f>TEXT(L268,"dddd")</f>
        <v>Monday</v>
      </c>
      <c r="N268" s="8" t="str">
        <f>LEFT(M268,3)</f>
        <v>Mon</v>
      </c>
      <c r="O268" s="8" t="str">
        <f>RIGHT(M268,3)</f>
        <v>day</v>
      </c>
      <c r="P268" s="8">
        <f>MONTH(L268)</f>
        <v>10</v>
      </c>
      <c r="Q268" s="8">
        <f>YEAR(L268)</f>
        <v>2023</v>
      </c>
      <c r="R268" s="8" t="s">
        <v>1109</v>
      </c>
      <c r="S268" s="8">
        <f>HOUR(R268)</f>
        <v>9</v>
      </c>
      <c r="T268" s="8">
        <f>MINUTE(R268)</f>
        <v>17</v>
      </c>
      <c r="U268" s="8">
        <f>SECOND(R268)</f>
        <v>12</v>
      </c>
      <c r="V268" s="8">
        <v>85388</v>
      </c>
      <c r="W268" s="8">
        <v>93006</v>
      </c>
      <c r="X268" s="9" t="str">
        <f>IF(W268&gt;50000,"Highe Target","Low Target")</f>
        <v>Highe Target</v>
      </c>
      <c r="Y268" s="9" t="str">
        <f t="shared" si="4"/>
        <v>Highe target</v>
      </c>
      <c r="Z268" s="9" t="str" cm="1">
        <f t="array" ref="Z268">_xlfn.IFS(W268&lt;60000,"LOWERTarget",W268&lt;80000,"Medium Target",W268,"Highe Target")</f>
        <v>Highe Target</v>
      </c>
      <c r="AA268" s="8" t="s">
        <v>48</v>
      </c>
      <c r="AB268" s="5" t="str">
        <f>UPPER(AA268)</f>
        <v>CREATIVE IDEAS</v>
      </c>
      <c r="AC268" s="5" t="str">
        <f>LOWER(AA268)</f>
        <v>creative ideas</v>
      </c>
      <c r="AD268" s="5" t="str">
        <f>PROPER(AA268)</f>
        <v>Creative Ideas</v>
      </c>
      <c r="AF268" s="6"/>
    </row>
    <row r="269" ht="14.25" customHeight="1" spans="1:32">
      <c r="A269" s="8" t="s">
        <v>1110</v>
      </c>
      <c r="B269" s="8" t="s">
        <v>1111</v>
      </c>
      <c r="C269" s="9">
        <f>LEN(B269)</f>
        <v>11</v>
      </c>
      <c r="D269" s="8" t="s">
        <v>93</v>
      </c>
      <c r="E269" s="8" t="str">
        <f>_xlfn.CONCAT(B269,"(",A269,")"," - ",D269)</f>
        <v>Rahul Verma(E1139) - Sales</v>
      </c>
      <c r="F269" s="9" t="str">
        <f>LEFT(E269,FIND("-",E269))</f>
        <v>Rahul Verma(E1139) -</v>
      </c>
      <c r="G269" s="9" t="str">
        <f>RIGHT(E269,LEN(E269)-FIND("-",E269)-1)</f>
        <v>Sales</v>
      </c>
      <c r="H269" s="9">
        <f>FIND("-",E269)</f>
        <v>20</v>
      </c>
      <c r="I269" s="9">
        <f>LEN(E269)-FIND("-",E269)</f>
        <v>6</v>
      </c>
      <c r="J269" s="8" t="s">
        <v>182</v>
      </c>
      <c r="K269" s="9" t="str">
        <f>SUBSTITUTE(J269,"a","@",1)</f>
        <v>Kolk@ta</v>
      </c>
      <c r="L269" s="8" t="s">
        <v>1112</v>
      </c>
      <c r="M269" s="8" t="str">
        <f>TEXT(L269,"dddd")</f>
        <v>Saturday</v>
      </c>
      <c r="N269" s="8" t="str">
        <f>LEFT(M269,3)</f>
        <v>Sat</v>
      </c>
      <c r="O269" s="8" t="str">
        <f>RIGHT(M269,3)</f>
        <v>day</v>
      </c>
      <c r="P269" s="8">
        <f>MONTH(L269)</f>
        <v>7</v>
      </c>
      <c r="Q269" s="8">
        <f>YEAR(L269)</f>
        <v>2021</v>
      </c>
      <c r="R269" s="8" t="s">
        <v>1113</v>
      </c>
      <c r="S269" s="8">
        <f>HOUR(R269)</f>
        <v>10</v>
      </c>
      <c r="T269" s="8">
        <f>MINUTE(R269)</f>
        <v>47</v>
      </c>
      <c r="U269" s="8">
        <f>SECOND(R269)</f>
        <v>23</v>
      </c>
      <c r="V269" s="8">
        <v>86727</v>
      </c>
      <c r="W269" s="8">
        <v>93200</v>
      </c>
      <c r="X269" s="9" t="str">
        <f>IF(W269&gt;50000,"Highe Target","Low Target")</f>
        <v>Highe Target</v>
      </c>
      <c r="Y269" s="9" t="str">
        <f t="shared" si="4"/>
        <v>Highe target</v>
      </c>
      <c r="Z269" s="9" t="str" cm="1">
        <f t="array" ref="Z269">_xlfn.IFS(W269&lt;60000,"LOWERTarget",W269&lt;80000,"Medium Target",W269,"Highe Target")</f>
        <v>Highe Target</v>
      </c>
      <c r="AA269" s="8" t="s">
        <v>229</v>
      </c>
      <c r="AB269" s="5" t="str">
        <f>UPPER(AA269)</f>
        <v>STRONG PRESENTATION</v>
      </c>
      <c r="AC269" s="5" t="str">
        <f>LOWER(AA269)</f>
        <v>strong presentation</v>
      </c>
      <c r="AD269" s="5" t="str">
        <f>PROPER(AA269)</f>
        <v>Strong Presentation</v>
      </c>
      <c r="AF269" s="6"/>
    </row>
    <row r="270" ht="14.25" customHeight="1" spans="1:32">
      <c r="A270" s="8" t="s">
        <v>1114</v>
      </c>
      <c r="B270" s="8" t="s">
        <v>1115</v>
      </c>
      <c r="C270" s="9">
        <f>LEN(B270)</f>
        <v>11</v>
      </c>
      <c r="D270" s="8" t="s">
        <v>35</v>
      </c>
      <c r="E270" s="8" t="str">
        <f>_xlfn.CONCAT(B270,"(",A270,")"," - ",D270)</f>
        <v>Pooja Singh(E1184) - Finance</v>
      </c>
      <c r="F270" s="9" t="str">
        <f>LEFT(E270,FIND("-",E270))</f>
        <v>Pooja Singh(E1184) -</v>
      </c>
      <c r="G270" s="9" t="str">
        <f>RIGHT(E270,LEN(E270)-FIND("-",E270)-1)</f>
        <v>Finance</v>
      </c>
      <c r="H270" s="9">
        <f>FIND("-",E270)</f>
        <v>20</v>
      </c>
      <c r="I270" s="9">
        <f>LEN(E270)-FIND("-",E270)</f>
        <v>8</v>
      </c>
      <c r="J270" s="8" t="s">
        <v>53</v>
      </c>
      <c r="K270" s="9" t="str">
        <f>SUBSTITUTE(J270,"a","@",1)</f>
        <v>Delhi</v>
      </c>
      <c r="L270" s="8" t="s">
        <v>1116</v>
      </c>
      <c r="M270" s="8" t="str">
        <f>TEXT(L270,"dddd")</f>
        <v>Thursday</v>
      </c>
      <c r="N270" s="8" t="str">
        <f>LEFT(M270,3)</f>
        <v>Thu</v>
      </c>
      <c r="O270" s="8" t="str">
        <f>RIGHT(M270,3)</f>
        <v>day</v>
      </c>
      <c r="P270" s="8">
        <f>MONTH(L270)</f>
        <v>4</v>
      </c>
      <c r="Q270" s="8">
        <f>YEAR(L270)</f>
        <v>2021</v>
      </c>
      <c r="R270" s="8" t="s">
        <v>1117</v>
      </c>
      <c r="S270" s="8">
        <f>HOUR(R270)</f>
        <v>9</v>
      </c>
      <c r="T270" s="8">
        <f>MINUTE(R270)</f>
        <v>34</v>
      </c>
      <c r="U270" s="8">
        <f>SECOND(R270)</f>
        <v>21</v>
      </c>
      <c r="V270" s="8">
        <v>89788</v>
      </c>
      <c r="W270" s="8">
        <v>93314</v>
      </c>
      <c r="X270" s="9" t="str">
        <f>IF(W270&gt;50000,"Highe Target","Low Target")</f>
        <v>Highe Target</v>
      </c>
      <c r="Y270" s="9" t="str">
        <f t="shared" si="4"/>
        <v>Highe target</v>
      </c>
      <c r="Z270" s="9" t="str" cm="1">
        <f t="array" ref="Z270">_xlfn.IFS(W270&lt;60000,"LOWERTarget",W270&lt;80000,"Medium Target",W270,"Highe Target")</f>
        <v>Highe Target</v>
      </c>
      <c r="AA270" s="8" t="s">
        <v>243</v>
      </c>
      <c r="AB270" s="5" t="str">
        <f>UPPER(AA270)</f>
        <v>POSITIVE ATTITUDE</v>
      </c>
      <c r="AC270" s="5" t="str">
        <f>LOWER(AA270)</f>
        <v>positive attitude</v>
      </c>
      <c r="AD270" s="5" t="str">
        <f>PROPER(AA270)</f>
        <v>Positive Attitude</v>
      </c>
      <c r="AF270" s="6"/>
    </row>
    <row r="271" ht="14.25" customHeight="1" spans="1:32">
      <c r="A271" s="8" t="s">
        <v>1118</v>
      </c>
      <c r="B271" s="8" t="s">
        <v>1119</v>
      </c>
      <c r="C271" s="9">
        <f>LEN(B271)</f>
        <v>11</v>
      </c>
      <c r="D271" s="8" t="s">
        <v>60</v>
      </c>
      <c r="E271" s="8" t="str">
        <f>_xlfn.CONCAT(B271,"(",A271,")"," - ",D271)</f>
        <v>Neha Saxena(E1155) - HR</v>
      </c>
      <c r="F271" s="9" t="str">
        <f>LEFT(E271,FIND("-",E271))</f>
        <v>Neha Saxena(E1155) -</v>
      </c>
      <c r="G271" s="9" t="str">
        <f>RIGHT(E271,LEN(E271)-FIND("-",E271)-1)</f>
        <v>HR</v>
      </c>
      <c r="H271" s="9">
        <f>FIND("-",E271)</f>
        <v>20</v>
      </c>
      <c r="I271" s="9">
        <f>LEN(E271)-FIND("-",E271)</f>
        <v>3</v>
      </c>
      <c r="J271" s="8" t="s">
        <v>172</v>
      </c>
      <c r="K271" s="9" t="str">
        <f>SUBSTITUTE(J271,"a","@",1)</f>
        <v>Hyder@bad</v>
      </c>
      <c r="L271" s="8" t="s">
        <v>1120</v>
      </c>
      <c r="M271" s="8" t="str">
        <f>TEXT(L271,"dddd")</f>
        <v>Wednesday</v>
      </c>
      <c r="N271" s="8" t="str">
        <f>LEFT(M271,3)</f>
        <v>Wed</v>
      </c>
      <c r="O271" s="8" t="str">
        <f>RIGHT(M271,3)</f>
        <v>day</v>
      </c>
      <c r="P271" s="8">
        <f>MONTH(L271)</f>
        <v>12</v>
      </c>
      <c r="Q271" s="8">
        <f>YEAR(L271)</f>
        <v>2022</v>
      </c>
      <c r="R271" s="8" t="s">
        <v>1121</v>
      </c>
      <c r="S271" s="8">
        <f>HOUR(R271)</f>
        <v>10</v>
      </c>
      <c r="T271" s="8">
        <f>MINUTE(R271)</f>
        <v>52</v>
      </c>
      <c r="U271" s="8">
        <f>SECOND(R271)</f>
        <v>41</v>
      </c>
      <c r="V271" s="8">
        <v>88093</v>
      </c>
      <c r="W271" s="8">
        <v>93414</v>
      </c>
      <c r="X271" s="9" t="str">
        <f>IF(W271&gt;50000,"Highe Target","Low Target")</f>
        <v>Highe Target</v>
      </c>
      <c r="Y271" s="9" t="str">
        <f t="shared" si="4"/>
        <v>Highe target</v>
      </c>
      <c r="Z271" s="9" t="str" cm="1">
        <f t="array" ref="Z271">_xlfn.IFS(W271&lt;60000,"LOWERTarget",W271&lt;80000,"Medium Target",W271,"Highe Target")</f>
        <v>Highe Target</v>
      </c>
      <c r="AA271" s="8" t="s">
        <v>126</v>
      </c>
      <c r="AB271" s="5" t="str">
        <f>UPPER(AA271)</f>
        <v>ACCURATE REPORTS</v>
      </c>
      <c r="AC271" s="5" t="str">
        <f>LOWER(AA271)</f>
        <v>accurate reports</v>
      </c>
      <c r="AD271" s="5" t="str">
        <f>PROPER(AA271)</f>
        <v>Accurate Reports</v>
      </c>
      <c r="AF271" s="6"/>
    </row>
    <row r="272" ht="14.25" customHeight="1" spans="1:32">
      <c r="A272" s="8" t="s">
        <v>1122</v>
      </c>
      <c r="B272" s="8" t="s">
        <v>1123</v>
      </c>
      <c r="C272" s="9">
        <f>LEN(B272)</f>
        <v>13</v>
      </c>
      <c r="D272" s="8" t="s">
        <v>60</v>
      </c>
      <c r="E272" s="8" t="str">
        <f>_xlfn.CONCAT(B272,"(",A272,")"," - ",D272)</f>
        <v>Madhuri Singh(E1272) - HR</v>
      </c>
      <c r="F272" s="9" t="str">
        <f>LEFT(E272,FIND("-",E272))</f>
        <v>Madhuri Singh(E1272) -</v>
      </c>
      <c r="G272" s="9" t="str">
        <f>RIGHT(E272,LEN(E272)-FIND("-",E272)-1)</f>
        <v>HR</v>
      </c>
      <c r="H272" s="9">
        <f>FIND("-",E272)</f>
        <v>22</v>
      </c>
      <c r="I272" s="9">
        <f>LEN(E272)-FIND("-",E272)</f>
        <v>3</v>
      </c>
      <c r="J272" s="8" t="s">
        <v>45</v>
      </c>
      <c r="K272" s="9" t="str">
        <f>SUBSTITUTE(J272,"a","@",1)</f>
        <v>B@ngalore</v>
      </c>
      <c r="L272" s="8" t="s">
        <v>1124</v>
      </c>
      <c r="M272" s="8" t="str">
        <f>TEXT(L272,"dddd")</f>
        <v>Saturday</v>
      </c>
      <c r="N272" s="8" t="str">
        <f>LEFT(M272,3)</f>
        <v>Sat</v>
      </c>
      <c r="O272" s="8" t="str">
        <f>RIGHT(M272,3)</f>
        <v>day</v>
      </c>
      <c r="P272" s="8">
        <f>MONTH(L272)</f>
        <v>1</v>
      </c>
      <c r="Q272" s="8">
        <f>YEAR(L272)</f>
        <v>2022</v>
      </c>
      <c r="R272" s="8" t="s">
        <v>1125</v>
      </c>
      <c r="S272" s="8">
        <f>HOUR(R272)</f>
        <v>10</v>
      </c>
      <c r="T272" s="8">
        <f>MINUTE(R272)</f>
        <v>33</v>
      </c>
      <c r="U272" s="8">
        <f>SECOND(R272)</f>
        <v>16</v>
      </c>
      <c r="V272" s="8">
        <v>101653</v>
      </c>
      <c r="W272" s="8">
        <v>93425</v>
      </c>
      <c r="X272" s="9" t="str">
        <f>IF(W272&gt;50000,"Highe Target","Low Target")</f>
        <v>Highe Target</v>
      </c>
      <c r="Y272" s="9" t="str">
        <f t="shared" si="4"/>
        <v>Highe target</v>
      </c>
      <c r="Z272" s="9" t="str" cm="1">
        <f t="array" ref="Z272">_xlfn.IFS(W272&lt;60000,"LOWERTarget",W272&lt;80000,"Medium Target",W272,"Highe Target")</f>
        <v>Highe Target</v>
      </c>
      <c r="AA272" s="8" t="s">
        <v>64</v>
      </c>
      <c r="AB272" s="5" t="str">
        <f>UPPER(AA272)</f>
        <v>NEEDS IMPROVEMENT</v>
      </c>
      <c r="AC272" s="5" t="str">
        <f>LOWER(AA272)</f>
        <v>needs improvement</v>
      </c>
      <c r="AD272" s="5" t="str">
        <f>PROPER(AA272)</f>
        <v>Needs Improvement</v>
      </c>
      <c r="AF272" s="6"/>
    </row>
    <row r="273" ht="14.25" customHeight="1" spans="1:32">
      <c r="A273" s="8" t="s">
        <v>1126</v>
      </c>
      <c r="B273" s="8" t="s">
        <v>1127</v>
      </c>
      <c r="C273" s="9">
        <f>LEN(B273)</f>
        <v>11</v>
      </c>
      <c r="D273" s="8" t="s">
        <v>60</v>
      </c>
      <c r="E273" s="8" t="str">
        <f>_xlfn.CONCAT(B273,"(",A273,")"," - ",D273)</f>
        <v>Karan Patel(E1186) - HR</v>
      </c>
      <c r="F273" s="9" t="str">
        <f>LEFT(E273,FIND("-",E273))</f>
        <v>Karan Patel(E1186) -</v>
      </c>
      <c r="G273" s="9" t="str">
        <f>RIGHT(E273,LEN(E273)-FIND("-",E273)-1)</f>
        <v>HR</v>
      </c>
      <c r="H273" s="9">
        <f>FIND("-",E273)</f>
        <v>20</v>
      </c>
      <c r="I273" s="9">
        <f>LEN(E273)-FIND("-",E273)</f>
        <v>3</v>
      </c>
      <c r="J273" s="8" t="s">
        <v>153</v>
      </c>
      <c r="K273" s="9" t="str">
        <f>SUBSTITUTE(J273,"a","@",1)</f>
        <v>Mumb@i</v>
      </c>
      <c r="L273" s="8" t="s">
        <v>346</v>
      </c>
      <c r="M273" s="8" t="str">
        <f>TEXT(L273,"dddd")</f>
        <v>Sunday</v>
      </c>
      <c r="N273" s="8" t="str">
        <f>LEFT(M273,3)</f>
        <v>Sun</v>
      </c>
      <c r="O273" s="8" t="str">
        <f>RIGHT(M273,3)</f>
        <v>day</v>
      </c>
      <c r="P273" s="8">
        <f>MONTH(L273)</f>
        <v>10</v>
      </c>
      <c r="Q273" s="8">
        <f>YEAR(L273)</f>
        <v>2022</v>
      </c>
      <c r="R273" s="8" t="s">
        <v>1128</v>
      </c>
      <c r="S273" s="8">
        <f>HOUR(R273)</f>
        <v>9</v>
      </c>
      <c r="T273" s="8">
        <f>MINUTE(R273)</f>
        <v>32</v>
      </c>
      <c r="U273" s="8">
        <f>SECOND(R273)</f>
        <v>25</v>
      </c>
      <c r="V273" s="8">
        <v>109462</v>
      </c>
      <c r="W273" s="8">
        <v>93438</v>
      </c>
      <c r="X273" s="9" t="str">
        <f>IF(W273&gt;50000,"Highe Target","Low Target")</f>
        <v>Highe Target</v>
      </c>
      <c r="Y273" s="9" t="str">
        <f t="shared" si="4"/>
        <v>Highe target</v>
      </c>
      <c r="Z273" s="9" t="str" cm="1">
        <f t="array" ref="Z273">_xlfn.IFS(W273&lt;60000,"LOWERTarget",W273&lt;80000,"Medium Target",W273,"Highe Target")</f>
        <v>Highe Target</v>
      </c>
      <c r="AA273" s="8" t="s">
        <v>64</v>
      </c>
      <c r="AB273" s="5" t="str">
        <f>UPPER(AA273)</f>
        <v>NEEDS IMPROVEMENT</v>
      </c>
      <c r="AC273" s="5" t="str">
        <f>LOWER(AA273)</f>
        <v>needs improvement</v>
      </c>
      <c r="AD273" s="5" t="str">
        <f>PROPER(AA273)</f>
        <v>Needs Improvement</v>
      </c>
      <c r="AF273" s="6"/>
    </row>
    <row r="274" ht="14.25" customHeight="1" spans="1:32">
      <c r="A274" s="8" t="s">
        <v>1129</v>
      </c>
      <c r="B274" s="8" t="s">
        <v>266</v>
      </c>
      <c r="C274" s="9">
        <f>LEN(B274)</f>
        <v>12</v>
      </c>
      <c r="D274" s="8" t="s">
        <v>60</v>
      </c>
      <c r="E274" s="8" t="str">
        <f>_xlfn.CONCAT(B274,"(",A274,")"," - ",D274)</f>
        <v>Aakash Gupta(E1254) - HR</v>
      </c>
      <c r="F274" s="9" t="str">
        <f>LEFT(E274,FIND("-",E274))</f>
        <v>Aakash Gupta(E1254) -</v>
      </c>
      <c r="G274" s="9" t="str">
        <f>RIGHT(E274,LEN(E274)-FIND("-",E274)-1)</f>
        <v>HR</v>
      </c>
      <c r="H274" s="9">
        <f>FIND("-",E274)</f>
        <v>21</v>
      </c>
      <c r="I274" s="9">
        <f>LEN(E274)-FIND("-",E274)</f>
        <v>3</v>
      </c>
      <c r="J274" s="8" t="s">
        <v>172</v>
      </c>
      <c r="K274" s="9" t="str">
        <f>SUBSTITUTE(J274,"a","@",1)</f>
        <v>Hyder@bad</v>
      </c>
      <c r="L274" s="8" t="s">
        <v>1130</v>
      </c>
      <c r="M274" s="8" t="str">
        <f>TEXT(L274,"dddd")</f>
        <v>Thursday</v>
      </c>
      <c r="N274" s="8" t="str">
        <f>LEFT(M274,3)</f>
        <v>Thu</v>
      </c>
      <c r="O274" s="8" t="str">
        <f>RIGHT(M274,3)</f>
        <v>day</v>
      </c>
      <c r="P274" s="8">
        <f>MONTH(L274)</f>
        <v>3</v>
      </c>
      <c r="Q274" s="8">
        <f>YEAR(L274)</f>
        <v>2024</v>
      </c>
      <c r="R274" s="8" t="s">
        <v>1131</v>
      </c>
      <c r="S274" s="8">
        <f>HOUR(R274)</f>
        <v>10</v>
      </c>
      <c r="T274" s="8">
        <f>MINUTE(R274)</f>
        <v>49</v>
      </c>
      <c r="U274" s="8">
        <f>SECOND(R274)</f>
        <v>43</v>
      </c>
      <c r="V274" s="8">
        <v>99648</v>
      </c>
      <c r="W274" s="8">
        <v>93633</v>
      </c>
      <c r="X274" s="9" t="str">
        <f>IF(W274&gt;50000,"Highe Target","Low Target")</f>
        <v>Highe Target</v>
      </c>
      <c r="Y274" s="9" t="str">
        <f t="shared" si="4"/>
        <v>Highe target</v>
      </c>
      <c r="Z274" s="9" t="str" cm="1">
        <f t="array" ref="Z274">_xlfn.IFS(W274&lt;60000,"LOWERTarget",W274&lt;80000,"Medium Target",W274,"Highe Target")</f>
        <v>Highe Target</v>
      </c>
      <c r="AA274" s="8" t="s">
        <v>126</v>
      </c>
      <c r="AB274" s="5" t="str">
        <f>UPPER(AA274)</f>
        <v>ACCURATE REPORTS</v>
      </c>
      <c r="AC274" s="5" t="str">
        <f>LOWER(AA274)</f>
        <v>accurate reports</v>
      </c>
      <c r="AD274" s="5" t="str">
        <f>PROPER(AA274)</f>
        <v>Accurate Reports</v>
      </c>
      <c r="AF274" s="6"/>
    </row>
    <row r="275" ht="14.25" customHeight="1" spans="1:32">
      <c r="A275" s="8" t="s">
        <v>1132</v>
      </c>
      <c r="B275" s="8" t="s">
        <v>1133</v>
      </c>
      <c r="C275" s="9">
        <f>LEN(B275)</f>
        <v>12</v>
      </c>
      <c r="D275" s="8" t="s">
        <v>35</v>
      </c>
      <c r="E275" s="8" t="str">
        <f>_xlfn.CONCAT(B275,"(",A275,")"," - ",D275)</f>
        <v>Tanya Saxena(E1189) - Finance</v>
      </c>
      <c r="F275" s="9" t="str">
        <f>LEFT(E275,FIND("-",E275))</f>
        <v>Tanya Saxena(E1189) -</v>
      </c>
      <c r="G275" s="9" t="str">
        <f>RIGHT(E275,LEN(E275)-FIND("-",E275)-1)</f>
        <v>Finance</v>
      </c>
      <c r="H275" s="9">
        <f>FIND("-",E275)</f>
        <v>21</v>
      </c>
      <c r="I275" s="9">
        <f>LEN(E275)-FIND("-",E275)</f>
        <v>8</v>
      </c>
      <c r="J275" s="8" t="s">
        <v>76</v>
      </c>
      <c r="K275" s="9" t="str">
        <f>SUBSTITUTE(J275,"a","@",1)</f>
        <v>Pune</v>
      </c>
      <c r="L275" s="8" t="s">
        <v>1134</v>
      </c>
      <c r="M275" s="8" t="str">
        <f>TEXT(L275,"dddd")</f>
        <v>Saturday</v>
      </c>
      <c r="N275" s="8" t="str">
        <f>LEFT(M275,3)</f>
        <v>Sat</v>
      </c>
      <c r="O275" s="8" t="str">
        <f>RIGHT(M275,3)</f>
        <v>day</v>
      </c>
      <c r="P275" s="8">
        <f>MONTH(L275)</f>
        <v>5</v>
      </c>
      <c r="Q275" s="8">
        <f>YEAR(L275)</f>
        <v>2023</v>
      </c>
      <c r="R275" s="8" t="s">
        <v>1135</v>
      </c>
      <c r="S275" s="8">
        <f>HOUR(R275)</f>
        <v>8</v>
      </c>
      <c r="T275" s="8">
        <f>MINUTE(R275)</f>
        <v>27</v>
      </c>
      <c r="U275" s="8">
        <f>SECOND(R275)</f>
        <v>38</v>
      </c>
      <c r="V275" s="8">
        <v>90718</v>
      </c>
      <c r="W275" s="8">
        <v>93892</v>
      </c>
      <c r="X275" s="9" t="str">
        <f>IF(W275&gt;50000,"Highe Target","Low Target")</f>
        <v>Highe Target</v>
      </c>
      <c r="Y275" s="9" t="str">
        <f t="shared" si="4"/>
        <v>Highe target</v>
      </c>
      <c r="Z275" s="9" t="str" cm="1">
        <f t="array" ref="Z275">_xlfn.IFS(W275&lt;60000,"LOWERTarget",W275&lt;80000,"Medium Target",W275,"Highe Target")</f>
        <v>Highe Target</v>
      </c>
      <c r="AA275" s="8" t="s">
        <v>229</v>
      </c>
      <c r="AB275" s="5" t="str">
        <f>UPPER(AA275)</f>
        <v>STRONG PRESENTATION</v>
      </c>
      <c r="AC275" s="5" t="str">
        <f>LOWER(AA275)</f>
        <v>strong presentation</v>
      </c>
      <c r="AD275" s="5" t="str">
        <f>PROPER(AA275)</f>
        <v>Strong Presentation</v>
      </c>
      <c r="AF275" s="6"/>
    </row>
    <row r="276" ht="14.25" customHeight="1" spans="1:32">
      <c r="A276" s="8" t="s">
        <v>1136</v>
      </c>
      <c r="B276" s="8" t="s">
        <v>1006</v>
      </c>
      <c r="C276" s="9">
        <f>LEN(B276)</f>
        <v>10</v>
      </c>
      <c r="D276" s="8" t="s">
        <v>44</v>
      </c>
      <c r="E276" s="8" t="str">
        <f>_xlfn.CONCAT(B276,"(",A276,")"," - ",D276)</f>
        <v>Varun Jain(E1289) - Marketing</v>
      </c>
      <c r="F276" s="9" t="str">
        <f>LEFT(E276,FIND("-",E276))</f>
        <v>Varun Jain(E1289) -</v>
      </c>
      <c r="G276" s="9" t="str">
        <f>RIGHT(E276,LEN(E276)-FIND("-",E276)-1)</f>
        <v>Marketing</v>
      </c>
      <c r="H276" s="9">
        <f>FIND("-",E276)</f>
        <v>19</v>
      </c>
      <c r="I276" s="9">
        <f>LEN(E276)-FIND("-",E276)</f>
        <v>10</v>
      </c>
      <c r="J276" s="8" t="s">
        <v>172</v>
      </c>
      <c r="K276" s="9" t="str">
        <f>SUBSTITUTE(J276,"a","@",1)</f>
        <v>Hyder@bad</v>
      </c>
      <c r="L276" s="8" t="s">
        <v>1137</v>
      </c>
      <c r="M276" s="8" t="str">
        <f>TEXT(L276,"dddd")</f>
        <v>Wednesday</v>
      </c>
      <c r="N276" s="8" t="str">
        <f>LEFT(M276,3)</f>
        <v>Wed</v>
      </c>
      <c r="O276" s="8" t="str">
        <f>RIGHT(M276,3)</f>
        <v>day</v>
      </c>
      <c r="P276" s="8">
        <f>MONTH(L276)</f>
        <v>6</v>
      </c>
      <c r="Q276" s="8">
        <f>YEAR(L276)</f>
        <v>2023</v>
      </c>
      <c r="R276" s="8" t="s">
        <v>1138</v>
      </c>
      <c r="S276" s="8">
        <f>HOUR(R276)</f>
        <v>9</v>
      </c>
      <c r="T276" s="8">
        <f>MINUTE(R276)</f>
        <v>27</v>
      </c>
      <c r="U276" s="8">
        <f>SECOND(R276)</f>
        <v>52</v>
      </c>
      <c r="V276" s="8">
        <v>87892</v>
      </c>
      <c r="W276" s="8">
        <v>93971</v>
      </c>
      <c r="X276" s="9" t="str">
        <f>IF(W276&gt;50000,"Highe Target","Low Target")</f>
        <v>Highe Target</v>
      </c>
      <c r="Y276" s="9" t="str">
        <f t="shared" si="4"/>
        <v>Highe target</v>
      </c>
      <c r="Z276" s="9" t="str" cm="1">
        <f t="array" ref="Z276">_xlfn.IFS(W276&lt;60000,"LOWERTarget",W276&lt;80000,"Medium Target",W276,"Highe Target")</f>
        <v>Highe Target</v>
      </c>
      <c r="AA276" s="8" t="s">
        <v>64</v>
      </c>
      <c r="AB276" s="5" t="str">
        <f>UPPER(AA276)</f>
        <v>NEEDS IMPROVEMENT</v>
      </c>
      <c r="AC276" s="5" t="str">
        <f>LOWER(AA276)</f>
        <v>needs improvement</v>
      </c>
      <c r="AD276" s="5" t="str">
        <f>PROPER(AA276)</f>
        <v>Needs Improvement</v>
      </c>
      <c r="AF276" s="6"/>
    </row>
    <row r="277" ht="14.25" customHeight="1" spans="1:32">
      <c r="A277" s="8" t="s">
        <v>1139</v>
      </c>
      <c r="B277" s="8" t="s">
        <v>1140</v>
      </c>
      <c r="C277" s="9">
        <f>LEN(B277)</f>
        <v>12</v>
      </c>
      <c r="D277" s="8" t="s">
        <v>93</v>
      </c>
      <c r="E277" s="8" t="str">
        <f>_xlfn.CONCAT(B277,"(",A277,")"," - ",D277)</f>
        <v>Aditya Reddy(E1128) - Sales</v>
      </c>
      <c r="F277" s="9" t="str">
        <f>LEFT(E277,FIND("-",E277))</f>
        <v>Aditya Reddy(E1128) -</v>
      </c>
      <c r="G277" s="9" t="str">
        <f>RIGHT(E277,LEN(E277)-FIND("-",E277)-1)</f>
        <v>Sales</v>
      </c>
      <c r="H277" s="9">
        <f>FIND("-",E277)</f>
        <v>21</v>
      </c>
      <c r="I277" s="9">
        <f>LEN(E277)-FIND("-",E277)</f>
        <v>6</v>
      </c>
      <c r="J277" s="8" t="s">
        <v>182</v>
      </c>
      <c r="K277" s="9" t="str">
        <f>SUBSTITUTE(J277,"a","@",1)</f>
        <v>Kolk@ta</v>
      </c>
      <c r="L277" s="8" t="s">
        <v>1085</v>
      </c>
      <c r="M277" s="8" t="str">
        <f>TEXT(L277,"dddd")</f>
        <v>Wednesday</v>
      </c>
      <c r="N277" s="8" t="str">
        <f>LEFT(M277,3)</f>
        <v>Wed</v>
      </c>
      <c r="O277" s="8" t="str">
        <f>RIGHT(M277,3)</f>
        <v>day</v>
      </c>
      <c r="P277" s="8">
        <f>MONTH(L277)</f>
        <v>7</v>
      </c>
      <c r="Q277" s="8">
        <f>YEAR(L277)</f>
        <v>2022</v>
      </c>
      <c r="R277" s="8" t="s">
        <v>1141</v>
      </c>
      <c r="S277" s="8">
        <f>HOUR(R277)</f>
        <v>8</v>
      </c>
      <c r="T277" s="8">
        <f>MINUTE(R277)</f>
        <v>7</v>
      </c>
      <c r="U277" s="8">
        <f>SECOND(R277)</f>
        <v>54</v>
      </c>
      <c r="V277" s="8">
        <v>108814</v>
      </c>
      <c r="W277" s="8">
        <v>94014</v>
      </c>
      <c r="X277" s="9" t="str">
        <f>IF(W277&gt;50000,"Highe Target","Low Target")</f>
        <v>Highe Target</v>
      </c>
      <c r="Y277" s="9" t="str">
        <f t="shared" si="4"/>
        <v>Highe target</v>
      </c>
      <c r="Z277" s="9" t="str" cm="1">
        <f t="array" ref="Z277">_xlfn.IFS(W277&lt;60000,"LOWERTarget",W277&lt;80000,"Medium Target",W277,"Highe Target")</f>
        <v>Highe Target</v>
      </c>
      <c r="AA277" s="8" t="s">
        <v>160</v>
      </c>
      <c r="AB277" s="5" t="str">
        <f>UPPER(AA277)</f>
        <v>GOOD COMMUNICATION</v>
      </c>
      <c r="AC277" s="5" t="str">
        <f>LOWER(AA277)</f>
        <v>good communication</v>
      </c>
      <c r="AD277" s="5" t="str">
        <f>PROPER(AA277)</f>
        <v>Good Communication</v>
      </c>
      <c r="AF277" s="6"/>
    </row>
    <row r="278" ht="14.25" customHeight="1" spans="1:32">
      <c r="A278" s="8" t="s">
        <v>1142</v>
      </c>
      <c r="B278" s="8" t="s">
        <v>1143</v>
      </c>
      <c r="C278" s="9">
        <f>LEN(B278)</f>
        <v>10</v>
      </c>
      <c r="D278" s="8" t="s">
        <v>35</v>
      </c>
      <c r="E278" s="8" t="str">
        <f>_xlfn.CONCAT(B278,"(",A278,")"," - ",D278)</f>
        <v>Rahul Iyer(E1096) - Finance</v>
      </c>
      <c r="F278" s="9" t="str">
        <f>LEFT(E278,FIND("-",E278))</f>
        <v>Rahul Iyer(E1096) -</v>
      </c>
      <c r="G278" s="9" t="str">
        <f>RIGHT(E278,LEN(E278)-FIND("-",E278)-1)</f>
        <v>Finance</v>
      </c>
      <c r="H278" s="9">
        <f>FIND("-",E278)</f>
        <v>19</v>
      </c>
      <c r="I278" s="9">
        <f>LEN(E278)-FIND("-",E278)</f>
        <v>8</v>
      </c>
      <c r="J278" s="8" t="s">
        <v>172</v>
      </c>
      <c r="K278" s="9" t="str">
        <f>SUBSTITUTE(J278,"a","@",1)</f>
        <v>Hyder@bad</v>
      </c>
      <c r="L278" s="8" t="s">
        <v>1144</v>
      </c>
      <c r="M278" s="8" t="str">
        <f>TEXT(L278,"dddd")</f>
        <v>Thursday</v>
      </c>
      <c r="N278" s="8" t="str">
        <f>LEFT(M278,3)</f>
        <v>Thu</v>
      </c>
      <c r="O278" s="8" t="str">
        <f>RIGHT(M278,3)</f>
        <v>day</v>
      </c>
      <c r="P278" s="8">
        <f>MONTH(L278)</f>
        <v>8</v>
      </c>
      <c r="Q278" s="8">
        <f>YEAR(L278)</f>
        <v>2021</v>
      </c>
      <c r="R278" s="8" t="s">
        <v>1145</v>
      </c>
      <c r="S278" s="8">
        <f>HOUR(R278)</f>
        <v>9</v>
      </c>
      <c r="T278" s="8">
        <f>MINUTE(R278)</f>
        <v>55</v>
      </c>
      <c r="U278" s="8">
        <f>SECOND(R278)</f>
        <v>32</v>
      </c>
      <c r="V278" s="8">
        <v>79137</v>
      </c>
      <c r="W278" s="8">
        <v>94062</v>
      </c>
      <c r="X278" s="9" t="str">
        <f>IF(W278&gt;50000,"Highe Target","Low Target")</f>
        <v>Highe Target</v>
      </c>
      <c r="Y278" s="9" t="str">
        <f t="shared" si="4"/>
        <v>Highe target</v>
      </c>
      <c r="Z278" s="9" t="str" cm="1">
        <f t="array" ref="Z278">_xlfn.IFS(W278&lt;60000,"LOWERTarget",W278&lt;80000,"Medium Target",W278,"Highe Target")</f>
        <v>Highe Target</v>
      </c>
      <c r="AA278" s="8" t="s">
        <v>165</v>
      </c>
      <c r="AB278" s="5" t="str">
        <f>UPPER(AA278)</f>
        <v>   GOOD TEAMWORK   </v>
      </c>
      <c r="AC278" s="5" t="str">
        <f>LOWER(AA278)</f>
        <v>   good teamwork   </v>
      </c>
      <c r="AD278" s="5" t="str">
        <f>PROPER(AA278)</f>
        <v>   Good Teamwork   </v>
      </c>
      <c r="AF278" s="6"/>
    </row>
    <row r="279" ht="14.25" customHeight="1" spans="1:32">
      <c r="A279" s="8" t="s">
        <v>1146</v>
      </c>
      <c r="B279" s="8" t="s">
        <v>1147</v>
      </c>
      <c r="C279" s="9">
        <f>LEN(B279)</f>
        <v>11</v>
      </c>
      <c r="D279" s="8" t="s">
        <v>60</v>
      </c>
      <c r="E279" s="8" t="str">
        <f>_xlfn.CONCAT(B279,"(",A279,")"," - ",D279)</f>
        <v>Tanya Singh(E1137) - HR</v>
      </c>
      <c r="F279" s="9" t="str">
        <f>LEFT(E279,FIND("-",E279))</f>
        <v>Tanya Singh(E1137) -</v>
      </c>
      <c r="G279" s="9" t="str">
        <f>RIGHT(E279,LEN(E279)-FIND("-",E279)-1)</f>
        <v>HR</v>
      </c>
      <c r="H279" s="9">
        <f>FIND("-",E279)</f>
        <v>20</v>
      </c>
      <c r="I279" s="9">
        <f>LEN(E279)-FIND("-",E279)</f>
        <v>3</v>
      </c>
      <c r="J279" s="8" t="s">
        <v>182</v>
      </c>
      <c r="K279" s="9" t="str">
        <f>SUBSTITUTE(J279,"a","@",1)</f>
        <v>Kolk@ta</v>
      </c>
      <c r="L279" s="8" t="s">
        <v>1148</v>
      </c>
      <c r="M279" s="8" t="str">
        <f>TEXT(L279,"dddd")</f>
        <v>Friday</v>
      </c>
      <c r="N279" s="8" t="str">
        <f>LEFT(M279,3)</f>
        <v>Fri</v>
      </c>
      <c r="O279" s="8" t="str">
        <f>RIGHT(M279,3)</f>
        <v>day</v>
      </c>
      <c r="P279" s="8">
        <f>MONTH(L279)</f>
        <v>7</v>
      </c>
      <c r="Q279" s="8">
        <f>YEAR(L279)</f>
        <v>2023</v>
      </c>
      <c r="R279" s="8" t="s">
        <v>1149</v>
      </c>
      <c r="S279" s="8">
        <f>HOUR(R279)</f>
        <v>8</v>
      </c>
      <c r="T279" s="8">
        <f>MINUTE(R279)</f>
        <v>26</v>
      </c>
      <c r="U279" s="8">
        <f>SECOND(R279)</f>
        <v>21</v>
      </c>
      <c r="V279" s="8">
        <v>108945</v>
      </c>
      <c r="W279" s="8">
        <v>94225</v>
      </c>
      <c r="X279" s="9" t="str">
        <f>IF(W279&gt;50000,"Highe Target","Low Target")</f>
        <v>Highe Target</v>
      </c>
      <c r="Y279" s="9" t="str">
        <f t="shared" si="4"/>
        <v>Highe target</v>
      </c>
      <c r="Z279" s="9" t="str" cm="1">
        <f t="array" ref="Z279">_xlfn.IFS(W279&lt;60000,"LOWERTarget",W279&lt;80000,"Medium Target",W279,"Highe Target")</f>
        <v>Highe Target</v>
      </c>
      <c r="AA279" s="8" t="s">
        <v>39</v>
      </c>
      <c r="AB279" s="5" t="str">
        <f>UPPER(AA279)</f>
        <v>DETAILED ANALYSIS</v>
      </c>
      <c r="AC279" s="5" t="str">
        <f>LOWER(AA279)</f>
        <v>detailed analysis</v>
      </c>
      <c r="AD279" s="5" t="str">
        <f>PROPER(AA279)</f>
        <v>Detailed Analysis</v>
      </c>
      <c r="AF279" s="6"/>
    </row>
    <row r="280" ht="14.25" customHeight="1" spans="1:32">
      <c r="A280" s="8" t="s">
        <v>1150</v>
      </c>
      <c r="B280" s="8" t="s">
        <v>924</v>
      </c>
      <c r="C280" s="9">
        <f>LEN(B280)</f>
        <v>11</v>
      </c>
      <c r="D280" s="8" t="s">
        <v>44</v>
      </c>
      <c r="E280" s="8" t="str">
        <f>_xlfn.CONCAT(B280,"(",A280,")"," - ",D280)</f>
        <v>Isha Chopra(E1071) - Marketing</v>
      </c>
      <c r="F280" s="9" t="str">
        <f>LEFT(E280,FIND("-",E280))</f>
        <v>Isha Chopra(E1071) -</v>
      </c>
      <c r="G280" s="9" t="str">
        <f>RIGHT(E280,LEN(E280)-FIND("-",E280)-1)</f>
        <v>Marketing</v>
      </c>
      <c r="H280" s="9">
        <f>FIND("-",E280)</f>
        <v>20</v>
      </c>
      <c r="I280" s="9">
        <f>LEN(E280)-FIND("-",E280)</f>
        <v>10</v>
      </c>
      <c r="J280" s="8" t="s">
        <v>76</v>
      </c>
      <c r="K280" s="9" t="str">
        <f>SUBSTITUTE(J280,"a","@",1)</f>
        <v>Pune</v>
      </c>
      <c r="L280" s="8" t="s">
        <v>1151</v>
      </c>
      <c r="M280" s="8" t="str">
        <f>TEXT(L280,"dddd")</f>
        <v>Wednesday</v>
      </c>
      <c r="N280" s="8" t="str">
        <f>LEFT(M280,3)</f>
        <v>Wed</v>
      </c>
      <c r="O280" s="8" t="str">
        <f>RIGHT(M280,3)</f>
        <v>day</v>
      </c>
      <c r="P280" s="8">
        <f>MONTH(L280)</f>
        <v>6</v>
      </c>
      <c r="Q280" s="8">
        <f>YEAR(L280)</f>
        <v>2023</v>
      </c>
      <c r="R280" s="8" t="s">
        <v>1152</v>
      </c>
      <c r="S280" s="8">
        <f>HOUR(R280)</f>
        <v>9</v>
      </c>
      <c r="T280" s="8">
        <f>MINUTE(R280)</f>
        <v>40</v>
      </c>
      <c r="U280" s="8">
        <f>SECOND(R280)</f>
        <v>57</v>
      </c>
      <c r="V280" s="8">
        <v>109439</v>
      </c>
      <c r="W280" s="8">
        <v>94310</v>
      </c>
      <c r="X280" s="9" t="str">
        <f>IF(W280&gt;50000,"Highe Target","Low Target")</f>
        <v>Highe Target</v>
      </c>
      <c r="Y280" s="9" t="str">
        <f t="shared" si="4"/>
        <v>Highe target</v>
      </c>
      <c r="Z280" s="9" t="str" cm="1">
        <f t="array" ref="Z280">_xlfn.IFS(W280&lt;60000,"LOWERTarget",W280&lt;80000,"Medium Target",W280,"Highe Target")</f>
        <v>Highe Target</v>
      </c>
      <c r="AA280" s="8" t="s">
        <v>96</v>
      </c>
      <c r="AB280" s="5" t="str">
        <f>UPPER(AA280)</f>
        <v>FAST DELIVERY</v>
      </c>
      <c r="AC280" s="5" t="str">
        <f>LOWER(AA280)</f>
        <v>fast delivery</v>
      </c>
      <c r="AD280" s="5" t="str">
        <f>PROPER(AA280)</f>
        <v>Fast Delivery</v>
      </c>
      <c r="AF280" s="6"/>
    </row>
    <row r="281" ht="14.25" customHeight="1" spans="1:32">
      <c r="A281" s="8" t="s">
        <v>1153</v>
      </c>
      <c r="B281" s="8" t="s">
        <v>964</v>
      </c>
      <c r="C281" s="9">
        <f>LEN(B281)</f>
        <v>17</v>
      </c>
      <c r="D281" s="8" t="s">
        <v>44</v>
      </c>
      <c r="E281" s="8" t="str">
        <f>_xlfn.CONCAT(B281,"(",A281,")"," - ",D281)</f>
        <v>Siddharth Agarwal(E1178) - Marketing</v>
      </c>
      <c r="F281" s="9" t="str">
        <f>LEFT(E281,FIND("-",E281))</f>
        <v>Siddharth Agarwal(E1178) -</v>
      </c>
      <c r="G281" s="9" t="str">
        <f>RIGHT(E281,LEN(E281)-FIND("-",E281)-1)</f>
        <v>Marketing</v>
      </c>
      <c r="H281" s="9">
        <f>FIND("-",E281)</f>
        <v>26</v>
      </c>
      <c r="I281" s="9">
        <f>LEN(E281)-FIND("-",E281)</f>
        <v>10</v>
      </c>
      <c r="J281" s="8" t="s">
        <v>153</v>
      </c>
      <c r="K281" s="9" t="str">
        <f>SUBSTITUTE(J281,"a","@",1)</f>
        <v>Mumb@i</v>
      </c>
      <c r="L281" s="8" t="s">
        <v>1154</v>
      </c>
      <c r="M281" s="8" t="str">
        <f>TEXT(L281,"dddd")</f>
        <v>Saturday</v>
      </c>
      <c r="N281" s="8" t="str">
        <f>LEFT(M281,3)</f>
        <v>Sat</v>
      </c>
      <c r="O281" s="8" t="str">
        <f>RIGHT(M281,3)</f>
        <v>day</v>
      </c>
      <c r="P281" s="8">
        <f>MONTH(L281)</f>
        <v>6</v>
      </c>
      <c r="Q281" s="8">
        <f>YEAR(L281)</f>
        <v>2021</v>
      </c>
      <c r="R281" s="8" t="s">
        <v>1155</v>
      </c>
      <c r="S281" s="8">
        <f>HOUR(R281)</f>
        <v>8</v>
      </c>
      <c r="T281" s="8">
        <f>MINUTE(R281)</f>
        <v>16</v>
      </c>
      <c r="U281" s="8">
        <f>SECOND(R281)</f>
        <v>13</v>
      </c>
      <c r="V281" s="8">
        <v>89518</v>
      </c>
      <c r="W281" s="8">
        <v>94720</v>
      </c>
      <c r="X281" s="9" t="str">
        <f>IF(W281&gt;50000,"Highe Target","Low Target")</f>
        <v>Highe Target</v>
      </c>
      <c r="Y281" s="9" t="str">
        <f t="shared" si="4"/>
        <v>Highe target</v>
      </c>
      <c r="Z281" s="9" t="str" cm="1">
        <f t="array" ref="Z281">_xlfn.IFS(W281&lt;60000,"LOWERTarget",W281&lt;80000,"Medium Target",W281,"Highe Target")</f>
        <v>Highe Target</v>
      </c>
      <c r="AA281" s="8" t="s">
        <v>229</v>
      </c>
      <c r="AB281" s="5" t="str">
        <f>UPPER(AA281)</f>
        <v>STRONG PRESENTATION</v>
      </c>
      <c r="AC281" s="5" t="str">
        <f>LOWER(AA281)</f>
        <v>strong presentation</v>
      </c>
      <c r="AD281" s="5" t="str">
        <f>PROPER(AA281)</f>
        <v>Strong Presentation</v>
      </c>
      <c r="AF281" s="6"/>
    </row>
    <row r="282" ht="14.25" customHeight="1" spans="1:32">
      <c r="A282" s="8" t="s">
        <v>1156</v>
      </c>
      <c r="B282" s="8" t="s">
        <v>506</v>
      </c>
      <c r="C282" s="9">
        <f>LEN(B282)</f>
        <v>12</v>
      </c>
      <c r="D282" s="8" t="s">
        <v>35</v>
      </c>
      <c r="E282" s="8" t="str">
        <f>_xlfn.CONCAT(B282,"(",A282,")"," - ",D282)</f>
        <v>Priya Chopra(E1092) - Finance</v>
      </c>
      <c r="F282" s="9" t="str">
        <f>LEFT(E282,FIND("-",E282))</f>
        <v>Priya Chopra(E1092) -</v>
      </c>
      <c r="G282" s="9" t="str">
        <f>RIGHT(E282,LEN(E282)-FIND("-",E282)-1)</f>
        <v>Finance</v>
      </c>
      <c r="H282" s="9">
        <f>FIND("-",E282)</f>
        <v>21</v>
      </c>
      <c r="I282" s="9">
        <f>LEN(E282)-FIND("-",E282)</f>
        <v>8</v>
      </c>
      <c r="J282" s="8" t="s">
        <v>61</v>
      </c>
      <c r="K282" s="9" t="str">
        <f>SUBSTITUTE(J282,"a","@",1)</f>
        <v>Chenn@i</v>
      </c>
      <c r="L282" s="8" t="s">
        <v>1157</v>
      </c>
      <c r="M282" s="8" t="str">
        <f>TEXT(L282,"dddd")</f>
        <v>Monday</v>
      </c>
      <c r="N282" s="8" t="str">
        <f>LEFT(M282,3)</f>
        <v>Mon</v>
      </c>
      <c r="O282" s="8" t="str">
        <f>RIGHT(M282,3)</f>
        <v>day</v>
      </c>
      <c r="P282" s="8">
        <f>MONTH(L282)</f>
        <v>2</v>
      </c>
      <c r="Q282" s="8">
        <f>YEAR(L282)</f>
        <v>2021</v>
      </c>
      <c r="R282" s="8" t="s">
        <v>1158</v>
      </c>
      <c r="S282" s="8">
        <f>HOUR(R282)</f>
        <v>8</v>
      </c>
      <c r="T282" s="8">
        <f>MINUTE(R282)</f>
        <v>14</v>
      </c>
      <c r="U282" s="8">
        <f>SECOND(R282)</f>
        <v>43</v>
      </c>
      <c r="V282" s="8">
        <v>81144</v>
      </c>
      <c r="W282" s="8">
        <v>94785</v>
      </c>
      <c r="X282" s="9" t="str">
        <f>IF(W282&gt;50000,"Highe Target","Low Target")</f>
        <v>Highe Target</v>
      </c>
      <c r="Y282" s="9" t="str">
        <f t="shared" si="4"/>
        <v>Highe target</v>
      </c>
      <c r="Z282" s="9" t="str" cm="1">
        <f t="array" ref="Z282">_xlfn.IFS(W282&lt;60000,"LOWERTarget",W282&lt;80000,"Medium Target",W282,"Highe Target")</f>
        <v>Highe Target</v>
      </c>
      <c r="AA282" s="8" t="s">
        <v>118</v>
      </c>
      <c r="AB282" s="5" t="str">
        <f>UPPER(AA282)</f>
        <v>CUSTOMER FOCUSED</v>
      </c>
      <c r="AC282" s="5" t="str">
        <f>LOWER(AA282)</f>
        <v>customer focused</v>
      </c>
      <c r="AD282" s="5" t="str">
        <f>PROPER(AA282)</f>
        <v>Customer Focused</v>
      </c>
      <c r="AF282" s="6"/>
    </row>
    <row r="283" ht="14.25" customHeight="1" spans="1:32">
      <c r="A283" s="8" t="s">
        <v>1159</v>
      </c>
      <c r="B283" s="8" t="s">
        <v>552</v>
      </c>
      <c r="C283" s="9">
        <f>LEN(B283)</f>
        <v>11</v>
      </c>
      <c r="D283" s="8" t="s">
        <v>93</v>
      </c>
      <c r="E283" s="8" t="str">
        <f>_xlfn.CONCAT(B283,"(",A283,")"," - ",D283)</f>
        <v>Harsh Kumar(E1279) - Sales</v>
      </c>
      <c r="F283" s="9" t="str">
        <f>LEFT(E283,FIND("-",E283))</f>
        <v>Harsh Kumar(E1279) -</v>
      </c>
      <c r="G283" s="9" t="str">
        <f>RIGHT(E283,LEN(E283)-FIND("-",E283)-1)</f>
        <v>Sales</v>
      </c>
      <c r="H283" s="9">
        <f>FIND("-",E283)</f>
        <v>20</v>
      </c>
      <c r="I283" s="9">
        <f>LEN(E283)-FIND("-",E283)</f>
        <v>6</v>
      </c>
      <c r="J283" s="8" t="s">
        <v>172</v>
      </c>
      <c r="K283" s="9" t="str">
        <f>SUBSTITUTE(J283,"a","@",1)</f>
        <v>Hyder@bad</v>
      </c>
      <c r="L283" s="8" t="s">
        <v>1160</v>
      </c>
      <c r="M283" s="8" t="str">
        <f>TEXT(L283,"dddd")</f>
        <v>Tuesday</v>
      </c>
      <c r="N283" s="8" t="str">
        <f>LEFT(M283,3)</f>
        <v>Tue</v>
      </c>
      <c r="O283" s="8" t="str">
        <f>RIGHT(M283,3)</f>
        <v>day</v>
      </c>
      <c r="P283" s="8">
        <f>MONTH(L283)</f>
        <v>4</v>
      </c>
      <c r="Q283" s="8">
        <f>YEAR(L283)</f>
        <v>2021</v>
      </c>
      <c r="R283" s="8" t="s">
        <v>1161</v>
      </c>
      <c r="S283" s="8">
        <f>HOUR(R283)</f>
        <v>8</v>
      </c>
      <c r="T283" s="8">
        <f>MINUTE(R283)</f>
        <v>27</v>
      </c>
      <c r="U283" s="8">
        <f>SECOND(R283)</f>
        <v>14</v>
      </c>
      <c r="V283" s="8">
        <v>84944</v>
      </c>
      <c r="W283" s="8">
        <v>94963</v>
      </c>
      <c r="X283" s="9" t="str">
        <f>IF(W283&gt;50000,"Highe Target","Low Target")</f>
        <v>Highe Target</v>
      </c>
      <c r="Y283" s="9" t="str">
        <f t="shared" si="4"/>
        <v>Highe target</v>
      </c>
      <c r="Z283" s="9" t="str" cm="1">
        <f t="array" ref="Z283">_xlfn.IFS(W283&lt;60000,"LOWERTarget",W283&lt;80000,"Medium Target",W283,"Highe Target")</f>
        <v>Highe Target</v>
      </c>
      <c r="AA283" s="8" t="s">
        <v>48</v>
      </c>
      <c r="AB283" s="5" t="str">
        <f>UPPER(AA283)</f>
        <v>CREATIVE IDEAS</v>
      </c>
      <c r="AC283" s="5" t="str">
        <f>LOWER(AA283)</f>
        <v>creative ideas</v>
      </c>
      <c r="AD283" s="5" t="str">
        <f>PROPER(AA283)</f>
        <v>Creative Ideas</v>
      </c>
      <c r="AF283" s="6"/>
    </row>
    <row r="284" ht="14.25" customHeight="1" spans="1:32">
      <c r="A284" s="8" t="s">
        <v>1162</v>
      </c>
      <c r="B284" s="8" t="s">
        <v>456</v>
      </c>
      <c r="C284" s="9">
        <f>LEN(B284)</f>
        <v>13</v>
      </c>
      <c r="D284" s="8" t="s">
        <v>60</v>
      </c>
      <c r="E284" s="8" t="str">
        <f>_xlfn.CONCAT(B284,"(",A284,")"," - ",D284)</f>
        <v>Rohan Agarwal(E1168) - HR</v>
      </c>
      <c r="F284" s="9" t="str">
        <f>LEFT(E284,FIND("-",E284))</f>
        <v>Rohan Agarwal(E1168) -</v>
      </c>
      <c r="G284" s="9" t="str">
        <f>RIGHT(E284,LEN(E284)-FIND("-",E284)-1)</f>
        <v>HR</v>
      </c>
      <c r="H284" s="9">
        <f>FIND("-",E284)</f>
        <v>22</v>
      </c>
      <c r="I284" s="9">
        <f>LEN(E284)-FIND("-",E284)</f>
        <v>3</v>
      </c>
      <c r="J284" s="8" t="s">
        <v>45</v>
      </c>
      <c r="K284" s="9" t="str">
        <f>SUBSTITUTE(J284,"a","@",1)</f>
        <v>B@ngalore</v>
      </c>
      <c r="L284" s="8" t="s">
        <v>1163</v>
      </c>
      <c r="M284" s="8" t="str">
        <f>TEXT(L284,"dddd")</f>
        <v>Saturday</v>
      </c>
      <c r="N284" s="8" t="str">
        <f>LEFT(M284,3)</f>
        <v>Sat</v>
      </c>
      <c r="O284" s="8" t="str">
        <f>RIGHT(M284,3)</f>
        <v>day</v>
      </c>
      <c r="P284" s="8">
        <f>MONTH(L284)</f>
        <v>10</v>
      </c>
      <c r="Q284" s="8">
        <f>YEAR(L284)</f>
        <v>2021</v>
      </c>
      <c r="R284" s="8" t="s">
        <v>1164</v>
      </c>
      <c r="S284" s="8">
        <f>HOUR(R284)</f>
        <v>8</v>
      </c>
      <c r="T284" s="8">
        <f>MINUTE(R284)</f>
        <v>4</v>
      </c>
      <c r="U284" s="8">
        <f>SECOND(R284)</f>
        <v>18</v>
      </c>
      <c r="V284" s="8">
        <v>86968</v>
      </c>
      <c r="W284" s="8">
        <v>95340</v>
      </c>
      <c r="X284" s="9" t="str">
        <f>IF(W284&gt;50000,"Highe Target","Low Target")</f>
        <v>Highe Target</v>
      </c>
      <c r="Y284" s="9" t="str">
        <f t="shared" si="4"/>
        <v>Highe target</v>
      </c>
      <c r="Z284" s="9" t="str" cm="1">
        <f t="array" ref="Z284">_xlfn.IFS(W284&lt;60000,"LOWERTarget",W284&lt;80000,"Medium Target",W284,"Highe Target")</f>
        <v>Highe Target</v>
      </c>
      <c r="AA284" s="8" t="s">
        <v>229</v>
      </c>
      <c r="AB284" s="5" t="str">
        <f>UPPER(AA284)</f>
        <v>STRONG PRESENTATION</v>
      </c>
      <c r="AC284" s="5" t="str">
        <f>LOWER(AA284)</f>
        <v>strong presentation</v>
      </c>
      <c r="AD284" s="5" t="str">
        <f>PROPER(AA284)</f>
        <v>Strong Presentation</v>
      </c>
      <c r="AF284" s="6"/>
    </row>
    <row r="285" ht="14.25" customHeight="1" spans="1:32">
      <c r="A285" s="8" t="s">
        <v>1165</v>
      </c>
      <c r="B285" s="8" t="s">
        <v>1166</v>
      </c>
      <c r="C285" s="9">
        <f>LEN(B285)</f>
        <v>12</v>
      </c>
      <c r="D285" s="8" t="s">
        <v>35</v>
      </c>
      <c r="E285" s="8" t="str">
        <f>_xlfn.CONCAT(B285,"(",A285,")"," - ",D285)</f>
        <v>Shreya Patel(E1134) - Finance</v>
      </c>
      <c r="F285" s="9" t="str">
        <f>LEFT(E285,FIND("-",E285))</f>
        <v>Shreya Patel(E1134) -</v>
      </c>
      <c r="G285" s="9" t="str">
        <f>RIGHT(E285,LEN(E285)-FIND("-",E285)-1)</f>
        <v>Finance</v>
      </c>
      <c r="H285" s="9">
        <f>FIND("-",E285)</f>
        <v>21</v>
      </c>
      <c r="I285" s="9">
        <f>LEN(E285)-FIND("-",E285)</f>
        <v>8</v>
      </c>
      <c r="J285" s="8" t="s">
        <v>36</v>
      </c>
      <c r="K285" s="9" t="str">
        <f>SUBSTITUTE(J285,"a","@",1)</f>
        <v>Ahmed@bad</v>
      </c>
      <c r="L285" s="8" t="s">
        <v>1167</v>
      </c>
      <c r="M285" s="8" t="str">
        <f>TEXT(L285,"dddd")</f>
        <v>Saturday</v>
      </c>
      <c r="N285" s="8" t="str">
        <f>LEFT(M285,3)</f>
        <v>Sat</v>
      </c>
      <c r="O285" s="8" t="str">
        <f>RIGHT(M285,3)</f>
        <v>day</v>
      </c>
      <c r="P285" s="8">
        <f>MONTH(L285)</f>
        <v>8</v>
      </c>
      <c r="Q285" s="8">
        <f>YEAR(L285)</f>
        <v>2024</v>
      </c>
      <c r="R285" s="8" t="s">
        <v>1168</v>
      </c>
      <c r="S285" s="8">
        <f>HOUR(R285)</f>
        <v>8</v>
      </c>
      <c r="T285" s="8">
        <f>MINUTE(R285)</f>
        <v>3</v>
      </c>
      <c r="U285" s="8">
        <f>SECOND(R285)</f>
        <v>30</v>
      </c>
      <c r="V285" s="8">
        <v>106848</v>
      </c>
      <c r="W285" s="8">
        <v>95528</v>
      </c>
      <c r="X285" s="9" t="str">
        <f>IF(W285&gt;50000,"Highe Target","Low Target")</f>
        <v>Highe Target</v>
      </c>
      <c r="Y285" s="9" t="str">
        <f t="shared" si="4"/>
        <v>Highe target</v>
      </c>
      <c r="Z285" s="9" t="str" cm="1">
        <f t="array" ref="Z285">_xlfn.IFS(W285&lt;60000,"LOWERTarget",W285&lt;80000,"Medium Target",W285,"Highe Target")</f>
        <v>Highe Target</v>
      </c>
      <c r="AA285" s="8" t="s">
        <v>39</v>
      </c>
      <c r="AB285" s="5" t="str">
        <f>UPPER(AA285)</f>
        <v>DETAILED ANALYSIS</v>
      </c>
      <c r="AC285" s="5" t="str">
        <f>LOWER(AA285)</f>
        <v>detailed analysis</v>
      </c>
      <c r="AD285" s="5" t="str">
        <f>PROPER(AA285)</f>
        <v>Detailed Analysis</v>
      </c>
      <c r="AF285" s="6"/>
    </row>
    <row r="286" ht="14.25" customHeight="1" spans="1:32">
      <c r="A286" s="8" t="s">
        <v>1169</v>
      </c>
      <c r="B286" s="8" t="s">
        <v>341</v>
      </c>
      <c r="C286" s="9">
        <f>LEN(B286)</f>
        <v>15</v>
      </c>
      <c r="D286" s="8" t="s">
        <v>93</v>
      </c>
      <c r="E286" s="8" t="str">
        <f>_xlfn.CONCAT(B286,"(",A286,")"," - ",D286)</f>
        <v>Siddharth Mehta(E1069) - Sales</v>
      </c>
      <c r="F286" s="9" t="str">
        <f>LEFT(E286,FIND("-",E286))</f>
        <v>Siddharth Mehta(E1069) -</v>
      </c>
      <c r="G286" s="9" t="str">
        <f>RIGHT(E286,LEN(E286)-FIND("-",E286)-1)</f>
        <v>Sales</v>
      </c>
      <c r="H286" s="9">
        <f>FIND("-",E286)</f>
        <v>24</v>
      </c>
      <c r="I286" s="9">
        <f>LEN(E286)-FIND("-",E286)</f>
        <v>6</v>
      </c>
      <c r="J286" s="8" t="s">
        <v>45</v>
      </c>
      <c r="K286" s="9" t="str">
        <f>SUBSTITUTE(J286,"a","@",1)</f>
        <v>B@ngalore</v>
      </c>
      <c r="L286" s="8" t="s">
        <v>1170</v>
      </c>
      <c r="M286" s="8" t="str">
        <f>TEXT(L286,"dddd")</f>
        <v>Wednesday</v>
      </c>
      <c r="N286" s="8" t="str">
        <f>LEFT(M286,3)</f>
        <v>Wed</v>
      </c>
      <c r="O286" s="8" t="str">
        <f>RIGHT(M286,3)</f>
        <v>day</v>
      </c>
      <c r="P286" s="8">
        <f>MONTH(L286)</f>
        <v>7</v>
      </c>
      <c r="Q286" s="8">
        <f>YEAR(L286)</f>
        <v>2021</v>
      </c>
      <c r="R286" s="8" t="s">
        <v>1171</v>
      </c>
      <c r="S286" s="8">
        <f>HOUR(R286)</f>
        <v>10</v>
      </c>
      <c r="T286" s="8">
        <f>MINUTE(R286)</f>
        <v>49</v>
      </c>
      <c r="U286" s="8">
        <f>SECOND(R286)</f>
        <v>19</v>
      </c>
      <c r="V286" s="8">
        <v>88657</v>
      </c>
      <c r="W286" s="8">
        <v>95724</v>
      </c>
      <c r="X286" s="9" t="str">
        <f>IF(W286&gt;50000,"Highe Target","Low Target")</f>
        <v>Highe Target</v>
      </c>
      <c r="Y286" s="9" t="str">
        <f t="shared" si="4"/>
        <v>Highe target</v>
      </c>
      <c r="Z286" s="9" t="str" cm="1">
        <f t="array" ref="Z286">_xlfn.IFS(W286&lt;60000,"LOWERTarget",W286&lt;80000,"Medium Target",W286,"Highe Target")</f>
        <v>Highe Target</v>
      </c>
      <c r="AA286" s="8" t="s">
        <v>118</v>
      </c>
      <c r="AB286" s="5" t="str">
        <f>UPPER(AA286)</f>
        <v>CUSTOMER FOCUSED</v>
      </c>
      <c r="AC286" s="5" t="str">
        <f>LOWER(AA286)</f>
        <v>customer focused</v>
      </c>
      <c r="AD286" s="5" t="str">
        <f>PROPER(AA286)</f>
        <v>Customer Focused</v>
      </c>
      <c r="AF286" s="6"/>
    </row>
    <row r="287" ht="14.25" customHeight="1" spans="1:32">
      <c r="A287" s="8" t="s">
        <v>1172</v>
      </c>
      <c r="B287" s="8" t="s">
        <v>1173</v>
      </c>
      <c r="C287" s="9">
        <f>LEN(B287)</f>
        <v>11</v>
      </c>
      <c r="D287" s="8" t="s">
        <v>35</v>
      </c>
      <c r="E287" s="8" t="str">
        <f>_xlfn.CONCAT(B287,"(",A287,")"," - ",D287)</f>
        <v>Kavita Shah(E1108) - Finance</v>
      </c>
      <c r="F287" s="9" t="str">
        <f>LEFT(E287,FIND("-",E287))</f>
        <v>Kavita Shah(E1108) -</v>
      </c>
      <c r="G287" s="9" t="str">
        <f>RIGHT(E287,LEN(E287)-FIND("-",E287)-1)</f>
        <v>Finance</v>
      </c>
      <c r="H287" s="9">
        <f>FIND("-",E287)</f>
        <v>20</v>
      </c>
      <c r="I287" s="9">
        <f>LEN(E287)-FIND("-",E287)</f>
        <v>8</v>
      </c>
      <c r="J287" s="8" t="s">
        <v>182</v>
      </c>
      <c r="K287" s="9" t="str">
        <f>SUBSTITUTE(J287,"a","@",1)</f>
        <v>Kolk@ta</v>
      </c>
      <c r="L287" s="8" t="s">
        <v>1174</v>
      </c>
      <c r="M287" s="8" t="str">
        <f>TEXT(L287,"dddd")</f>
        <v>Friday</v>
      </c>
      <c r="N287" s="8" t="str">
        <f>LEFT(M287,3)</f>
        <v>Fri</v>
      </c>
      <c r="O287" s="8" t="str">
        <f>RIGHT(M287,3)</f>
        <v>day</v>
      </c>
      <c r="P287" s="8">
        <f>MONTH(L287)</f>
        <v>8</v>
      </c>
      <c r="Q287" s="8">
        <f>YEAR(L287)</f>
        <v>2024</v>
      </c>
      <c r="R287" s="8" t="s">
        <v>1175</v>
      </c>
      <c r="S287" s="8">
        <f>HOUR(R287)</f>
        <v>8</v>
      </c>
      <c r="T287" s="8">
        <f>MINUTE(R287)</f>
        <v>54</v>
      </c>
      <c r="U287" s="8">
        <f>SECOND(R287)</f>
        <v>21</v>
      </c>
      <c r="V287" s="8">
        <v>115830</v>
      </c>
      <c r="W287" s="8">
        <v>95859</v>
      </c>
      <c r="X287" s="9" t="str">
        <f>IF(W287&gt;50000,"Highe Target","Low Target")</f>
        <v>Highe Target</v>
      </c>
      <c r="Y287" s="9" t="str">
        <f t="shared" si="4"/>
        <v>Highe target</v>
      </c>
      <c r="Z287" s="9" t="str" cm="1">
        <f t="array" ref="Z287">_xlfn.IFS(W287&lt;60000,"LOWERTarget",W287&lt;80000,"Medium Target",W287,"Highe Target")</f>
        <v>Highe Target</v>
      </c>
      <c r="AA287" s="8" t="s">
        <v>39</v>
      </c>
      <c r="AB287" s="5" t="str">
        <f>UPPER(AA287)</f>
        <v>DETAILED ANALYSIS</v>
      </c>
      <c r="AC287" s="5" t="str">
        <f>LOWER(AA287)</f>
        <v>detailed analysis</v>
      </c>
      <c r="AD287" s="5" t="str">
        <f>PROPER(AA287)</f>
        <v>Detailed Analysis</v>
      </c>
      <c r="AF287" s="6"/>
    </row>
    <row r="288" ht="14.25" customHeight="1" spans="1:32">
      <c r="A288" s="8" t="s">
        <v>1176</v>
      </c>
      <c r="B288" s="8" t="s">
        <v>1177</v>
      </c>
      <c r="C288" s="9">
        <f>LEN(B288)</f>
        <v>12</v>
      </c>
      <c r="D288" s="8" t="s">
        <v>35</v>
      </c>
      <c r="E288" s="8" t="str">
        <f>_xlfn.CONCAT(B288,"(",A288,")"," - ",D288)</f>
        <v>Deepak Mehta(E1209) - Finance</v>
      </c>
      <c r="F288" s="9" t="str">
        <f>LEFT(E288,FIND("-",E288))</f>
        <v>Deepak Mehta(E1209) -</v>
      </c>
      <c r="G288" s="9" t="str">
        <f>RIGHT(E288,LEN(E288)-FIND("-",E288)-1)</f>
        <v>Finance</v>
      </c>
      <c r="H288" s="9">
        <f>FIND("-",E288)</f>
        <v>21</v>
      </c>
      <c r="I288" s="9">
        <f>LEN(E288)-FIND("-",E288)</f>
        <v>8</v>
      </c>
      <c r="J288" s="8" t="s">
        <v>53</v>
      </c>
      <c r="K288" s="9" t="str">
        <f>SUBSTITUTE(J288,"a","@",1)</f>
        <v>Delhi</v>
      </c>
      <c r="L288" s="8" t="s">
        <v>291</v>
      </c>
      <c r="M288" s="8" t="str">
        <f>TEXT(L288,"dddd")</f>
        <v>Monday</v>
      </c>
      <c r="N288" s="8" t="str">
        <f>LEFT(M288,3)</f>
        <v>Mon</v>
      </c>
      <c r="O288" s="8" t="str">
        <f>RIGHT(M288,3)</f>
        <v>day</v>
      </c>
      <c r="P288" s="8">
        <f>MONTH(L288)</f>
        <v>10</v>
      </c>
      <c r="Q288" s="8">
        <f>YEAR(L288)</f>
        <v>2022</v>
      </c>
      <c r="R288" s="8" t="s">
        <v>1178</v>
      </c>
      <c r="S288" s="8">
        <f>HOUR(R288)</f>
        <v>10</v>
      </c>
      <c r="T288" s="8">
        <f>MINUTE(R288)</f>
        <v>20</v>
      </c>
      <c r="U288" s="8">
        <f>SECOND(R288)</f>
        <v>46</v>
      </c>
      <c r="V288" s="8">
        <v>104045</v>
      </c>
      <c r="W288" s="8">
        <v>96411</v>
      </c>
      <c r="X288" s="9" t="str">
        <f>IF(W288&gt;50000,"Highe Target","Low Target")</f>
        <v>Highe Target</v>
      </c>
      <c r="Y288" s="9" t="str">
        <f t="shared" si="4"/>
        <v>Highe target</v>
      </c>
      <c r="Z288" s="9" t="str" cm="1">
        <f t="array" ref="Z288">_xlfn.IFS(W288&lt;60000,"LOWERTarget",W288&lt;80000,"Medium Target",W288,"Highe Target")</f>
        <v>Highe Target</v>
      </c>
      <c r="AA288" s="8" t="s">
        <v>39</v>
      </c>
      <c r="AB288" s="5" t="str">
        <f>UPPER(AA288)</f>
        <v>DETAILED ANALYSIS</v>
      </c>
      <c r="AC288" s="5" t="str">
        <f>LOWER(AA288)</f>
        <v>detailed analysis</v>
      </c>
      <c r="AD288" s="5" t="str">
        <f>PROPER(AA288)</f>
        <v>Detailed Analysis</v>
      </c>
      <c r="AF288" s="6"/>
    </row>
    <row r="289" ht="14.25" customHeight="1" spans="1:32">
      <c r="A289" s="8" t="s">
        <v>1179</v>
      </c>
      <c r="B289" s="8" t="s">
        <v>1180</v>
      </c>
      <c r="C289" s="9">
        <f>LEN(B289)</f>
        <v>12</v>
      </c>
      <c r="D289" s="8" t="s">
        <v>35</v>
      </c>
      <c r="E289" s="8" t="str">
        <f>_xlfn.CONCAT(B289,"(",A289,")"," - ",D289)</f>
        <v>Varun Sharma(E1103) - Finance</v>
      </c>
      <c r="F289" s="9" t="str">
        <f>LEFT(E289,FIND("-",E289))</f>
        <v>Varun Sharma(E1103) -</v>
      </c>
      <c r="G289" s="9" t="str">
        <f>RIGHT(E289,LEN(E289)-FIND("-",E289)-1)</f>
        <v>Finance</v>
      </c>
      <c r="H289" s="9">
        <f>FIND("-",E289)</f>
        <v>21</v>
      </c>
      <c r="I289" s="9">
        <f>LEN(E289)-FIND("-",E289)</f>
        <v>8</v>
      </c>
      <c r="J289" s="8" t="s">
        <v>61</v>
      </c>
      <c r="K289" s="9" t="str">
        <f>SUBSTITUTE(J289,"a","@",1)</f>
        <v>Chenn@i</v>
      </c>
      <c r="L289" s="8" t="s">
        <v>1181</v>
      </c>
      <c r="M289" s="8" t="str">
        <f>TEXT(L289,"dddd")</f>
        <v>Wednesday</v>
      </c>
      <c r="N289" s="8" t="str">
        <f>LEFT(M289,3)</f>
        <v>Wed</v>
      </c>
      <c r="O289" s="8" t="str">
        <f>RIGHT(M289,3)</f>
        <v>day</v>
      </c>
      <c r="P289" s="8">
        <f>MONTH(L289)</f>
        <v>4</v>
      </c>
      <c r="Q289" s="8">
        <f>YEAR(L289)</f>
        <v>2024</v>
      </c>
      <c r="R289" s="8" t="s">
        <v>1182</v>
      </c>
      <c r="S289" s="8">
        <f>HOUR(R289)</f>
        <v>10</v>
      </c>
      <c r="T289" s="8">
        <f>MINUTE(R289)</f>
        <v>42</v>
      </c>
      <c r="U289" s="8">
        <f>SECOND(R289)</f>
        <v>31</v>
      </c>
      <c r="V289" s="8">
        <v>91443</v>
      </c>
      <c r="W289" s="8">
        <v>96705</v>
      </c>
      <c r="X289" s="9" t="str">
        <f>IF(W289&gt;50000,"Highe Target","Low Target")</f>
        <v>Highe Target</v>
      </c>
      <c r="Y289" s="9" t="str">
        <f t="shared" si="4"/>
        <v>Highe target</v>
      </c>
      <c r="Z289" s="9" t="str" cm="1">
        <f t="array" ref="Z289">_xlfn.IFS(W289&lt;60000,"LOWERTarget",W289&lt;80000,"Medium Target",W289,"Highe Target")</f>
        <v>Highe Target</v>
      </c>
      <c r="AA289" s="8" t="s">
        <v>179</v>
      </c>
      <c r="AB289" s="5" t="str">
        <f>UPPER(AA289)</f>
        <v>HELPFUL ATTITUDE</v>
      </c>
      <c r="AC289" s="5" t="str">
        <f>LOWER(AA289)</f>
        <v>helpful attitude</v>
      </c>
      <c r="AD289" s="5" t="str">
        <f>PROPER(AA289)</f>
        <v>Helpful Attitude</v>
      </c>
      <c r="AF289" s="6"/>
    </row>
    <row r="290" ht="14.25" customHeight="1" spans="1:32">
      <c r="A290" s="8" t="s">
        <v>1183</v>
      </c>
      <c r="B290" s="8" t="s">
        <v>1184</v>
      </c>
      <c r="C290" s="9">
        <f>LEN(B290)</f>
        <v>10</v>
      </c>
      <c r="D290" s="8" t="s">
        <v>44</v>
      </c>
      <c r="E290" s="8" t="str">
        <f>_xlfn.CONCAT(B290,"(",A290,")"," - ",D290)</f>
        <v>Yash Goyal(E1003) - Marketing</v>
      </c>
      <c r="F290" s="9" t="str">
        <f>LEFT(E290,FIND("-",E290))</f>
        <v>Yash Goyal(E1003) -</v>
      </c>
      <c r="G290" s="9" t="str">
        <f>RIGHT(E290,LEN(E290)-FIND("-",E290)-1)</f>
        <v>Marketing</v>
      </c>
      <c r="H290" s="9">
        <f>FIND("-",E290)</f>
        <v>19</v>
      </c>
      <c r="I290" s="9">
        <f>LEN(E290)-FIND("-",E290)</f>
        <v>10</v>
      </c>
      <c r="J290" s="8" t="s">
        <v>45</v>
      </c>
      <c r="K290" s="9" t="str">
        <f>SUBSTITUTE(J290,"a","@",1)</f>
        <v>B@ngalore</v>
      </c>
      <c r="L290" s="8" t="s">
        <v>610</v>
      </c>
      <c r="M290" s="8" t="str">
        <f>TEXT(L290,"dddd")</f>
        <v>Sunday</v>
      </c>
      <c r="N290" s="8" t="str">
        <f>LEFT(M290,3)</f>
        <v>Sun</v>
      </c>
      <c r="O290" s="8" t="str">
        <f>RIGHT(M290,3)</f>
        <v>day</v>
      </c>
      <c r="P290" s="8">
        <f>MONTH(L290)</f>
        <v>7</v>
      </c>
      <c r="Q290" s="8">
        <f>YEAR(L290)</f>
        <v>2023</v>
      </c>
      <c r="R290" s="8" t="s">
        <v>1185</v>
      </c>
      <c r="S290" s="8">
        <f>HOUR(R290)</f>
        <v>10</v>
      </c>
      <c r="T290" s="8">
        <f>MINUTE(R290)</f>
        <v>17</v>
      </c>
      <c r="U290" s="8">
        <f>SECOND(R290)</f>
        <v>51</v>
      </c>
      <c r="V290" s="8">
        <v>82395</v>
      </c>
      <c r="W290" s="8">
        <v>96970</v>
      </c>
      <c r="X290" s="9" t="str">
        <f>IF(W290&gt;50000,"Highe Target","Low Target")</f>
        <v>Highe Target</v>
      </c>
      <c r="Y290" s="9" t="str">
        <f t="shared" si="4"/>
        <v>Highe target</v>
      </c>
      <c r="Z290" s="9" t="str" cm="1">
        <f t="array" ref="Z290">_xlfn.IFS(W290&lt;60000,"LOWERTarget",W290&lt;80000,"Medium Target",W290,"Highe Target")</f>
        <v>Highe Target</v>
      </c>
      <c r="AA290" s="8" t="s">
        <v>118</v>
      </c>
      <c r="AB290" s="5" t="str">
        <f>UPPER(AA290)</f>
        <v>CUSTOMER FOCUSED</v>
      </c>
      <c r="AC290" s="5" t="str">
        <f>LOWER(AA290)</f>
        <v>customer focused</v>
      </c>
      <c r="AD290" s="5" t="str">
        <f>PROPER(AA290)</f>
        <v>Customer Focused</v>
      </c>
      <c r="AF290" s="6"/>
    </row>
    <row r="291" ht="14.25" customHeight="1" spans="1:32">
      <c r="A291" s="8" t="s">
        <v>1186</v>
      </c>
      <c r="B291" s="8" t="s">
        <v>1187</v>
      </c>
      <c r="C291" s="9">
        <f>LEN(B291)</f>
        <v>11</v>
      </c>
      <c r="D291" s="8" t="s">
        <v>44</v>
      </c>
      <c r="E291" s="8" t="str">
        <f>_xlfn.CONCAT(B291,"(",A291,")"," - ",D291)</f>
        <v>Nidhi Kumar(E1106) - Marketing</v>
      </c>
      <c r="F291" s="9" t="str">
        <f>LEFT(E291,FIND("-",E291))</f>
        <v>Nidhi Kumar(E1106) -</v>
      </c>
      <c r="G291" s="9" t="str">
        <f>RIGHT(E291,LEN(E291)-FIND("-",E291)-1)</f>
        <v>Marketing</v>
      </c>
      <c r="H291" s="9">
        <f>FIND("-",E291)</f>
        <v>20</v>
      </c>
      <c r="I291" s="9">
        <f>LEN(E291)-FIND("-",E291)</f>
        <v>10</v>
      </c>
      <c r="J291" s="8" t="s">
        <v>153</v>
      </c>
      <c r="K291" s="9" t="str">
        <f>SUBSTITUTE(J291,"a","@",1)</f>
        <v>Mumb@i</v>
      </c>
      <c r="L291" s="8" t="s">
        <v>917</v>
      </c>
      <c r="M291" s="8" t="str">
        <f>TEXT(L291,"dddd")</f>
        <v>Thursday</v>
      </c>
      <c r="N291" s="8" t="str">
        <f>LEFT(M291,3)</f>
        <v>Thu</v>
      </c>
      <c r="O291" s="8" t="str">
        <f>RIGHT(M291,3)</f>
        <v>day</v>
      </c>
      <c r="P291" s="8">
        <f>MONTH(L291)</f>
        <v>9</v>
      </c>
      <c r="Q291" s="8">
        <f>YEAR(L291)</f>
        <v>2021</v>
      </c>
      <c r="R291" s="8" t="s">
        <v>1188</v>
      </c>
      <c r="S291" s="8">
        <f>HOUR(R291)</f>
        <v>10</v>
      </c>
      <c r="T291" s="8">
        <f>MINUTE(R291)</f>
        <v>37</v>
      </c>
      <c r="U291" s="8">
        <f>SECOND(R291)</f>
        <v>21</v>
      </c>
      <c r="V291" s="8">
        <v>88573</v>
      </c>
      <c r="W291" s="8">
        <v>96996</v>
      </c>
      <c r="X291" s="9" t="str">
        <f>IF(W291&gt;50000,"Highe Target","Low Target")</f>
        <v>Highe Target</v>
      </c>
      <c r="Y291" s="9" t="str">
        <f t="shared" si="4"/>
        <v>Highe target</v>
      </c>
      <c r="Z291" s="9" t="str" cm="1">
        <f t="array" ref="Z291">_xlfn.IFS(W291&lt;60000,"LOWERTarget",W291&lt;80000,"Medium Target",W291,"Highe Target")</f>
        <v>Highe Target</v>
      </c>
      <c r="AA291" s="8" t="s">
        <v>243</v>
      </c>
      <c r="AB291" s="5" t="str">
        <f>UPPER(AA291)</f>
        <v>POSITIVE ATTITUDE</v>
      </c>
      <c r="AC291" s="5" t="str">
        <f>LOWER(AA291)</f>
        <v>positive attitude</v>
      </c>
      <c r="AD291" s="5" t="str">
        <f>PROPER(AA291)</f>
        <v>Positive Attitude</v>
      </c>
      <c r="AF291" s="6"/>
    </row>
    <row r="292" ht="14.25" customHeight="1" spans="1:32">
      <c r="A292" s="8" t="s">
        <v>1189</v>
      </c>
      <c r="B292" s="8" t="s">
        <v>1190</v>
      </c>
      <c r="C292" s="9">
        <f>LEN(B292)</f>
        <v>13</v>
      </c>
      <c r="D292" s="8" t="s">
        <v>93</v>
      </c>
      <c r="E292" s="8" t="str">
        <f>_xlfn.CONCAT(B292,"(",A292,")"," - ",D292)</f>
        <v>Isha Malhotra(E1107) - Sales</v>
      </c>
      <c r="F292" s="9" t="str">
        <f>LEFT(E292,FIND("-",E292))</f>
        <v>Isha Malhotra(E1107) -</v>
      </c>
      <c r="G292" s="9" t="str">
        <f>RIGHT(E292,LEN(E292)-FIND("-",E292)-1)</f>
        <v>Sales</v>
      </c>
      <c r="H292" s="9">
        <f>FIND("-",E292)</f>
        <v>22</v>
      </c>
      <c r="I292" s="9">
        <f>LEN(E292)-FIND("-",E292)</f>
        <v>6</v>
      </c>
      <c r="J292" s="8" t="s">
        <v>36</v>
      </c>
      <c r="K292" s="9" t="str">
        <f>SUBSTITUTE(J292,"a","@",1)</f>
        <v>Ahmed@bad</v>
      </c>
      <c r="L292" s="8" t="s">
        <v>1191</v>
      </c>
      <c r="M292" s="8" t="str">
        <f>TEXT(L292,"dddd")</f>
        <v>Monday</v>
      </c>
      <c r="N292" s="8" t="str">
        <f>LEFT(M292,3)</f>
        <v>Mon</v>
      </c>
      <c r="O292" s="8" t="str">
        <f>RIGHT(M292,3)</f>
        <v>day</v>
      </c>
      <c r="P292" s="8">
        <f>MONTH(L292)</f>
        <v>2</v>
      </c>
      <c r="Q292" s="8">
        <f>YEAR(L292)</f>
        <v>2021</v>
      </c>
      <c r="R292" s="8" t="s">
        <v>1192</v>
      </c>
      <c r="S292" s="8">
        <f>HOUR(R292)</f>
        <v>10</v>
      </c>
      <c r="T292" s="8">
        <f>MINUTE(R292)</f>
        <v>9</v>
      </c>
      <c r="U292" s="8">
        <f>SECOND(R292)</f>
        <v>26</v>
      </c>
      <c r="V292" s="8">
        <v>92193</v>
      </c>
      <c r="W292" s="8">
        <v>97077</v>
      </c>
      <c r="X292" s="9" t="str">
        <f>IF(W292&gt;50000,"Highe Target","Low Target")</f>
        <v>Highe Target</v>
      </c>
      <c r="Y292" s="9" t="str">
        <f t="shared" si="4"/>
        <v>Highe target</v>
      </c>
      <c r="Z292" s="9" t="str" cm="1">
        <f t="array" ref="Z292">_xlfn.IFS(W292&lt;60000,"LOWERTarget",W292&lt;80000,"Medium Target",W292,"Highe Target")</f>
        <v>Highe Target</v>
      </c>
      <c r="AA292" s="8" t="s">
        <v>160</v>
      </c>
      <c r="AB292" s="5" t="str">
        <f>UPPER(AA292)</f>
        <v>GOOD COMMUNICATION</v>
      </c>
      <c r="AC292" s="5" t="str">
        <f>LOWER(AA292)</f>
        <v>good communication</v>
      </c>
      <c r="AD292" s="5" t="str">
        <f>PROPER(AA292)</f>
        <v>Good Communication</v>
      </c>
      <c r="AF292" s="6"/>
    </row>
    <row r="293" ht="14.25" customHeight="1" spans="1:32">
      <c r="A293" s="8" t="s">
        <v>1193</v>
      </c>
      <c r="B293" s="8" t="s">
        <v>570</v>
      </c>
      <c r="C293" s="9">
        <f>LEN(B293)</f>
        <v>10</v>
      </c>
      <c r="D293" s="8" t="s">
        <v>44</v>
      </c>
      <c r="E293" s="8" t="str">
        <f>_xlfn.CONCAT(B293,"(",A293,")"," - ",D293)</f>
        <v>Pooja Nair(E1251) - Marketing</v>
      </c>
      <c r="F293" s="9" t="str">
        <f>LEFT(E293,FIND("-",E293))</f>
        <v>Pooja Nair(E1251) -</v>
      </c>
      <c r="G293" s="9" t="str">
        <f>RIGHT(E293,LEN(E293)-FIND("-",E293)-1)</f>
        <v>Marketing</v>
      </c>
      <c r="H293" s="9">
        <f>FIND("-",E293)</f>
        <v>19</v>
      </c>
      <c r="I293" s="9">
        <f>LEN(E293)-FIND("-",E293)</f>
        <v>10</v>
      </c>
      <c r="J293" s="8" t="s">
        <v>172</v>
      </c>
      <c r="K293" s="9" t="str">
        <f>SUBSTITUTE(J293,"a","@",1)</f>
        <v>Hyder@bad</v>
      </c>
      <c r="L293" s="8" t="s">
        <v>1194</v>
      </c>
      <c r="M293" s="8" t="str">
        <f>TEXT(L293,"dddd")</f>
        <v>Sunday</v>
      </c>
      <c r="N293" s="8" t="str">
        <f>LEFT(M293,3)</f>
        <v>Sun</v>
      </c>
      <c r="O293" s="8" t="str">
        <f>RIGHT(M293,3)</f>
        <v>day</v>
      </c>
      <c r="P293" s="8">
        <f>MONTH(L293)</f>
        <v>11</v>
      </c>
      <c r="Q293" s="8">
        <f>YEAR(L293)</f>
        <v>2021</v>
      </c>
      <c r="R293" s="8" t="s">
        <v>1195</v>
      </c>
      <c r="S293" s="8">
        <f>HOUR(R293)</f>
        <v>9</v>
      </c>
      <c r="T293" s="8">
        <f>MINUTE(R293)</f>
        <v>12</v>
      </c>
      <c r="U293" s="8">
        <f>SECOND(R293)</f>
        <v>59</v>
      </c>
      <c r="V293" s="8">
        <v>89752</v>
      </c>
      <c r="W293" s="8">
        <v>97357</v>
      </c>
      <c r="X293" s="9" t="str">
        <f>IF(W293&gt;50000,"Highe Target","Low Target")</f>
        <v>Highe Target</v>
      </c>
      <c r="Y293" s="9" t="str">
        <f t="shared" si="4"/>
        <v>Highe target</v>
      </c>
      <c r="Z293" s="9" t="str" cm="1">
        <f t="array" ref="Z293">_xlfn.IFS(W293&lt;60000,"LOWERTarget",W293&lt;80000,"Medium Target",W293,"Highe Target")</f>
        <v>Highe Target</v>
      </c>
      <c r="AA293" s="8" t="s">
        <v>87</v>
      </c>
      <c r="AB293" s="5" t="str">
        <f>UPPER(AA293)</f>
        <v>EXCELLENT SERVICE</v>
      </c>
      <c r="AC293" s="5" t="str">
        <f>LOWER(AA293)</f>
        <v>excellent service</v>
      </c>
      <c r="AD293" s="5" t="str">
        <f>PROPER(AA293)</f>
        <v>Excellent Service</v>
      </c>
      <c r="AF293" s="6"/>
    </row>
    <row r="294" ht="14.25" customHeight="1" spans="1:32">
      <c r="A294" s="8" t="s">
        <v>1196</v>
      </c>
      <c r="B294" s="8" t="s">
        <v>1197</v>
      </c>
      <c r="C294" s="9">
        <f>LEN(B294)</f>
        <v>10</v>
      </c>
      <c r="D294" s="8" t="s">
        <v>44</v>
      </c>
      <c r="E294" s="8" t="str">
        <f>_xlfn.CONCAT(B294,"(",A294,")"," - ",D294)</f>
        <v>Yash Verma(E1160) - Marketing</v>
      </c>
      <c r="F294" s="9" t="str">
        <f>LEFT(E294,FIND("-",E294))</f>
        <v>Yash Verma(E1160) -</v>
      </c>
      <c r="G294" s="9" t="str">
        <f>RIGHT(E294,LEN(E294)-FIND("-",E294)-1)</f>
        <v>Marketing</v>
      </c>
      <c r="H294" s="9">
        <f>FIND("-",E294)</f>
        <v>19</v>
      </c>
      <c r="I294" s="9">
        <f>LEN(E294)-FIND("-",E294)</f>
        <v>10</v>
      </c>
      <c r="J294" s="8" t="s">
        <v>36</v>
      </c>
      <c r="K294" s="9" t="str">
        <f>SUBSTITUTE(J294,"a","@",1)</f>
        <v>Ahmed@bad</v>
      </c>
      <c r="L294" s="8" t="s">
        <v>1198</v>
      </c>
      <c r="M294" s="8" t="str">
        <f>TEXT(L294,"dddd")</f>
        <v>Wednesday</v>
      </c>
      <c r="N294" s="8" t="str">
        <f>LEFT(M294,3)</f>
        <v>Wed</v>
      </c>
      <c r="O294" s="8" t="str">
        <f>RIGHT(M294,3)</f>
        <v>day</v>
      </c>
      <c r="P294" s="8">
        <f>MONTH(L294)</f>
        <v>4</v>
      </c>
      <c r="Q294" s="8">
        <f>YEAR(L294)</f>
        <v>2024</v>
      </c>
      <c r="R294" s="8" t="s">
        <v>1199</v>
      </c>
      <c r="S294" s="8">
        <f>HOUR(R294)</f>
        <v>10</v>
      </c>
      <c r="T294" s="8">
        <f>MINUTE(R294)</f>
        <v>50</v>
      </c>
      <c r="U294" s="8">
        <f>SECOND(R294)</f>
        <v>47</v>
      </c>
      <c r="V294" s="8">
        <v>86400</v>
      </c>
      <c r="W294" s="8">
        <v>98712</v>
      </c>
      <c r="X294" s="9" t="str">
        <f>IF(W294&gt;50000,"Highe Target","Low Target")</f>
        <v>Highe Target</v>
      </c>
      <c r="Y294" s="9" t="str">
        <f t="shared" si="4"/>
        <v>Highe target</v>
      </c>
      <c r="Z294" s="9" t="str" cm="1">
        <f t="array" ref="Z294">_xlfn.IFS(W294&lt;60000,"LOWERTarget",W294&lt;80000,"Medium Target",W294,"Highe Target")</f>
        <v>Highe Target</v>
      </c>
      <c r="AA294" s="8" t="s">
        <v>179</v>
      </c>
      <c r="AB294" s="5" t="str">
        <f>UPPER(AA294)</f>
        <v>HELPFUL ATTITUDE</v>
      </c>
      <c r="AC294" s="5" t="str">
        <f>LOWER(AA294)</f>
        <v>helpful attitude</v>
      </c>
      <c r="AD294" s="5" t="str">
        <f>PROPER(AA294)</f>
        <v>Helpful Attitude</v>
      </c>
      <c r="AF294" s="6"/>
    </row>
    <row r="295" ht="14.25" customHeight="1" spans="1:32">
      <c r="A295" s="8" t="s">
        <v>1200</v>
      </c>
      <c r="B295" s="8" t="s">
        <v>1201</v>
      </c>
      <c r="C295" s="9">
        <f>LEN(B295)</f>
        <v>15</v>
      </c>
      <c r="D295" s="8" t="s">
        <v>60</v>
      </c>
      <c r="E295" s="8" t="str">
        <f>_xlfn.CONCAT(B295,"(",A295,")"," - ",D295)</f>
        <v>Madhuri Agarwal(E1197) - HR</v>
      </c>
      <c r="F295" s="9" t="str">
        <f>LEFT(E295,FIND("-",E295))</f>
        <v>Madhuri Agarwal(E1197) -</v>
      </c>
      <c r="G295" s="9" t="str">
        <f>RIGHT(E295,LEN(E295)-FIND("-",E295)-1)</f>
        <v>HR</v>
      </c>
      <c r="H295" s="9">
        <f>FIND("-",E295)</f>
        <v>24</v>
      </c>
      <c r="I295" s="9">
        <f>LEN(E295)-FIND("-",E295)</f>
        <v>3</v>
      </c>
      <c r="J295" s="8" t="s">
        <v>76</v>
      </c>
      <c r="K295" s="9" t="str">
        <f>SUBSTITUTE(J295,"a","@",1)</f>
        <v>Pune</v>
      </c>
      <c r="L295" s="8" t="s">
        <v>412</v>
      </c>
      <c r="M295" s="8" t="str">
        <f>TEXT(L295,"dddd")</f>
        <v>Tuesday</v>
      </c>
      <c r="N295" s="8" t="str">
        <f>LEFT(M295,3)</f>
        <v>Tue</v>
      </c>
      <c r="O295" s="8" t="str">
        <f>RIGHT(M295,3)</f>
        <v>day</v>
      </c>
      <c r="P295" s="8">
        <f>MONTH(L295)</f>
        <v>10</v>
      </c>
      <c r="Q295" s="8">
        <f>YEAR(L295)</f>
        <v>2021</v>
      </c>
      <c r="R295" s="8" t="s">
        <v>1202</v>
      </c>
      <c r="S295" s="8">
        <f>HOUR(R295)</f>
        <v>8</v>
      </c>
      <c r="T295" s="8">
        <f>MINUTE(R295)</f>
        <v>28</v>
      </c>
      <c r="U295" s="8">
        <f>SECOND(R295)</f>
        <v>11</v>
      </c>
      <c r="V295" s="8">
        <v>113065</v>
      </c>
      <c r="W295" s="8">
        <v>98895</v>
      </c>
      <c r="X295" s="9" t="str">
        <f>IF(W295&gt;50000,"Highe Target","Low Target")</f>
        <v>Highe Target</v>
      </c>
      <c r="Y295" s="9" t="str">
        <f t="shared" si="4"/>
        <v>Highe target</v>
      </c>
      <c r="Z295" s="9" t="str" cm="1">
        <f t="array" ref="Z295">_xlfn.IFS(W295&lt;60000,"LOWERTarget",W295&lt;80000,"Medium Target",W295,"Highe Target")</f>
        <v>Highe Target</v>
      </c>
      <c r="AA295" s="8" t="s">
        <v>160</v>
      </c>
      <c r="AB295" s="5" t="str">
        <f>UPPER(AA295)</f>
        <v>GOOD COMMUNICATION</v>
      </c>
      <c r="AC295" s="5" t="str">
        <f>LOWER(AA295)</f>
        <v>good communication</v>
      </c>
      <c r="AD295" s="5" t="str">
        <f>PROPER(AA295)</f>
        <v>Good Communication</v>
      </c>
      <c r="AF295" s="6"/>
    </row>
    <row r="296" ht="14.25" customHeight="1" spans="1:32">
      <c r="A296" s="8" t="s">
        <v>1203</v>
      </c>
      <c r="B296" s="8" t="s">
        <v>1204</v>
      </c>
      <c r="C296" s="9">
        <f>LEN(B296)</f>
        <v>12</v>
      </c>
      <c r="D296" s="8" t="s">
        <v>60</v>
      </c>
      <c r="E296" s="8" t="str">
        <f>_xlfn.CONCAT(B296,"(",A296,")"," - ",D296)</f>
        <v>Ritika Verma(E1205) - HR</v>
      </c>
      <c r="F296" s="9" t="str">
        <f>LEFT(E296,FIND("-",E296))</f>
        <v>Ritika Verma(E1205) -</v>
      </c>
      <c r="G296" s="9" t="str">
        <f>RIGHT(E296,LEN(E296)-FIND("-",E296)-1)</f>
        <v>HR</v>
      </c>
      <c r="H296" s="9">
        <f>FIND("-",E296)</f>
        <v>21</v>
      </c>
      <c r="I296" s="9">
        <f>LEN(E296)-FIND("-",E296)</f>
        <v>3</v>
      </c>
      <c r="J296" s="8" t="s">
        <v>53</v>
      </c>
      <c r="K296" s="9" t="str">
        <f>SUBSTITUTE(J296,"a","@",1)</f>
        <v>Delhi</v>
      </c>
      <c r="L296" s="8" t="s">
        <v>1205</v>
      </c>
      <c r="M296" s="8" t="str">
        <f>TEXT(L296,"dddd")</f>
        <v>Friday</v>
      </c>
      <c r="N296" s="8" t="str">
        <f>LEFT(M296,3)</f>
        <v>Fri</v>
      </c>
      <c r="O296" s="8" t="str">
        <f>RIGHT(M296,3)</f>
        <v>day</v>
      </c>
      <c r="P296" s="8">
        <f>MONTH(L296)</f>
        <v>12</v>
      </c>
      <c r="Q296" s="8">
        <f>YEAR(L296)</f>
        <v>2021</v>
      </c>
      <c r="R296" s="8" t="s">
        <v>1206</v>
      </c>
      <c r="S296" s="8">
        <f>HOUR(R296)</f>
        <v>10</v>
      </c>
      <c r="T296" s="8">
        <f>MINUTE(R296)</f>
        <v>39</v>
      </c>
      <c r="U296" s="8">
        <f>SECOND(R296)</f>
        <v>46</v>
      </c>
      <c r="V296" s="8">
        <v>106239</v>
      </c>
      <c r="W296" s="8">
        <v>99113</v>
      </c>
      <c r="X296" s="9" t="str">
        <f>IF(W296&gt;50000,"Highe Target","Low Target")</f>
        <v>Highe Target</v>
      </c>
      <c r="Y296" s="9" t="str">
        <f t="shared" si="4"/>
        <v>Highe target</v>
      </c>
      <c r="Z296" s="9" t="str" cm="1">
        <f t="array" ref="Z296">_xlfn.IFS(W296&lt;60000,"LOWERTarget",W296&lt;80000,"Medium Target",W296,"Highe Target")</f>
        <v>Highe Target</v>
      </c>
      <c r="AA296" s="8" t="s">
        <v>243</v>
      </c>
      <c r="AB296" s="5" t="str">
        <f>UPPER(AA296)</f>
        <v>POSITIVE ATTITUDE</v>
      </c>
      <c r="AC296" s="5" t="str">
        <f>LOWER(AA296)</f>
        <v>positive attitude</v>
      </c>
      <c r="AD296" s="5" t="str">
        <f>PROPER(AA296)</f>
        <v>Positive Attitude</v>
      </c>
      <c r="AF296" s="6"/>
    </row>
    <row r="297" ht="14.25" customHeight="1" spans="1:32">
      <c r="A297" s="8" t="s">
        <v>1207</v>
      </c>
      <c r="B297" s="8" t="s">
        <v>1208</v>
      </c>
      <c r="C297" s="9">
        <f>LEN(B297)</f>
        <v>10</v>
      </c>
      <c r="D297" s="8" t="s">
        <v>35</v>
      </c>
      <c r="E297" s="8" t="str">
        <f>_xlfn.CONCAT(B297,"(",A297,")"," - ",D297)</f>
        <v>Neha Patel(E1211) - Finance</v>
      </c>
      <c r="F297" s="9" t="str">
        <f>LEFT(E297,FIND("-",E297))</f>
        <v>Neha Patel(E1211) -</v>
      </c>
      <c r="G297" s="9" t="str">
        <f>RIGHT(E297,LEN(E297)-FIND("-",E297)-1)</f>
        <v>Finance</v>
      </c>
      <c r="H297" s="9">
        <f>FIND("-",E297)</f>
        <v>19</v>
      </c>
      <c r="I297" s="9">
        <f>LEN(E297)-FIND("-",E297)</f>
        <v>8</v>
      </c>
      <c r="J297" s="8" t="s">
        <v>182</v>
      </c>
      <c r="K297" s="9" t="str">
        <f>SUBSTITUTE(J297,"a","@",1)</f>
        <v>Kolk@ta</v>
      </c>
      <c r="L297" s="8" t="s">
        <v>1209</v>
      </c>
      <c r="M297" s="8" t="str">
        <f>TEXT(L297,"dddd")</f>
        <v>Friday</v>
      </c>
      <c r="N297" s="8" t="str">
        <f>LEFT(M297,3)</f>
        <v>Fri</v>
      </c>
      <c r="O297" s="8" t="str">
        <f>RIGHT(M297,3)</f>
        <v>day</v>
      </c>
      <c r="P297" s="8">
        <f>MONTH(L297)</f>
        <v>6</v>
      </c>
      <c r="Q297" s="8">
        <f>YEAR(L297)</f>
        <v>2024</v>
      </c>
      <c r="R297" s="8" t="s">
        <v>1210</v>
      </c>
      <c r="S297" s="8">
        <f>HOUR(R297)</f>
        <v>9</v>
      </c>
      <c r="T297" s="8">
        <f>MINUTE(R297)</f>
        <v>15</v>
      </c>
      <c r="U297" s="8">
        <f>SECOND(R297)</f>
        <v>55</v>
      </c>
      <c r="V297" s="8">
        <v>94599</v>
      </c>
      <c r="W297" s="8">
        <v>99133</v>
      </c>
      <c r="X297" s="9" t="str">
        <f>IF(W297&gt;50000,"Highe Target","Low Target")</f>
        <v>Highe Target</v>
      </c>
      <c r="Y297" s="9" t="str">
        <f t="shared" si="4"/>
        <v>Highe target</v>
      </c>
      <c r="Z297" s="9" t="str" cm="1">
        <f t="array" ref="Z297">_xlfn.IFS(W297&lt;60000,"LOWERTarget",W297&lt;80000,"Medium Target",W297,"Highe Target")</f>
        <v>Highe Target</v>
      </c>
      <c r="AA297" s="8" t="s">
        <v>243</v>
      </c>
      <c r="AB297" s="5" t="str">
        <f>UPPER(AA297)</f>
        <v>POSITIVE ATTITUDE</v>
      </c>
      <c r="AC297" s="5" t="str">
        <f>LOWER(AA297)</f>
        <v>positive attitude</v>
      </c>
      <c r="AD297" s="5" t="str">
        <f>PROPER(AA297)</f>
        <v>Positive Attitude</v>
      </c>
      <c r="AF297" s="6"/>
    </row>
    <row r="298" ht="14.25" customHeight="1" spans="1:32">
      <c r="A298" s="8" t="s">
        <v>1211</v>
      </c>
      <c r="B298" s="8" t="s">
        <v>1212</v>
      </c>
      <c r="C298" s="9">
        <f>LEN(B298)</f>
        <v>12</v>
      </c>
      <c r="D298" s="8" t="s">
        <v>93</v>
      </c>
      <c r="E298" s="8" t="str">
        <f>_xlfn.CONCAT(B298,"(",A298,")"," - ",D298)</f>
        <v>Rahul Chopra(E1110) - Sales</v>
      </c>
      <c r="F298" s="9" t="str">
        <f>LEFT(E298,FIND("-",E298))</f>
        <v>Rahul Chopra(E1110) -</v>
      </c>
      <c r="G298" s="9" t="str">
        <f>RIGHT(E298,LEN(E298)-FIND("-",E298)-1)</f>
        <v>Sales</v>
      </c>
      <c r="H298" s="9">
        <f>FIND("-",E298)</f>
        <v>21</v>
      </c>
      <c r="I298" s="9">
        <f>LEN(E298)-FIND("-",E298)</f>
        <v>6</v>
      </c>
      <c r="J298" s="8" t="s">
        <v>76</v>
      </c>
      <c r="K298" s="9" t="str">
        <f>SUBSTITUTE(J298,"a","@",1)</f>
        <v>Pune</v>
      </c>
      <c r="L298" s="8" t="s">
        <v>1213</v>
      </c>
      <c r="M298" s="8" t="str">
        <f>TEXT(L298,"dddd")</f>
        <v>Wednesday</v>
      </c>
      <c r="N298" s="8" t="str">
        <f>LEFT(M298,3)</f>
        <v>Wed</v>
      </c>
      <c r="O298" s="8" t="str">
        <f>RIGHT(M298,3)</f>
        <v>day</v>
      </c>
      <c r="P298" s="8">
        <f>MONTH(L298)</f>
        <v>6</v>
      </c>
      <c r="Q298" s="8">
        <f>YEAR(L298)</f>
        <v>2023</v>
      </c>
      <c r="R298" s="8" t="s">
        <v>1214</v>
      </c>
      <c r="S298" s="8">
        <f>HOUR(R298)</f>
        <v>8</v>
      </c>
      <c r="T298" s="8">
        <f>MINUTE(R298)</f>
        <v>44</v>
      </c>
      <c r="U298" s="8">
        <f>SECOND(R298)</f>
        <v>19</v>
      </c>
      <c r="V298" s="8">
        <v>86103</v>
      </c>
      <c r="W298" s="8">
        <v>99206</v>
      </c>
      <c r="X298" s="9" t="str">
        <f>IF(W298&gt;50000,"Highe Target","Low Target")</f>
        <v>Highe Target</v>
      </c>
      <c r="Y298" s="9" t="str">
        <f t="shared" si="4"/>
        <v>Highe target</v>
      </c>
      <c r="Z298" s="9" t="str" cm="1">
        <f t="array" ref="Z298">_xlfn.IFS(W298&lt;60000,"LOWERTarget",W298&lt;80000,"Medium Target",W298,"Highe Target")</f>
        <v>Highe Target</v>
      </c>
      <c r="AA298" s="8" t="s">
        <v>87</v>
      </c>
      <c r="AB298" s="5" t="str">
        <f>UPPER(AA298)</f>
        <v>EXCELLENT SERVICE</v>
      </c>
      <c r="AC298" s="5" t="str">
        <f>LOWER(AA298)</f>
        <v>excellent service</v>
      </c>
      <c r="AD298" s="5" t="str">
        <f>PROPER(AA298)</f>
        <v>Excellent Service</v>
      </c>
      <c r="AF298" s="6"/>
    </row>
    <row r="299" ht="14.25" customHeight="1" spans="1:32">
      <c r="A299" s="8" t="s">
        <v>1215</v>
      </c>
      <c r="B299" s="8" t="s">
        <v>1216</v>
      </c>
      <c r="C299" s="9">
        <f>LEN(B299)</f>
        <v>11</v>
      </c>
      <c r="D299" s="8" t="s">
        <v>93</v>
      </c>
      <c r="E299" s="8" t="str">
        <f>_xlfn.CONCAT(B299,"(",A299,")"," - ",D299)</f>
        <v>Isha Saxena(E1174) - Sales</v>
      </c>
      <c r="F299" s="9" t="str">
        <f>LEFT(E299,FIND("-",E299))</f>
        <v>Isha Saxena(E1174) -</v>
      </c>
      <c r="G299" s="9" t="str">
        <f>RIGHT(E299,LEN(E299)-FIND("-",E299)-1)</f>
        <v>Sales</v>
      </c>
      <c r="H299" s="9">
        <f>FIND("-",E299)</f>
        <v>20</v>
      </c>
      <c r="I299" s="9">
        <f>LEN(E299)-FIND("-",E299)</f>
        <v>6</v>
      </c>
      <c r="J299" s="8" t="s">
        <v>61</v>
      </c>
      <c r="K299" s="9" t="str">
        <f>SUBSTITUTE(J299,"a","@",1)</f>
        <v>Chenn@i</v>
      </c>
      <c r="L299" s="8" t="s">
        <v>1217</v>
      </c>
      <c r="M299" s="8" t="str">
        <f>TEXT(L299,"dddd")</f>
        <v>Monday</v>
      </c>
      <c r="N299" s="8" t="str">
        <f>LEFT(M299,3)</f>
        <v>Mon</v>
      </c>
      <c r="O299" s="8" t="str">
        <f>RIGHT(M299,3)</f>
        <v>day</v>
      </c>
      <c r="P299" s="8">
        <f>MONTH(L299)</f>
        <v>6</v>
      </c>
      <c r="Q299" s="8">
        <f>YEAR(L299)</f>
        <v>2021</v>
      </c>
      <c r="R299" s="8" t="s">
        <v>200</v>
      </c>
      <c r="S299" s="8">
        <f>HOUR(R299)</f>
        <v>8</v>
      </c>
      <c r="T299" s="8">
        <f>MINUTE(R299)</f>
        <v>17</v>
      </c>
      <c r="U299" s="8">
        <f>SECOND(R299)</f>
        <v>28</v>
      </c>
      <c r="V299" s="8">
        <v>117973</v>
      </c>
      <c r="W299" s="8">
        <v>99330</v>
      </c>
      <c r="X299" s="9" t="str">
        <f>IF(W299&gt;50000,"Highe Target","Low Target")</f>
        <v>Highe Target</v>
      </c>
      <c r="Y299" s="9" t="str">
        <f t="shared" si="4"/>
        <v>Highe target</v>
      </c>
      <c r="Z299" s="9" t="str" cm="1">
        <f t="array" ref="Z299">_xlfn.IFS(W299&lt;60000,"LOWERTarget",W299&lt;80000,"Medium Target",W299,"Highe Target")</f>
        <v>Highe Target</v>
      </c>
      <c r="AA299" s="8" t="s">
        <v>285</v>
      </c>
      <c r="AB299" s="5" t="str">
        <f>UPPER(AA299)</f>
        <v>QUICK RESPONSE</v>
      </c>
      <c r="AC299" s="5" t="str">
        <f>LOWER(AA299)</f>
        <v>quick response</v>
      </c>
      <c r="AD299" s="5" t="str">
        <f>PROPER(AA299)</f>
        <v>Quick Response</v>
      </c>
      <c r="AF299" s="6"/>
    </row>
    <row r="300" ht="14.25" customHeight="1" spans="1:32">
      <c r="A300" s="8" t="s">
        <v>1218</v>
      </c>
      <c r="B300" s="8" t="s">
        <v>1219</v>
      </c>
      <c r="C300" s="9">
        <f>LEN(B300)</f>
        <v>12</v>
      </c>
      <c r="D300" s="8" t="s">
        <v>60</v>
      </c>
      <c r="E300" s="8" t="str">
        <f>_xlfn.CONCAT(B300,"(",A300,")"," - ",D300)</f>
        <v>Nidhi Bansal(E1062) - HR</v>
      </c>
      <c r="F300" s="9" t="str">
        <f>LEFT(E300,FIND("-",E300))</f>
        <v>Nidhi Bansal(E1062) -</v>
      </c>
      <c r="G300" s="9" t="str">
        <f>RIGHT(E300,LEN(E300)-FIND("-",E300)-1)</f>
        <v>HR</v>
      </c>
      <c r="H300" s="9">
        <f>FIND("-",E300)</f>
        <v>21</v>
      </c>
      <c r="I300" s="9">
        <f>LEN(E300)-FIND("-",E300)</f>
        <v>3</v>
      </c>
      <c r="J300" s="8" t="s">
        <v>36</v>
      </c>
      <c r="K300" s="9" t="str">
        <f>SUBSTITUTE(J300,"a","@",1)</f>
        <v>Ahmed@bad</v>
      </c>
      <c r="L300" s="8" t="s">
        <v>1220</v>
      </c>
      <c r="M300" s="8" t="str">
        <f>TEXT(L300,"dddd")</f>
        <v>Sunday</v>
      </c>
      <c r="N300" s="8" t="str">
        <f>LEFT(M300,3)</f>
        <v>Sun</v>
      </c>
      <c r="O300" s="8" t="str">
        <f>RIGHT(M300,3)</f>
        <v>day</v>
      </c>
      <c r="P300" s="8">
        <f>MONTH(L300)</f>
        <v>9</v>
      </c>
      <c r="Q300" s="8">
        <f>YEAR(L300)</f>
        <v>2021</v>
      </c>
      <c r="R300" s="8" t="s">
        <v>1221</v>
      </c>
      <c r="S300" s="8">
        <f>HOUR(R300)</f>
        <v>10</v>
      </c>
      <c r="T300" s="8">
        <f>MINUTE(R300)</f>
        <v>34</v>
      </c>
      <c r="U300" s="8">
        <f>SECOND(R300)</f>
        <v>1</v>
      </c>
      <c r="V300" s="8">
        <v>110258</v>
      </c>
      <c r="W300" s="8">
        <v>99436</v>
      </c>
      <c r="X300" s="9" t="str">
        <f>IF(W300&gt;50000,"Highe Target","Low Target")</f>
        <v>Highe Target</v>
      </c>
      <c r="Y300" s="9" t="str">
        <f t="shared" si="4"/>
        <v>Highe target</v>
      </c>
      <c r="Z300" s="9" t="str" cm="1">
        <f t="array" ref="Z300">_xlfn.IFS(W300&lt;60000,"LOWERTarget",W300&lt;80000,"Medium Target",W300,"Highe Target")</f>
        <v>Highe Target</v>
      </c>
      <c r="AA300" s="8" t="s">
        <v>79</v>
      </c>
      <c r="AB300" s="5" t="str">
        <f>UPPER(AA300)</f>
        <v>EXCELLENT LEADERSHIP</v>
      </c>
      <c r="AC300" s="5" t="str">
        <f>LOWER(AA300)</f>
        <v>excellent leadership</v>
      </c>
      <c r="AD300" s="5" t="str">
        <f>PROPER(AA300)</f>
        <v>Excellent Leadership</v>
      </c>
      <c r="AF300" s="6"/>
    </row>
    <row r="301" ht="14.25" customHeight="1" spans="1:32">
      <c r="A301" s="8" t="s">
        <v>1222</v>
      </c>
      <c r="B301" s="8" t="s">
        <v>1223</v>
      </c>
      <c r="C301" s="9">
        <f>LEN(B301)</f>
        <v>14</v>
      </c>
      <c r="D301" s="8" t="s">
        <v>93</v>
      </c>
      <c r="E301" s="8" t="str">
        <f>_xlfn.CONCAT(B301,"(",A301,")"," - ",D301)</f>
        <v>Madhuri Chopra(E1295) - Sales</v>
      </c>
      <c r="F301" s="9" t="str">
        <f>LEFT(E301,FIND("-",E301))</f>
        <v>Madhuri Chopra(E1295) -</v>
      </c>
      <c r="G301" s="9" t="str">
        <f>RIGHT(E301,LEN(E301)-FIND("-",E301)-1)</f>
        <v>Sales</v>
      </c>
      <c r="H301" s="9">
        <f>FIND("-",E301)</f>
        <v>23</v>
      </c>
      <c r="I301" s="9">
        <f>LEN(E301)-FIND("-",E301)</f>
        <v>6</v>
      </c>
      <c r="J301" s="8" t="s">
        <v>172</v>
      </c>
      <c r="K301" s="9" t="str">
        <f>SUBSTITUTE(J301,"a","@",1)</f>
        <v>Hyder@bad</v>
      </c>
      <c r="L301" s="8" t="s">
        <v>1224</v>
      </c>
      <c r="M301" s="8" t="str">
        <f>TEXT(L301,"dddd")</f>
        <v>Saturday</v>
      </c>
      <c r="N301" s="8" t="str">
        <f>LEFT(M301,3)</f>
        <v>Sat</v>
      </c>
      <c r="O301" s="8" t="str">
        <f>RIGHT(M301,3)</f>
        <v>day</v>
      </c>
      <c r="P301" s="8">
        <f>MONTH(L301)</f>
        <v>12</v>
      </c>
      <c r="Q301" s="8">
        <f>YEAR(L301)</f>
        <v>2024</v>
      </c>
      <c r="R301" s="8" t="s">
        <v>1225</v>
      </c>
      <c r="S301" s="8">
        <f>HOUR(R301)</f>
        <v>10</v>
      </c>
      <c r="T301" s="8">
        <f>MINUTE(R301)</f>
        <v>38</v>
      </c>
      <c r="U301" s="8">
        <f>SECOND(R301)</f>
        <v>40</v>
      </c>
      <c r="V301" s="8">
        <v>90495</v>
      </c>
      <c r="W301" s="8">
        <v>99926</v>
      </c>
      <c r="X301" s="9" t="str">
        <f>IF(W301&gt;50000,"Highe Target","Low Target")</f>
        <v>Highe Target</v>
      </c>
      <c r="Y301" s="9" t="str">
        <f t="shared" si="4"/>
        <v>Highe target</v>
      </c>
      <c r="Z301" s="9" t="str" cm="1">
        <f t="array" ref="Z301">_xlfn.IFS(W301&lt;60000,"LOWERTarget",W301&lt;80000,"Medium Target",W301,"Highe Target")</f>
        <v>Highe Target</v>
      </c>
      <c r="AA301" s="8" t="s">
        <v>160</v>
      </c>
      <c r="AB301" s="5" t="str">
        <f>UPPER(AA301)</f>
        <v>GOOD COMMUNICATION</v>
      </c>
      <c r="AC301" s="5" t="str">
        <f>LOWER(AA301)</f>
        <v>good communication</v>
      </c>
      <c r="AD301" s="5" t="str">
        <f>PROPER(AA301)</f>
        <v>Good Communication</v>
      </c>
      <c r="AF301" s="6"/>
    </row>
    <row r="302" ht="14.25" customHeight="1" spans="1:32">
      <c r="V302">
        <f>SUM(V2:V301)</f>
        <v>21622710</v>
      </c>
      <c r="W302">
        <f>SUM(W2:W301)</f>
        <v>21015519</v>
      </c>
    </row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H5:AJ5"/>
    <mergeCell ref="AH15:AJ15"/>
  </mergeCells>
  <pageMargins left="0.75" right="0.75" top="1" bottom="1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singh</cp:lastModifiedBy>
  <dcterms:created xsi:type="dcterms:W3CDTF">2026-08-06T06:11:00Z</dcterms:created>
  <dcterms:modified xsi:type="dcterms:W3CDTF">2026-08-10T07:39:21Z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36C2AE51EF564D2EA1DA66CC38B65ACD_13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