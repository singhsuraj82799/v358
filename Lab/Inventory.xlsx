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<sst xmlns="http://schemas.openxmlformats.org/spreadsheetml/2006/main" count="62" uniqueCount="43">
  <si>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</si>
  <si>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</si>
  <si>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</si>
  <si>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</si>
  <si>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</si>
  <si>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</si>
  <si>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</si>
  <si>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Total ST+ Ord+Back</t>
  </si>
  <si>
    <t>Multiply H*D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</si>
  <si>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</si>
  <si>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</si>
  <si>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</si>
  <si>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</si>
  <si>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</si>
  <si>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</si>
  <si>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</si>
  <si>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</si>
  <si>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</si>
  <si>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</si>
  <si>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</si>
  <si>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</si>
  <si>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</si>
  <si>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</si>
  <si>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</si>
  <si>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</si>
  <si>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</si>
  <si>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</si>
  <si>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</si>
  <si>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</si>
  <si>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</si>
  <si>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</si>
  <si>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</si>
  <si>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</si>
  <si>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</si>
  <si>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</si>
  <si>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</si>
  <si>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</si>
  <si>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</si>
  <si>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</si>
  <si>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</si>
  <si>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</si>
  <si>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Minimum Unit Prise</t>
  </si>
  <si>
    <t>Maximum unit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</si>
</sst>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4"/>
      <color theme="1"/>
      <name val="Arial"/>
      <charset val="134"/>
      <scheme val="minor"/>
    </font>
    <font>
      <b/>
      <sz val="14"/>
      <color theme="1"/>
      <name val="Arial"/>
      <charset val="134"/>
    </font>
    <font>
      <b/>
      <sz val="11"/>
      <color theme="1"/>
      <name val="Arial"/>
      <charset val="134"/>
      <scheme val="minor"/>
    </font>
    <font>
      <sz val="14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3" xfId="0" applyFont="1" applyBorder="1" applyAlignment="1"/>
    <xf numFmtId="0" fontId="0" fillId="2" borderId="3" xfId="0" applyFont="1" applyFill="1" applyBorder="1" applyAlignment="1"/>
    <xf numFmtId="0" fontId="0" fillId="2" borderId="6" xfId="0" applyFont="1" applyFill="1" applyBorder="1" applyAlignment="1"/>
    <xf numFmtId="0" fontId="0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/>
    <xf numFmtId="0" fontId="0" fillId="3" borderId="3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abSelected="1" workbookViewId="0">
      <selection activeCell="K7" sqref="K7"/>
    </sheetView>
  </sheetViews>
  <sheetFormatPr defaultColWidth="9.18125" defaultRowHeight="15" customHeight="1"/>
  <cols>
    <col min="1" max="1" width="19.725" customWidth="1"/>
    <col min="2" max="2" width="13.0875" customWidth="1"/>
    <col min="3" max="3" width="10.54375" customWidth="1"/>
    <col min="4" max="4" width="12" customWidth="1"/>
    <col min="5" max="5" width="15.81875" customWidth="1"/>
    <col min="6" max="6" width="18.0875" customWidth="1"/>
    <col min="7" max="7" width="19.63125" customWidth="1"/>
    <col min="8" max="8" width="14.5625" customWidth="1"/>
    <col min="9" max="9" width="10.3125" customWidth="1"/>
    <col min="10" max="27" width="8.45625" customWidth="1"/>
  </cols>
  <sheetData>
    <row r="1" ht="17.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</row>
    <row r="2" ht="17.25" customHeight="1" spans="1:9">
      <c r="A2" s="5" t="s">
        <v>9</v>
      </c>
      <c r="B2" s="5" t="s">
        <v>10</v>
      </c>
      <c r="C2" s="5" t="s">
        <v>11</v>
      </c>
      <c r="D2" s="5">
        <v>59.99</v>
      </c>
      <c r="E2" s="5">
        <v>10</v>
      </c>
      <c r="F2" s="5">
        <v>100</v>
      </c>
      <c r="G2" s="6">
        <v>100</v>
      </c>
      <c r="H2" s="4">
        <f>E2+F2+G2</f>
        <v>210</v>
      </c>
      <c r="I2" s="4">
        <f>H2*D2</f>
        <v>12597.9</v>
      </c>
    </row>
    <row r="3" ht="17.25" customHeight="1" spans="1:9">
      <c r="A3" s="5" t="s">
        <v>12</v>
      </c>
      <c r="B3" s="5" t="s">
        <v>13</v>
      </c>
      <c r="C3" s="5" t="s">
        <v>14</v>
      </c>
      <c r="D3" s="5">
        <v>7.99</v>
      </c>
      <c r="E3" s="5">
        <v>250</v>
      </c>
      <c r="F3" s="5">
        <v>300</v>
      </c>
      <c r="G3" s="6">
        <v>100</v>
      </c>
      <c r="H3" s="4">
        <f t="shared" ref="H3:H18" si="0">E3+F3+G3</f>
        <v>650</v>
      </c>
      <c r="I3" s="4">
        <f t="shared" ref="I3:I18" si="1">H3*D3</f>
        <v>5193.5</v>
      </c>
    </row>
    <row r="4" ht="17.25" customHeight="1" spans="1:9">
      <c r="A4" s="5" t="s">
        <v>15</v>
      </c>
      <c r="B4" s="5" t="s">
        <v>16</v>
      </c>
      <c r="C4" s="5" t="s">
        <v>14</v>
      </c>
      <c r="D4" s="5">
        <v>6.99</v>
      </c>
      <c r="E4" s="5">
        <v>225</v>
      </c>
      <c r="F4" s="5">
        <v>225</v>
      </c>
      <c r="G4" s="6">
        <v>100</v>
      </c>
      <c r="H4" s="4">
        <f t="shared" si="0"/>
        <v>550</v>
      </c>
      <c r="I4" s="4">
        <f t="shared" si="1"/>
        <v>3844.5</v>
      </c>
    </row>
    <row r="5" ht="17.25" customHeight="1" spans="1:9">
      <c r="A5" s="5" t="s">
        <v>17</v>
      </c>
      <c r="B5" s="5" t="s">
        <v>18</v>
      </c>
      <c r="C5" s="5" t="s">
        <v>19</v>
      </c>
      <c r="D5" s="5">
        <v>8.99</v>
      </c>
      <c r="E5" s="5">
        <v>100</v>
      </c>
      <c r="F5" s="5">
        <v>100</v>
      </c>
      <c r="G5" s="6">
        <v>0</v>
      </c>
      <c r="H5" s="4">
        <f t="shared" si="0"/>
        <v>200</v>
      </c>
      <c r="I5" s="4">
        <f t="shared" si="1"/>
        <v>1798</v>
      </c>
    </row>
    <row r="6" ht="17.25" customHeight="1" spans="1:9">
      <c r="A6" s="5" t="s">
        <v>20</v>
      </c>
      <c r="B6" s="5" t="s">
        <v>21</v>
      </c>
      <c r="C6" s="5" t="s">
        <v>22</v>
      </c>
      <c r="D6" s="5">
        <v>149.99</v>
      </c>
      <c r="E6" s="5">
        <v>5</v>
      </c>
      <c r="F6" s="5">
        <v>2</v>
      </c>
      <c r="G6" s="6">
        <v>1</v>
      </c>
      <c r="H6" s="4">
        <f t="shared" si="0"/>
        <v>8</v>
      </c>
      <c r="I6" s="4">
        <f t="shared" si="1"/>
        <v>1199.92</v>
      </c>
    </row>
    <row r="7" ht="17.25" customHeight="1" spans="1:9">
      <c r="A7" s="5" t="s">
        <v>23</v>
      </c>
      <c r="B7" s="5" t="s">
        <v>10</v>
      </c>
      <c r="C7" s="5" t="s">
        <v>22</v>
      </c>
      <c r="D7" s="5">
        <v>450</v>
      </c>
      <c r="E7" s="5">
        <v>2</v>
      </c>
      <c r="F7" s="5">
        <v>15</v>
      </c>
      <c r="G7" s="6">
        <v>15</v>
      </c>
      <c r="H7" s="4">
        <f t="shared" si="0"/>
        <v>32</v>
      </c>
      <c r="I7" s="4">
        <f t="shared" si="1"/>
        <v>14400</v>
      </c>
    </row>
    <row r="8" ht="17.25" customHeight="1" spans="1:9">
      <c r="A8" s="5" t="s">
        <v>24</v>
      </c>
      <c r="B8" s="5" t="s">
        <v>18</v>
      </c>
      <c r="C8" s="5" t="s">
        <v>25</v>
      </c>
      <c r="D8" s="5">
        <v>15.49</v>
      </c>
      <c r="E8" s="5">
        <v>75</v>
      </c>
      <c r="F8" s="5">
        <v>50</v>
      </c>
      <c r="G8" s="6">
        <v>20</v>
      </c>
      <c r="H8" s="4">
        <f t="shared" si="0"/>
        <v>145</v>
      </c>
      <c r="I8" s="4">
        <f t="shared" si="1"/>
        <v>2246.05</v>
      </c>
    </row>
    <row r="9" ht="17.25" customHeight="1" spans="1:9">
      <c r="A9" s="5" t="s">
        <v>26</v>
      </c>
      <c r="B9" s="5" t="s">
        <v>10</v>
      </c>
      <c r="C9" s="5" t="s">
        <v>27</v>
      </c>
      <c r="D9" s="5">
        <v>17.99</v>
      </c>
      <c r="E9" s="5">
        <v>547</v>
      </c>
      <c r="F9" s="5">
        <v>1000</v>
      </c>
      <c r="G9" s="6">
        <v>0</v>
      </c>
      <c r="H9" s="4">
        <f t="shared" si="0"/>
        <v>1547</v>
      </c>
      <c r="I9" s="4">
        <f t="shared" si="1"/>
        <v>27830.53</v>
      </c>
    </row>
    <row r="10" ht="17.25" customHeight="1" spans="1:9">
      <c r="A10" s="5" t="s">
        <v>28</v>
      </c>
      <c r="B10" s="5" t="s">
        <v>21</v>
      </c>
      <c r="C10" s="5" t="s">
        <v>29</v>
      </c>
      <c r="D10" s="5">
        <v>99.99</v>
      </c>
      <c r="E10" s="5">
        <v>10</v>
      </c>
      <c r="F10" s="5">
        <v>2</v>
      </c>
      <c r="G10" s="6">
        <v>0</v>
      </c>
      <c r="H10" s="4">
        <f t="shared" si="0"/>
        <v>12</v>
      </c>
      <c r="I10" s="4">
        <f t="shared" si="1"/>
        <v>1199.88</v>
      </c>
    </row>
    <row r="11" ht="17.25" customHeight="1" spans="1:9">
      <c r="A11" s="5" t="s">
        <v>30</v>
      </c>
      <c r="B11" s="5" t="s">
        <v>21</v>
      </c>
      <c r="C11" s="5" t="s">
        <v>31</v>
      </c>
      <c r="D11" s="5">
        <v>5.99</v>
      </c>
      <c r="E11" s="5">
        <v>50</v>
      </c>
      <c r="F11" s="5">
        <v>1000</v>
      </c>
      <c r="G11" s="6">
        <v>0</v>
      </c>
      <c r="H11" s="4">
        <f t="shared" si="0"/>
        <v>1050</v>
      </c>
      <c r="I11" s="4">
        <f t="shared" si="1"/>
        <v>6289.5</v>
      </c>
    </row>
    <row r="12" ht="17.25" customHeight="1" spans="1:9">
      <c r="A12" s="5" t="s">
        <v>32</v>
      </c>
      <c r="B12" s="5" t="s">
        <v>13</v>
      </c>
      <c r="C12" s="5" t="s">
        <v>33</v>
      </c>
      <c r="D12" s="5">
        <v>2.99</v>
      </c>
      <c r="E12" s="5">
        <v>2350</v>
      </c>
      <c r="F12" s="5">
        <v>525</v>
      </c>
      <c r="G12" s="6">
        <v>0</v>
      </c>
      <c r="H12" s="4">
        <f t="shared" si="0"/>
        <v>2875</v>
      </c>
      <c r="I12" s="4">
        <f t="shared" si="1"/>
        <v>8596.25</v>
      </c>
    </row>
    <row r="13" ht="17.25" customHeight="1" spans="1:9">
      <c r="A13" s="5" t="s">
        <v>34</v>
      </c>
      <c r="B13" s="5" t="s">
        <v>16</v>
      </c>
      <c r="C13" s="5" t="s">
        <v>35</v>
      </c>
      <c r="D13" s="5">
        <v>3.99</v>
      </c>
      <c r="E13" s="5">
        <v>1500</v>
      </c>
      <c r="F13" s="5">
        <v>1000</v>
      </c>
      <c r="G13" s="6">
        <v>0</v>
      </c>
      <c r="H13" s="4">
        <f t="shared" si="0"/>
        <v>2500</v>
      </c>
      <c r="I13" s="4">
        <f t="shared" si="1"/>
        <v>9975</v>
      </c>
    </row>
    <row r="14" ht="17.25" customHeight="1" spans="1:9">
      <c r="A14" s="5" t="s">
        <v>36</v>
      </c>
      <c r="B14" s="5" t="s">
        <v>16</v>
      </c>
      <c r="C14" s="5" t="s">
        <v>33</v>
      </c>
      <c r="D14" s="5">
        <v>3.99</v>
      </c>
      <c r="E14" s="5">
        <v>3000</v>
      </c>
      <c r="F14" s="5">
        <v>2000</v>
      </c>
      <c r="G14" s="6">
        <v>0</v>
      </c>
      <c r="H14" s="4">
        <f t="shared" si="0"/>
        <v>5000</v>
      </c>
      <c r="I14" s="4">
        <f t="shared" si="1"/>
        <v>19950</v>
      </c>
    </row>
    <row r="15" ht="17.25" customHeight="1" spans="1:9">
      <c r="A15" s="5" t="s">
        <v>36</v>
      </c>
      <c r="B15" s="5" t="s">
        <v>13</v>
      </c>
      <c r="C15" s="5" t="s">
        <v>33</v>
      </c>
      <c r="D15" s="5">
        <v>3.99</v>
      </c>
      <c r="E15" s="5">
        <v>3000</v>
      </c>
      <c r="F15" s="5">
        <v>2000</v>
      </c>
      <c r="G15" s="6">
        <v>0</v>
      </c>
      <c r="H15" s="4">
        <f t="shared" si="0"/>
        <v>5000</v>
      </c>
      <c r="I15" s="4">
        <f t="shared" si="1"/>
        <v>19950</v>
      </c>
    </row>
    <row r="16" ht="17.25" customHeight="1" spans="1:9">
      <c r="A16" s="5" t="s">
        <v>37</v>
      </c>
      <c r="B16" s="5" t="s">
        <v>10</v>
      </c>
      <c r="C16" s="5" t="s">
        <v>29</v>
      </c>
      <c r="D16" s="5">
        <v>1.99</v>
      </c>
      <c r="E16" s="5">
        <v>500</v>
      </c>
      <c r="F16" s="5">
        <v>250</v>
      </c>
      <c r="G16" s="6">
        <v>0</v>
      </c>
      <c r="H16" s="4">
        <f t="shared" si="0"/>
        <v>750</v>
      </c>
      <c r="I16" s="4">
        <f t="shared" si="1"/>
        <v>1492.5</v>
      </c>
    </row>
    <row r="17" ht="17.25" customHeight="1" spans="1:9">
      <c r="A17" s="5" t="s">
        <v>38</v>
      </c>
      <c r="B17" s="5" t="s">
        <v>18</v>
      </c>
      <c r="C17" s="5" t="s">
        <v>39</v>
      </c>
      <c r="D17" s="5">
        <v>4.99</v>
      </c>
      <c r="E17" s="5">
        <v>1000</v>
      </c>
      <c r="F17" s="5">
        <v>500</v>
      </c>
      <c r="G17" s="6">
        <v>500</v>
      </c>
      <c r="H17" s="4">
        <f t="shared" si="0"/>
        <v>2000</v>
      </c>
      <c r="I17" s="4">
        <f t="shared" si="1"/>
        <v>9980</v>
      </c>
    </row>
    <row r="18" ht="17.25" customHeight="1" spans="1:9">
      <c r="A18" s="5" t="s">
        <v>40</v>
      </c>
      <c r="B18" s="5" t="s">
        <v>18</v>
      </c>
      <c r="C18" s="7" t="s">
        <v>39</v>
      </c>
      <c r="D18" s="7">
        <v>8.99</v>
      </c>
      <c r="E18" s="7">
        <v>1000</v>
      </c>
      <c r="F18" s="7">
        <v>500</v>
      </c>
      <c r="G18" s="8">
        <v>500</v>
      </c>
      <c r="H18" s="4">
        <f t="shared" si="0"/>
        <v>2000</v>
      </c>
      <c r="I18" s="4">
        <f t="shared" si="1"/>
        <v>17980</v>
      </c>
    </row>
    <row r="19" ht="17.25" customHeight="1" spans="1:9">
      <c r="C19" s="9"/>
      <c r="D19" s="10">
        <f>SUM(D2:D18)</f>
        <v>854.34</v>
      </c>
      <c r="E19" s="10">
        <f>SUM(E2:E18)</f>
        <v>13624</v>
      </c>
      <c r="F19" s="10">
        <f>SUM(F2:F18)</f>
        <v>9569</v>
      </c>
      <c r="G19" s="11">
        <f>SUM(G2:G18)</f>
        <v>1336</v>
      </c>
      <c r="H19" s="12">
        <f>SUM(H2:H18)</f>
        <v>24529</v>
      </c>
      <c r="I19" s="12">
        <f>SUM(I2:I18)</f>
        <v>164523.53</v>
      </c>
    </row>
    <row r="20" ht="17.25" customHeight="1"/>
    <row r="21" ht="17.25" customHeight="1" spans="1:9">
      <c r="D21" s="13" t="s">
        <v>41</v>
      </c>
    </row>
    <row r="22" ht="17.25" customHeight="1" spans="1:9">
      <c r="D22" s="14">
        <f>MIN(D2:D18)</f>
        <v>1.99</v>
      </c>
    </row>
    <row r="23" ht="17.25" customHeight="1" spans="1:9">
      <c r="D23" s="13" t="s">
        <v>42</v>
      </c>
    </row>
    <row r="24" ht="17.25" customHeight="1" spans="1:9">
      <c r="D24" s="14">
        <f>MAX(D2:D18)</f>
        <v>450</v>
      </c>
    </row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9.18125" defaultRowHeight="15" customHeight="1"/>
  <cols>
    <col min="1" max="26" width="8.45625" customWidth="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9.18125" defaultRowHeight="15" customHeight="1"/>
  <cols>
    <col min="1" max="26" width="8.45625" customWidth="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Suraj singh</cp:lastModifiedBy>
  <dcterms:created xsi:type="dcterms:W3CDTF">2021-08-30T06:40:00Z</dcterms:created>
  <dcterms:modified xsi:type="dcterms:W3CDTF">2026-09-02T08:25:51Z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175B08FEB54145AC9125DE179F8ADCDD_12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