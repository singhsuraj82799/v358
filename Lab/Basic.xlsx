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 activeTab="1"/>
  </bookViews>
  <sheets>
    <sheet name="Questions" sheetId="1" r:id="rId1"/>
    <sheet name="data" sheetId="2" r:id="rId2"/>
  </sheets>
  <definedNames>
    <definedName name="Sales">data!$F$1:$F$151+data!$F$2:$F$151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<sst xmlns="http://schemas.openxmlformats.org/spreadsheetml/2006/main" count="346" uniqueCount="68">
  <si>
    <t>📘 Basic Excel Assignment: Sales Data Analysis</t>
  </si>
  <si>
    <t>🎯 Objective:</t>
  </si>
  <si>
    <r>
      <rPr>
        <sz val="11"/>
        <color theme="1"/>
        <rFont val="Calibri"/>
        <charset val="134"/>
        <scheme val="minor"/>
      </rPr>
      <t xml:space="preserve">Learn to use basic Excel functions like </t>
    </r>
    <r>
      <rPr>
        <b/>
        <sz val="11"/>
        <color theme="1"/>
        <rFont val="Calibri"/>
        <charset val="134"/>
        <scheme val="minor"/>
      </rPr>
      <t>SUM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COUNT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AVERAGE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MIN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MAX</t>
    </r>
    <r>
      <rPr>
        <sz val="11"/>
        <color theme="1"/>
        <rFont val="Calibri"/>
        <charset val="134"/>
        <scheme val="minor"/>
      </rPr>
      <t xml:space="preserve">, and </t>
    </r>
    <r>
      <rPr>
        <b/>
        <sz val="11"/>
        <color theme="1"/>
        <rFont val="Calibri"/>
        <charset val="134"/>
        <scheme val="minor"/>
      </rPr>
      <t>DATE/TIME</t>
    </r>
    <r>
      <rPr>
        <sz val="11"/>
        <color theme="1"/>
        <rFont val="Calibri"/>
        <charset val="134"/>
        <scheme val="minor"/>
      </rPr>
      <t xml:space="preserve"> on a simple dataset.</t>
    </r>
  </si>
  <si>
    <t>🧾 Scenario:</t>
  </si>
  <si>
    <t>You are given a grocery store’s sales data for one week. Your task is to analyze the sales using basic Excel functions.</t>
  </si>
  <si>
    <t>✅ Tasks (With Step-by-Step Instructions)</t>
  </si>
  <si>
    <t>🔢 1. Calculate Total Sales</t>
  </si>
  <si>
    <t>In the "Total Sales" column, calculate total sales for each row by multiplying "Quantity Sold" with "Price per Unit".</t>
  </si>
  <si>
    <t>This helps you find out how much revenue was earned from each transaction.</t>
  </si>
  <si>
    <t>After entering the formula once, drag it down to apply it to all rows.</t>
  </si>
  <si>
    <t>➕ 2. Find Total Revenue</t>
  </si>
  <si>
    <t>Use a blank cell below or beside your data to calculate the total of all sales.</t>
  </si>
  <si>
    <r>
      <rPr>
        <sz val="11"/>
        <color theme="1"/>
        <rFont val="Calibri"/>
        <charset val="134"/>
        <scheme val="minor"/>
      </rPr>
      <t xml:space="preserve">This will show the </t>
    </r>
    <r>
      <rPr>
        <b/>
        <sz val="11"/>
        <color theme="1"/>
        <rFont val="Calibri"/>
        <charset val="134"/>
        <scheme val="minor"/>
      </rPr>
      <t>overall income</t>
    </r>
    <r>
      <rPr>
        <sz val="11"/>
        <color theme="1"/>
        <rFont val="Calibri"/>
        <charset val="134"/>
        <scheme val="minor"/>
      </rPr>
      <t xml:space="preserve"> earned during the week.</t>
    </r>
  </si>
  <si>
    <t>🔢 3. Count the Number of Transactions</t>
  </si>
  <si>
    <t>Count how many transactions were recorded (i.e., number of entries in the Total Sales column).</t>
  </si>
  <si>
    <t>This helps in understanding how busy the store was during the week.</t>
  </si>
  <si>
    <t>📉 4. Find the Minimum Sale Value</t>
  </si>
  <si>
    <r>
      <rPr>
        <sz val="11"/>
        <color theme="1"/>
        <rFont val="Calibri"/>
        <charset val="134"/>
        <scheme val="minor"/>
      </rPr>
      <t xml:space="preserve">Identify the </t>
    </r>
    <r>
      <rPr>
        <b/>
        <sz val="11"/>
        <color theme="1"/>
        <rFont val="Calibri"/>
        <charset val="134"/>
        <scheme val="minor"/>
      </rPr>
      <t>lowest</t>
    </r>
    <r>
      <rPr>
        <sz val="11"/>
        <color theme="1"/>
        <rFont val="Calibri"/>
        <charset val="134"/>
        <scheme val="minor"/>
      </rPr>
      <t xml:space="preserve"> total sales value from the column.</t>
    </r>
  </si>
  <si>
    <t>Useful to see which transaction performed the worst.</t>
  </si>
  <si>
    <t>📈 5. Find the Maximum Sale Value</t>
  </si>
  <si>
    <r>
      <rPr>
        <sz val="11"/>
        <color theme="1"/>
        <rFont val="Calibri"/>
        <charset val="134"/>
        <scheme val="minor"/>
      </rPr>
      <t xml:space="preserve">Find the </t>
    </r>
    <r>
      <rPr>
        <b/>
        <sz val="11"/>
        <color theme="1"/>
        <rFont val="Calibri"/>
        <charset val="134"/>
        <scheme val="minor"/>
      </rPr>
      <t>highest</t>
    </r>
    <r>
      <rPr>
        <sz val="11"/>
        <color theme="1"/>
        <rFont val="Calibri"/>
        <charset val="134"/>
        <scheme val="minor"/>
      </rPr>
      <t xml:space="preserve"> total sales value from the column.</t>
    </r>
  </si>
  <si>
    <t>This tells which sale was the most profitable.</t>
  </si>
  <si>
    <t>📊 6. Calculate the Average Sale Value</t>
  </si>
  <si>
    <t>Find the average (mean) of total sales.</t>
  </si>
  <si>
    <t>This gives insight into the typical value of a sale at the store.</t>
  </si>
  <si>
    <t>📅 7. Extract Day of the Week</t>
  </si>
  <si>
    <t>Add a new column next to "Date" called "Day".</t>
  </si>
  <si>
    <t>Use a function to display the day (e.g., Monday, Tuesday) corresponding to each date.</t>
  </si>
  <si>
    <t>This can help identify sales trends by day of the week.</t>
  </si>
  <si>
    <t>⏰ 8. Display the Current Date and Time</t>
  </si>
  <si>
    <t>In a new cell, display the current date and time using a built-in Excel function.</t>
  </si>
  <si>
    <t>Useful for showing when the report was last generated or updated.</t>
  </si>
  <si>
    <t>📝 Submission Instructions:</t>
  </si>
  <si>
    <r>
      <rPr>
        <sz val="11"/>
        <color theme="1"/>
        <rFont val="Calibri"/>
        <charset val="134"/>
        <scheme val="minor"/>
      </rPr>
      <t xml:space="preserve">Save the file as </t>
    </r>
    <r>
      <rPr>
        <sz val="10"/>
        <color theme="1"/>
        <rFont val="Arial Unicode MS"/>
        <charset val="134"/>
      </rPr>
      <t>Sales_Analysis.xlsx</t>
    </r>
    <r>
      <rPr>
        <sz val="11"/>
        <color theme="1"/>
        <rFont val="Calibri"/>
        <charset val="134"/>
        <scheme val="minor"/>
      </rPr>
      <t>.</t>
    </r>
  </si>
  <si>
    <t>Date</t>
  </si>
  <si>
    <t>Day</t>
  </si>
  <si>
    <t>Item</t>
  </si>
  <si>
    <t>Quantity Sold</t>
  </si>
  <si>
    <t>Price per Unit</t>
  </si>
  <si>
    <t>Total Sales</t>
  </si>
  <si>
    <t>09-06-2025</t>
  </si>
  <si>
    <t>Grapes</t>
  </si>
  <si>
    <t>13-06-2025</t>
  </si>
  <si>
    <t>Apples</t>
  </si>
  <si>
    <t>01-06-2025</t>
  </si>
  <si>
    <t>05-06-2025</t>
  </si>
  <si>
    <t>Papaya</t>
  </si>
  <si>
    <t>Overall Revenue</t>
  </si>
  <si>
    <t>12-06-2025</t>
  </si>
  <si>
    <t xml:space="preserve"> Number of Transactions</t>
  </si>
  <si>
    <t>04-06-2025</t>
  </si>
  <si>
    <t>Mangoes</t>
  </si>
  <si>
    <t>Minimum Sale Value</t>
  </si>
  <si>
    <t>Maximum Sale Value</t>
  </si>
  <si>
    <t>14-06-2025</t>
  </si>
  <si>
    <t xml:space="preserve"> Average Sale Value</t>
  </si>
  <si>
    <t>Bananas</t>
  </si>
  <si>
    <t>Current Time</t>
  </si>
  <si>
    <t>Oranges</t>
  </si>
  <si>
    <t>Pineapple</t>
  </si>
  <si>
    <t>15-06-2025</t>
  </si>
  <si>
    <t>03-06-2025</t>
  </si>
  <si>
    <t>06-06-2025</t>
  </si>
  <si>
    <t>02-06-2025</t>
  </si>
  <si>
    <t>10-06-2025</t>
  </si>
  <si>
    <t>08-06-2025</t>
  </si>
  <si>
    <t>07-06-2025</t>
  </si>
  <si>
    <t>11-06-2025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</si>
</sst>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3.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Arial Unicode MS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B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180" fontId="0" fillId="2" borderId="1" xfId="0" applyNumberFormat="1" applyFill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FB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97"/>
  <sheetViews>
    <sheetView zoomScale="90" zoomScaleNormal="90" topLeftCell="A27" workbookViewId="0">
      <selection activeCell="K40" sqref="K40"/>
    </sheetView>
  </sheetViews>
  <sheetFormatPr defaultColWidth="9" defaultRowHeight="14.5"/>
  <sheetData>
    <row r="4" ht="23.5" spans="1:1">
      <c r="A4" s="4" t="s">
        <v>0</v>
      </c>
    </row>
    <row r="6" ht="17.5" spans="1:1">
      <c r="A6" s="5" t="s">
        <v>1</v>
      </c>
    </row>
    <row r="8" spans="1:1">
      <c r="A8" t="s">
        <v>2</v>
      </c>
    </row>
    <row r="12" ht="23.5" spans="1:1">
      <c r="A12" s="4" t="s">
        <v>3</v>
      </c>
    </row>
    <row r="14" spans="1:1">
      <c r="A14" t="s">
        <v>4</v>
      </c>
    </row>
    <row r="20" ht="23.5" spans="1:1">
      <c r="A20" s="4" t="s">
        <v>5</v>
      </c>
    </row>
    <row r="24" ht="17.5" spans="1:1">
      <c r="A24" s="5" t="s">
        <v>6</v>
      </c>
    </row>
    <row r="25" spans="1:1">
      <c r="A25" s="6"/>
    </row>
    <row r="26" spans="1:1">
      <c r="A26" s="6" t="s">
        <v>7</v>
      </c>
    </row>
    <row r="27" spans="1:1">
      <c r="A27" s="6"/>
    </row>
    <row r="28" spans="1:1">
      <c r="A28" s="6" t="s">
        <v>8</v>
      </c>
    </row>
    <row r="29" spans="1:1">
      <c r="A29" s="6"/>
    </row>
    <row r="30" spans="1:1">
      <c r="A30" s="6" t="s">
        <v>9</v>
      </c>
    </row>
    <row r="34" ht="17.5" spans="1:1">
      <c r="A34" s="5" t="s">
        <v>10</v>
      </c>
    </row>
    <row r="35" spans="1:1">
      <c r="A35" s="6"/>
    </row>
    <row r="36" spans="1:1">
      <c r="A36" s="6" t="s">
        <v>11</v>
      </c>
    </row>
    <row r="37" spans="1:1">
      <c r="A37" s="6"/>
    </row>
    <row r="38" spans="1:1">
      <c r="A38" s="6" t="s">
        <v>12</v>
      </c>
    </row>
    <row r="42" ht="17.5" spans="1:1">
      <c r="A42" s="5" t="s">
        <v>13</v>
      </c>
    </row>
    <row r="43" spans="1:1">
      <c r="A43" s="6"/>
    </row>
    <row r="44" spans="1:1">
      <c r="A44" s="6" t="s">
        <v>14</v>
      </c>
    </row>
    <row r="45" spans="1:1">
      <c r="A45" s="6"/>
    </row>
    <row r="46" spans="1:1">
      <c r="A46" s="6" t="s">
        <v>15</v>
      </c>
    </row>
    <row r="50" ht="17.5" spans="1:1">
      <c r="A50" s="5" t="s">
        <v>16</v>
      </c>
    </row>
    <row r="51" spans="1:1">
      <c r="A51" s="6"/>
    </row>
    <row r="52" spans="1:1">
      <c r="A52" s="6" t="s">
        <v>17</v>
      </c>
    </row>
    <row r="53" spans="1:1">
      <c r="A53" s="6"/>
    </row>
    <row r="54" spans="1:1">
      <c r="A54" s="6" t="s">
        <v>18</v>
      </c>
    </row>
    <row r="58" ht="17.5" spans="1:1">
      <c r="A58" s="5" t="s">
        <v>19</v>
      </c>
    </row>
    <row r="59" spans="1:1">
      <c r="A59" s="6"/>
    </row>
    <row r="60" spans="1:1">
      <c r="A60" s="6" t="s">
        <v>20</v>
      </c>
    </row>
    <row r="61" spans="1:1">
      <c r="A61" s="6"/>
    </row>
    <row r="62" spans="1:1">
      <c r="A62" s="6" t="s">
        <v>21</v>
      </c>
    </row>
    <row r="66" ht="17.5" spans="1:1">
      <c r="A66" s="5" t="s">
        <v>22</v>
      </c>
    </row>
    <row r="67" spans="1:1">
      <c r="A67" s="6"/>
    </row>
    <row r="68" spans="1:1">
      <c r="A68" s="6" t="s">
        <v>23</v>
      </c>
    </row>
    <row r="69" spans="1:1">
      <c r="A69" s="6"/>
    </row>
    <row r="70" spans="1:1">
      <c r="A70" s="6" t="s">
        <v>24</v>
      </c>
    </row>
    <row r="74" ht="17.5" spans="1:1">
      <c r="A74" s="5" t="s">
        <v>25</v>
      </c>
    </row>
    <row r="75" spans="1:1">
      <c r="A75" s="6"/>
    </row>
    <row r="76" spans="1:1">
      <c r="A76" s="6" t="s">
        <v>26</v>
      </c>
    </row>
    <row r="77" spans="1:1">
      <c r="A77" s="6"/>
    </row>
    <row r="78" spans="1:1">
      <c r="A78" s="6" t="s">
        <v>27</v>
      </c>
    </row>
    <row r="79" spans="1:1">
      <c r="A79" s="6"/>
    </row>
    <row r="80" spans="1:1">
      <c r="A80" s="6" t="s">
        <v>28</v>
      </c>
    </row>
    <row r="84" ht="17.5" spans="1:1">
      <c r="A84" s="5" t="s">
        <v>29</v>
      </c>
    </row>
    <row r="85" spans="1:1">
      <c r="A85" s="6"/>
    </row>
    <row r="86" spans="1:1">
      <c r="A86" s="6" t="s">
        <v>30</v>
      </c>
    </row>
    <row r="87" spans="1:1">
      <c r="A87" s="6"/>
    </row>
    <row r="88" spans="1:1">
      <c r="A88" s="6" t="s">
        <v>31</v>
      </c>
    </row>
    <row r="91" ht="23.5" spans="1:1">
      <c r="A91" s="4" t="s">
        <v>32</v>
      </c>
    </row>
    <row r="92" spans="1:1">
      <c r="A92" s="6"/>
    </row>
    <row r="93" spans="1:1">
      <c r="A93" s="6" t="s">
        <v>33</v>
      </c>
    </row>
    <row r="94" spans="1:1">
      <c r="A94" s="6"/>
    </row>
    <row r="95" spans="1:1">
      <c r="A95" s="6"/>
    </row>
    <row r="96" spans="1:1">
      <c r="A96" s="6"/>
    </row>
    <row r="97" spans="1:1">
      <c r="A97" s="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1"/>
  <sheetViews>
    <sheetView tabSelected="1" workbookViewId="0">
      <selection activeCell="H4" sqref="H4"/>
    </sheetView>
  </sheetViews>
  <sheetFormatPr defaultColWidth="9" defaultRowHeight="14.5"/>
  <cols>
    <col min="1" max="2" width="10.3363636363636" customWidth="1"/>
    <col min="4" max="4" width="12.4454545454545" customWidth="1"/>
    <col min="5" max="5" width="12.3363636363636" customWidth="1"/>
    <col min="6" max="6" width="9.89090909090909" customWidth="1"/>
    <col min="13" max="13" width="16.5454545454545"/>
  </cols>
  <sheetData>
    <row r="1" spans="1:1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13">
      <c r="A2" t="s">
        <v>40</v>
      </c>
      <c r="B2">
        <f>DAY(A2)</f>
        <v>9</v>
      </c>
      <c r="C2" t="s">
        <v>41</v>
      </c>
      <c r="D2">
        <v>12</v>
      </c>
      <c r="E2">
        <v>40</v>
      </c>
      <c r="F2">
        <f>SUM(D2*E2)</f>
        <v>480</v>
      </c>
    </row>
    <row r="3" spans="1:13">
      <c r="A3" t="s">
        <v>42</v>
      </c>
      <c r="B3">
        <f t="shared" ref="B3:B34" si="0">DAY(A3)</f>
        <v>13</v>
      </c>
      <c r="C3" t="s">
        <v>43</v>
      </c>
      <c r="D3">
        <v>1</v>
      </c>
      <c r="E3">
        <v>30</v>
      </c>
      <c r="F3">
        <f t="shared" ref="F3:F34" si="1">SUM(D3*E3)</f>
        <v>30</v>
      </c>
    </row>
    <row r="4" spans="1:13">
      <c r="A4" t="s">
        <v>44</v>
      </c>
      <c r="B4">
        <f t="shared" si="0"/>
        <v>1</v>
      </c>
      <c r="C4" t="s">
        <v>41</v>
      </c>
      <c r="D4">
        <v>11</v>
      </c>
      <c r="E4">
        <v>40</v>
      </c>
      <c r="F4">
        <f t="shared" si="1"/>
        <v>440</v>
      </c>
    </row>
    <row r="5" spans="1:13">
      <c r="A5" t="s">
        <v>45</v>
      </c>
      <c r="B5">
        <f t="shared" si="0"/>
        <v>5</v>
      </c>
      <c r="C5" t="s">
        <v>46</v>
      </c>
      <c r="D5">
        <v>7</v>
      </c>
      <c r="E5">
        <v>35</v>
      </c>
      <c r="F5">
        <f t="shared" si="1"/>
        <v>245</v>
      </c>
      <c r="J5" t="s">
        <v>47</v>
      </c>
      <c r="M5" s="2">
        <f>SUM(F2:F151)</f>
        <v>42580</v>
      </c>
    </row>
    <row r="6" spans="1:13">
      <c r="A6" t="s">
        <v>48</v>
      </c>
      <c r="B6">
        <f t="shared" si="0"/>
        <v>12</v>
      </c>
      <c r="C6" t="s">
        <v>43</v>
      </c>
      <c r="D6">
        <v>1</v>
      </c>
      <c r="E6">
        <v>30</v>
      </c>
      <c r="F6">
        <f t="shared" si="1"/>
        <v>30</v>
      </c>
      <c r="J6" t="s">
        <v>49</v>
      </c>
      <c r="M6" s="2">
        <f>COUNT(F2:F151)</f>
        <v>150</v>
      </c>
    </row>
    <row r="7" spans="1:13">
      <c r="A7" t="s">
        <v>50</v>
      </c>
      <c r="B7">
        <f t="shared" si="0"/>
        <v>4</v>
      </c>
      <c r="C7" t="s">
        <v>51</v>
      </c>
      <c r="D7">
        <v>5</v>
      </c>
      <c r="E7">
        <v>50</v>
      </c>
      <c r="F7">
        <f t="shared" si="1"/>
        <v>250</v>
      </c>
      <c r="J7" t="s">
        <v>52</v>
      </c>
      <c r="M7" s="2">
        <f>MIN(F2:F151)</f>
        <v>20</v>
      </c>
    </row>
    <row r="8" spans="1:13">
      <c r="A8" t="s">
        <v>44</v>
      </c>
      <c r="B8">
        <f t="shared" si="0"/>
        <v>1</v>
      </c>
      <c r="C8" t="s">
        <v>46</v>
      </c>
      <c r="D8">
        <v>6</v>
      </c>
      <c r="E8">
        <v>35</v>
      </c>
      <c r="F8">
        <f t="shared" si="1"/>
        <v>210</v>
      </c>
      <c r="J8" t="s">
        <v>53</v>
      </c>
      <c r="M8" s="2">
        <f>MAX(F2:F151)</f>
        <v>900</v>
      </c>
    </row>
    <row r="9" spans="1:13">
      <c r="A9" t="s">
        <v>54</v>
      </c>
      <c r="B9">
        <f t="shared" si="0"/>
        <v>14</v>
      </c>
      <c r="C9" t="s">
        <v>41</v>
      </c>
      <c r="D9">
        <v>9</v>
      </c>
      <c r="E9">
        <v>40</v>
      </c>
      <c r="F9">
        <f t="shared" si="1"/>
        <v>360</v>
      </c>
      <c r="J9" t="s">
        <v>55</v>
      </c>
      <c r="M9" s="2">
        <f>AVERAGE(F2:F151)</f>
        <v>283.866666666667</v>
      </c>
    </row>
    <row r="10" spans="1:13">
      <c r="A10" t="s">
        <v>40</v>
      </c>
      <c r="B10">
        <f t="shared" si="0"/>
        <v>9</v>
      </c>
      <c r="C10" t="s">
        <v>56</v>
      </c>
      <c r="D10">
        <v>13</v>
      </c>
      <c r="E10">
        <v>20</v>
      </c>
      <c r="F10">
        <f t="shared" si="1"/>
        <v>260</v>
      </c>
      <c r="J10" t="s">
        <v>57</v>
      </c>
      <c r="M10" s="3">
        <f ca="1">NOW()</f>
        <v>46241.8802083333</v>
      </c>
    </row>
    <row r="11" spans="1:13">
      <c r="A11" t="s">
        <v>42</v>
      </c>
      <c r="B11">
        <f t="shared" si="0"/>
        <v>13</v>
      </c>
      <c r="C11" t="s">
        <v>51</v>
      </c>
      <c r="D11">
        <v>1</v>
      </c>
      <c r="E11">
        <v>50</v>
      </c>
      <c r="F11">
        <f t="shared" si="1"/>
        <v>50</v>
      </c>
    </row>
    <row r="12" spans="1:13">
      <c r="A12" t="s">
        <v>44</v>
      </c>
      <c r="B12">
        <f t="shared" si="0"/>
        <v>1</v>
      </c>
      <c r="C12" t="s">
        <v>58</v>
      </c>
      <c r="D12">
        <v>12</v>
      </c>
      <c r="E12">
        <v>25</v>
      </c>
      <c r="F12">
        <f t="shared" si="1"/>
        <v>300</v>
      </c>
    </row>
    <row r="13" spans="1:13">
      <c r="A13" t="s">
        <v>40</v>
      </c>
      <c r="B13">
        <f t="shared" si="0"/>
        <v>9</v>
      </c>
      <c r="C13" t="s">
        <v>51</v>
      </c>
      <c r="D13">
        <v>3</v>
      </c>
      <c r="E13">
        <v>50</v>
      </c>
      <c r="F13">
        <f t="shared" si="1"/>
        <v>150</v>
      </c>
    </row>
    <row r="14" spans="1:13">
      <c r="A14" t="s">
        <v>54</v>
      </c>
      <c r="B14">
        <f t="shared" si="0"/>
        <v>14</v>
      </c>
      <c r="C14" t="s">
        <v>46</v>
      </c>
      <c r="D14">
        <v>4</v>
      </c>
      <c r="E14">
        <v>35</v>
      </c>
      <c r="F14">
        <f t="shared" si="1"/>
        <v>140</v>
      </c>
    </row>
    <row r="15" spans="1:13">
      <c r="A15" t="s">
        <v>44</v>
      </c>
      <c r="B15">
        <f t="shared" si="0"/>
        <v>1</v>
      </c>
      <c r="C15" t="s">
        <v>41</v>
      </c>
      <c r="D15">
        <v>15</v>
      </c>
      <c r="E15">
        <v>40</v>
      </c>
      <c r="F15">
        <f t="shared" si="1"/>
        <v>600</v>
      </c>
    </row>
    <row r="16" spans="1:13">
      <c r="A16" t="s">
        <v>50</v>
      </c>
      <c r="B16">
        <f t="shared" si="0"/>
        <v>4</v>
      </c>
      <c r="C16" t="s">
        <v>58</v>
      </c>
      <c r="D16">
        <v>4</v>
      </c>
      <c r="E16">
        <v>25</v>
      </c>
      <c r="F16">
        <f t="shared" si="1"/>
        <v>100</v>
      </c>
    </row>
    <row r="17" spans="1:6">
      <c r="A17" t="s">
        <v>44</v>
      </c>
      <c r="B17">
        <f t="shared" si="0"/>
        <v>1</v>
      </c>
      <c r="C17" t="s">
        <v>59</v>
      </c>
      <c r="D17">
        <v>9</v>
      </c>
      <c r="E17">
        <v>60</v>
      </c>
      <c r="F17">
        <f t="shared" si="1"/>
        <v>540</v>
      </c>
    </row>
    <row r="18" spans="1:6">
      <c r="A18" t="s">
        <v>44</v>
      </c>
      <c r="B18">
        <f t="shared" si="0"/>
        <v>1</v>
      </c>
      <c r="C18" t="s">
        <v>59</v>
      </c>
      <c r="D18">
        <v>7</v>
      </c>
      <c r="E18">
        <v>60</v>
      </c>
      <c r="F18">
        <f t="shared" si="1"/>
        <v>420</v>
      </c>
    </row>
    <row r="19" spans="1:6">
      <c r="A19" t="s">
        <v>60</v>
      </c>
      <c r="B19">
        <f t="shared" si="0"/>
        <v>15</v>
      </c>
      <c r="C19" t="s">
        <v>41</v>
      </c>
      <c r="D19">
        <v>7</v>
      </c>
      <c r="E19">
        <v>40</v>
      </c>
      <c r="F19">
        <f t="shared" si="1"/>
        <v>280</v>
      </c>
    </row>
    <row r="20" spans="1:6">
      <c r="A20" t="s">
        <v>40</v>
      </c>
      <c r="B20">
        <f t="shared" si="0"/>
        <v>9</v>
      </c>
      <c r="C20" t="s">
        <v>56</v>
      </c>
      <c r="D20">
        <v>1</v>
      </c>
      <c r="E20">
        <v>20</v>
      </c>
      <c r="F20">
        <f t="shared" si="1"/>
        <v>20</v>
      </c>
    </row>
    <row r="21" spans="1:6">
      <c r="A21" t="s">
        <v>61</v>
      </c>
      <c r="B21">
        <f t="shared" si="0"/>
        <v>3</v>
      </c>
      <c r="C21" t="s">
        <v>43</v>
      </c>
      <c r="D21">
        <v>14</v>
      </c>
      <c r="E21">
        <v>30</v>
      </c>
      <c r="F21">
        <f t="shared" si="1"/>
        <v>420</v>
      </c>
    </row>
    <row r="22" spans="1:6">
      <c r="A22" t="s">
        <v>45</v>
      </c>
      <c r="B22">
        <f t="shared" si="0"/>
        <v>5</v>
      </c>
      <c r="C22" t="s">
        <v>59</v>
      </c>
      <c r="D22">
        <v>12</v>
      </c>
      <c r="E22">
        <v>60</v>
      </c>
      <c r="F22">
        <f t="shared" si="1"/>
        <v>720</v>
      </c>
    </row>
    <row r="23" spans="1:6">
      <c r="A23" t="s">
        <v>54</v>
      </c>
      <c r="B23">
        <f t="shared" si="0"/>
        <v>14</v>
      </c>
      <c r="C23" t="s">
        <v>43</v>
      </c>
      <c r="D23">
        <v>10</v>
      </c>
      <c r="E23">
        <v>30</v>
      </c>
      <c r="F23">
        <f t="shared" si="1"/>
        <v>300</v>
      </c>
    </row>
    <row r="24" spans="1:6">
      <c r="A24" t="s">
        <v>48</v>
      </c>
      <c r="B24">
        <f t="shared" si="0"/>
        <v>12</v>
      </c>
      <c r="C24" t="s">
        <v>46</v>
      </c>
      <c r="D24">
        <v>5</v>
      </c>
      <c r="E24">
        <v>35</v>
      </c>
      <c r="F24">
        <f t="shared" si="1"/>
        <v>175</v>
      </c>
    </row>
    <row r="25" spans="1:6">
      <c r="A25" t="s">
        <v>40</v>
      </c>
      <c r="B25">
        <f t="shared" si="0"/>
        <v>9</v>
      </c>
      <c r="C25" t="s">
        <v>51</v>
      </c>
      <c r="D25">
        <v>3</v>
      </c>
      <c r="E25">
        <v>50</v>
      </c>
      <c r="F25">
        <f t="shared" si="1"/>
        <v>150</v>
      </c>
    </row>
    <row r="26" spans="1:6">
      <c r="A26" t="s">
        <v>62</v>
      </c>
      <c r="B26">
        <f t="shared" si="0"/>
        <v>6</v>
      </c>
      <c r="C26" t="s">
        <v>41</v>
      </c>
      <c r="D26">
        <v>8</v>
      </c>
      <c r="E26">
        <v>40</v>
      </c>
      <c r="F26">
        <f t="shared" si="1"/>
        <v>320</v>
      </c>
    </row>
    <row r="27" spans="1:6">
      <c r="A27" t="s">
        <v>63</v>
      </c>
      <c r="B27">
        <f t="shared" si="0"/>
        <v>2</v>
      </c>
      <c r="C27" t="s">
        <v>43</v>
      </c>
      <c r="D27">
        <v>12</v>
      </c>
      <c r="E27">
        <v>30</v>
      </c>
      <c r="F27">
        <f t="shared" si="1"/>
        <v>360</v>
      </c>
    </row>
    <row r="28" spans="1:6">
      <c r="A28" t="s">
        <v>61</v>
      </c>
      <c r="B28">
        <f t="shared" si="0"/>
        <v>3</v>
      </c>
      <c r="C28" t="s">
        <v>56</v>
      </c>
      <c r="D28">
        <v>4</v>
      </c>
      <c r="E28">
        <v>20</v>
      </c>
      <c r="F28">
        <f t="shared" si="1"/>
        <v>80</v>
      </c>
    </row>
    <row r="29" spans="1:6">
      <c r="A29" t="s">
        <v>50</v>
      </c>
      <c r="B29">
        <f t="shared" si="0"/>
        <v>4</v>
      </c>
      <c r="C29" t="s">
        <v>51</v>
      </c>
      <c r="D29">
        <v>14</v>
      </c>
      <c r="E29">
        <v>50</v>
      </c>
      <c r="F29">
        <f t="shared" si="1"/>
        <v>700</v>
      </c>
    </row>
    <row r="30" spans="1:6">
      <c r="A30" t="s">
        <v>40</v>
      </c>
      <c r="B30">
        <f t="shared" si="0"/>
        <v>9</v>
      </c>
      <c r="C30" t="s">
        <v>46</v>
      </c>
      <c r="D30">
        <v>6</v>
      </c>
      <c r="E30">
        <v>35</v>
      </c>
      <c r="F30">
        <f t="shared" si="1"/>
        <v>210</v>
      </c>
    </row>
    <row r="31" spans="1:6">
      <c r="A31" t="s">
        <v>44</v>
      </c>
      <c r="B31">
        <f t="shared" si="0"/>
        <v>1</v>
      </c>
      <c r="C31" t="s">
        <v>51</v>
      </c>
      <c r="D31">
        <v>15</v>
      </c>
      <c r="E31">
        <v>50</v>
      </c>
      <c r="F31">
        <f t="shared" si="1"/>
        <v>750</v>
      </c>
    </row>
    <row r="32" spans="1:6">
      <c r="A32" t="s">
        <v>54</v>
      </c>
      <c r="B32">
        <f t="shared" si="0"/>
        <v>14</v>
      </c>
      <c r="C32" t="s">
        <v>46</v>
      </c>
      <c r="D32">
        <v>9</v>
      </c>
      <c r="E32">
        <v>35</v>
      </c>
      <c r="F32">
        <f t="shared" si="1"/>
        <v>315</v>
      </c>
    </row>
    <row r="33" spans="1:6">
      <c r="A33" t="s">
        <v>64</v>
      </c>
      <c r="B33">
        <f t="shared" si="0"/>
        <v>10</v>
      </c>
      <c r="C33" t="s">
        <v>58</v>
      </c>
      <c r="D33">
        <v>8</v>
      </c>
      <c r="E33">
        <v>25</v>
      </c>
      <c r="F33">
        <f t="shared" si="1"/>
        <v>200</v>
      </c>
    </row>
    <row r="34" spans="1:6">
      <c r="A34" t="s">
        <v>44</v>
      </c>
      <c r="B34">
        <f t="shared" si="0"/>
        <v>1</v>
      </c>
      <c r="C34" t="s">
        <v>41</v>
      </c>
      <c r="D34">
        <v>13</v>
      </c>
      <c r="E34">
        <v>40</v>
      </c>
      <c r="F34">
        <f t="shared" si="1"/>
        <v>520</v>
      </c>
    </row>
    <row r="35" spans="1:6">
      <c r="A35" t="s">
        <v>42</v>
      </c>
      <c r="B35">
        <f t="shared" ref="B35:B66" si="2">DAY(A35)</f>
        <v>13</v>
      </c>
      <c r="C35" t="s">
        <v>51</v>
      </c>
      <c r="D35">
        <v>5</v>
      </c>
      <c r="E35">
        <v>50</v>
      </c>
      <c r="F35">
        <f t="shared" ref="F35:F66" si="3">SUM(D35*E35)</f>
        <v>250</v>
      </c>
    </row>
    <row r="36" spans="1:6">
      <c r="A36" t="s">
        <v>45</v>
      </c>
      <c r="B36">
        <f t="shared" si="2"/>
        <v>5</v>
      </c>
      <c r="C36" t="s">
        <v>41</v>
      </c>
      <c r="D36">
        <v>2</v>
      </c>
      <c r="E36">
        <v>40</v>
      </c>
      <c r="F36">
        <f t="shared" si="3"/>
        <v>80</v>
      </c>
    </row>
    <row r="37" spans="1:6">
      <c r="A37" t="s">
        <v>40</v>
      </c>
      <c r="B37">
        <f t="shared" si="2"/>
        <v>9</v>
      </c>
      <c r="C37" t="s">
        <v>56</v>
      </c>
      <c r="D37">
        <v>1</v>
      </c>
      <c r="E37">
        <v>20</v>
      </c>
      <c r="F37">
        <f t="shared" si="3"/>
        <v>20</v>
      </c>
    </row>
    <row r="38" spans="1:6">
      <c r="A38" t="s">
        <v>42</v>
      </c>
      <c r="B38">
        <f t="shared" si="2"/>
        <v>13</v>
      </c>
      <c r="C38" t="s">
        <v>56</v>
      </c>
      <c r="D38">
        <v>11</v>
      </c>
      <c r="E38">
        <v>20</v>
      </c>
      <c r="F38">
        <f t="shared" si="3"/>
        <v>220</v>
      </c>
    </row>
    <row r="39" spans="1:6">
      <c r="A39" t="s">
        <v>45</v>
      </c>
      <c r="B39">
        <f t="shared" si="2"/>
        <v>5</v>
      </c>
      <c r="C39" t="s">
        <v>43</v>
      </c>
      <c r="D39">
        <v>12</v>
      </c>
      <c r="E39">
        <v>30</v>
      </c>
      <c r="F39">
        <f t="shared" si="3"/>
        <v>360</v>
      </c>
    </row>
    <row r="40" spans="1:6">
      <c r="A40" t="s">
        <v>44</v>
      </c>
      <c r="B40">
        <f t="shared" si="2"/>
        <v>1</v>
      </c>
      <c r="C40" t="s">
        <v>41</v>
      </c>
      <c r="D40">
        <v>11</v>
      </c>
      <c r="E40">
        <v>40</v>
      </c>
      <c r="F40">
        <f t="shared" si="3"/>
        <v>440</v>
      </c>
    </row>
    <row r="41" spans="1:6">
      <c r="A41" t="s">
        <v>65</v>
      </c>
      <c r="B41">
        <f t="shared" si="2"/>
        <v>8</v>
      </c>
      <c r="C41" t="s">
        <v>41</v>
      </c>
      <c r="D41">
        <v>4</v>
      </c>
      <c r="E41">
        <v>40</v>
      </c>
      <c r="F41">
        <f t="shared" si="3"/>
        <v>160</v>
      </c>
    </row>
    <row r="42" spans="1:6">
      <c r="A42" t="s">
        <v>54</v>
      </c>
      <c r="B42">
        <f t="shared" si="2"/>
        <v>14</v>
      </c>
      <c r="C42" t="s">
        <v>43</v>
      </c>
      <c r="D42">
        <v>2</v>
      </c>
      <c r="E42">
        <v>30</v>
      </c>
      <c r="F42">
        <f t="shared" si="3"/>
        <v>60</v>
      </c>
    </row>
    <row r="43" spans="1:6">
      <c r="A43" t="s">
        <v>65</v>
      </c>
      <c r="B43">
        <f t="shared" si="2"/>
        <v>8</v>
      </c>
      <c r="C43" t="s">
        <v>43</v>
      </c>
      <c r="D43">
        <v>10</v>
      </c>
      <c r="E43">
        <v>30</v>
      </c>
      <c r="F43">
        <f t="shared" si="3"/>
        <v>300</v>
      </c>
    </row>
    <row r="44" spans="1:6">
      <c r="A44" t="s">
        <v>48</v>
      </c>
      <c r="B44">
        <f t="shared" si="2"/>
        <v>12</v>
      </c>
      <c r="C44" t="s">
        <v>46</v>
      </c>
      <c r="D44">
        <v>1</v>
      </c>
      <c r="E44">
        <v>35</v>
      </c>
      <c r="F44">
        <f t="shared" si="3"/>
        <v>35</v>
      </c>
    </row>
    <row r="45" spans="1:6">
      <c r="A45" t="s">
        <v>65</v>
      </c>
      <c r="B45">
        <f t="shared" si="2"/>
        <v>8</v>
      </c>
      <c r="C45" t="s">
        <v>51</v>
      </c>
      <c r="D45">
        <v>8</v>
      </c>
      <c r="E45">
        <v>50</v>
      </c>
      <c r="F45">
        <f t="shared" si="3"/>
        <v>400</v>
      </c>
    </row>
    <row r="46" spans="1:6">
      <c r="A46" t="s">
        <v>66</v>
      </c>
      <c r="B46">
        <f t="shared" si="2"/>
        <v>7</v>
      </c>
      <c r="C46" t="s">
        <v>51</v>
      </c>
      <c r="D46">
        <v>6</v>
      </c>
      <c r="E46">
        <v>50</v>
      </c>
      <c r="F46">
        <f t="shared" si="3"/>
        <v>300</v>
      </c>
    </row>
    <row r="47" spans="1:6">
      <c r="A47" t="s">
        <v>64</v>
      </c>
      <c r="B47">
        <f t="shared" si="2"/>
        <v>10</v>
      </c>
      <c r="C47" t="s">
        <v>58</v>
      </c>
      <c r="D47">
        <v>3</v>
      </c>
      <c r="E47">
        <v>25</v>
      </c>
      <c r="F47">
        <f t="shared" si="3"/>
        <v>75</v>
      </c>
    </row>
    <row r="48" spans="1:6">
      <c r="A48" t="s">
        <v>40</v>
      </c>
      <c r="B48">
        <f t="shared" si="2"/>
        <v>9</v>
      </c>
      <c r="C48" t="s">
        <v>46</v>
      </c>
      <c r="D48">
        <v>8</v>
      </c>
      <c r="E48">
        <v>35</v>
      </c>
      <c r="F48">
        <f t="shared" si="3"/>
        <v>280</v>
      </c>
    </row>
    <row r="49" spans="1:6">
      <c r="A49" t="s">
        <v>40</v>
      </c>
      <c r="B49">
        <f t="shared" si="2"/>
        <v>9</v>
      </c>
      <c r="C49" t="s">
        <v>51</v>
      </c>
      <c r="D49">
        <v>10</v>
      </c>
      <c r="E49">
        <v>50</v>
      </c>
      <c r="F49">
        <f t="shared" si="3"/>
        <v>500</v>
      </c>
    </row>
    <row r="50" spans="1:6">
      <c r="A50" t="s">
        <v>40</v>
      </c>
      <c r="B50">
        <f t="shared" si="2"/>
        <v>9</v>
      </c>
      <c r="C50" t="s">
        <v>56</v>
      </c>
      <c r="D50">
        <v>6</v>
      </c>
      <c r="E50">
        <v>20</v>
      </c>
      <c r="F50">
        <f t="shared" si="3"/>
        <v>120</v>
      </c>
    </row>
    <row r="51" spans="1:6">
      <c r="A51" t="s">
        <v>44</v>
      </c>
      <c r="B51">
        <f t="shared" si="2"/>
        <v>1</v>
      </c>
      <c r="C51" t="s">
        <v>51</v>
      </c>
      <c r="D51">
        <v>11</v>
      </c>
      <c r="E51">
        <v>50</v>
      </c>
      <c r="F51">
        <f t="shared" si="3"/>
        <v>550</v>
      </c>
    </row>
    <row r="52" spans="1:6">
      <c r="A52" t="s">
        <v>63</v>
      </c>
      <c r="B52">
        <f t="shared" si="2"/>
        <v>2</v>
      </c>
      <c r="C52" t="s">
        <v>58</v>
      </c>
      <c r="D52">
        <v>15</v>
      </c>
      <c r="E52">
        <v>25</v>
      </c>
      <c r="F52">
        <f t="shared" si="3"/>
        <v>375</v>
      </c>
    </row>
    <row r="53" spans="1:6">
      <c r="A53" t="s">
        <v>64</v>
      </c>
      <c r="B53">
        <f t="shared" si="2"/>
        <v>10</v>
      </c>
      <c r="C53" t="s">
        <v>43</v>
      </c>
      <c r="D53">
        <v>14</v>
      </c>
      <c r="E53">
        <v>30</v>
      </c>
      <c r="F53">
        <f t="shared" si="3"/>
        <v>420</v>
      </c>
    </row>
    <row r="54" spans="1:6">
      <c r="A54" t="s">
        <v>64</v>
      </c>
      <c r="B54">
        <f t="shared" si="2"/>
        <v>10</v>
      </c>
      <c r="C54" t="s">
        <v>59</v>
      </c>
      <c r="D54">
        <v>1</v>
      </c>
      <c r="E54">
        <v>60</v>
      </c>
      <c r="F54">
        <f t="shared" si="3"/>
        <v>60</v>
      </c>
    </row>
    <row r="55" spans="1:6">
      <c r="A55" t="s">
        <v>44</v>
      </c>
      <c r="B55">
        <f t="shared" si="2"/>
        <v>1</v>
      </c>
      <c r="C55" t="s">
        <v>51</v>
      </c>
      <c r="D55">
        <v>5</v>
      </c>
      <c r="E55">
        <v>50</v>
      </c>
      <c r="F55">
        <f t="shared" si="3"/>
        <v>250</v>
      </c>
    </row>
    <row r="56" spans="1:6">
      <c r="A56" t="s">
        <v>62</v>
      </c>
      <c r="B56">
        <f t="shared" si="2"/>
        <v>6</v>
      </c>
      <c r="C56" t="s">
        <v>51</v>
      </c>
      <c r="D56">
        <v>11</v>
      </c>
      <c r="E56">
        <v>50</v>
      </c>
      <c r="F56">
        <f t="shared" si="3"/>
        <v>550</v>
      </c>
    </row>
    <row r="57" spans="1:6">
      <c r="A57" t="s">
        <v>60</v>
      </c>
      <c r="B57">
        <f t="shared" si="2"/>
        <v>15</v>
      </c>
      <c r="C57" t="s">
        <v>46</v>
      </c>
      <c r="D57">
        <v>7</v>
      </c>
      <c r="E57">
        <v>35</v>
      </c>
      <c r="F57">
        <f t="shared" si="3"/>
        <v>245</v>
      </c>
    </row>
    <row r="58" spans="1:6">
      <c r="A58" t="s">
        <v>40</v>
      </c>
      <c r="B58">
        <f t="shared" si="2"/>
        <v>9</v>
      </c>
      <c r="C58" t="s">
        <v>41</v>
      </c>
      <c r="D58">
        <v>3</v>
      </c>
      <c r="E58">
        <v>40</v>
      </c>
      <c r="F58">
        <f t="shared" si="3"/>
        <v>120</v>
      </c>
    </row>
    <row r="59" spans="1:6">
      <c r="A59" t="s">
        <v>62</v>
      </c>
      <c r="B59">
        <f t="shared" si="2"/>
        <v>6</v>
      </c>
      <c r="C59" t="s">
        <v>51</v>
      </c>
      <c r="D59">
        <v>13</v>
      </c>
      <c r="E59">
        <v>50</v>
      </c>
      <c r="F59">
        <f t="shared" si="3"/>
        <v>650</v>
      </c>
    </row>
    <row r="60" spans="1:6">
      <c r="A60" t="s">
        <v>54</v>
      </c>
      <c r="B60">
        <f t="shared" si="2"/>
        <v>14</v>
      </c>
      <c r="C60" t="s">
        <v>51</v>
      </c>
      <c r="D60">
        <v>1</v>
      </c>
      <c r="E60">
        <v>50</v>
      </c>
      <c r="F60">
        <f t="shared" si="3"/>
        <v>50</v>
      </c>
    </row>
    <row r="61" spans="1:6">
      <c r="A61" t="s">
        <v>60</v>
      </c>
      <c r="B61">
        <f t="shared" si="2"/>
        <v>15</v>
      </c>
      <c r="C61" t="s">
        <v>46</v>
      </c>
      <c r="D61">
        <v>7</v>
      </c>
      <c r="E61">
        <v>35</v>
      </c>
      <c r="F61">
        <f t="shared" si="3"/>
        <v>245</v>
      </c>
    </row>
    <row r="62" spans="1:6">
      <c r="A62" t="s">
        <v>64</v>
      </c>
      <c r="B62">
        <f t="shared" si="2"/>
        <v>10</v>
      </c>
      <c r="C62" t="s">
        <v>43</v>
      </c>
      <c r="D62">
        <v>7</v>
      </c>
      <c r="E62">
        <v>30</v>
      </c>
      <c r="F62">
        <f t="shared" si="3"/>
        <v>210</v>
      </c>
    </row>
    <row r="63" spans="1:6">
      <c r="A63" t="s">
        <v>45</v>
      </c>
      <c r="B63">
        <f t="shared" si="2"/>
        <v>5</v>
      </c>
      <c r="C63" t="s">
        <v>59</v>
      </c>
      <c r="D63">
        <v>15</v>
      </c>
      <c r="E63">
        <v>60</v>
      </c>
      <c r="F63">
        <f t="shared" si="3"/>
        <v>900</v>
      </c>
    </row>
    <row r="64" spans="1:6">
      <c r="A64" t="s">
        <v>48</v>
      </c>
      <c r="B64">
        <f t="shared" si="2"/>
        <v>12</v>
      </c>
      <c r="C64" t="s">
        <v>46</v>
      </c>
      <c r="D64">
        <v>2</v>
      </c>
      <c r="E64">
        <v>35</v>
      </c>
      <c r="F64">
        <f t="shared" si="3"/>
        <v>70</v>
      </c>
    </row>
    <row r="65" spans="1:6">
      <c r="A65" t="s">
        <v>65</v>
      </c>
      <c r="B65">
        <f t="shared" si="2"/>
        <v>8</v>
      </c>
      <c r="C65" t="s">
        <v>59</v>
      </c>
      <c r="D65">
        <v>6</v>
      </c>
      <c r="E65">
        <v>60</v>
      </c>
      <c r="F65">
        <f t="shared" si="3"/>
        <v>360</v>
      </c>
    </row>
    <row r="66" spans="1:6">
      <c r="A66" t="s">
        <v>65</v>
      </c>
      <c r="B66">
        <f t="shared" si="2"/>
        <v>8</v>
      </c>
      <c r="C66" t="s">
        <v>56</v>
      </c>
      <c r="D66">
        <v>3</v>
      </c>
      <c r="E66">
        <v>20</v>
      </c>
      <c r="F66">
        <f t="shared" si="3"/>
        <v>60</v>
      </c>
    </row>
    <row r="67" spans="1:6">
      <c r="A67" t="s">
        <v>67</v>
      </c>
      <c r="B67">
        <f t="shared" ref="B67:B98" si="4">DAY(A67)</f>
        <v>11</v>
      </c>
      <c r="C67" t="s">
        <v>51</v>
      </c>
      <c r="D67">
        <v>8</v>
      </c>
      <c r="E67">
        <v>50</v>
      </c>
      <c r="F67">
        <f t="shared" ref="F67:F98" si="5">SUM(D67*E67)</f>
        <v>400</v>
      </c>
    </row>
    <row r="68" spans="1:6">
      <c r="A68" t="s">
        <v>63</v>
      </c>
      <c r="B68">
        <f t="shared" si="4"/>
        <v>2</v>
      </c>
      <c r="C68" t="s">
        <v>51</v>
      </c>
      <c r="D68">
        <v>11</v>
      </c>
      <c r="E68">
        <v>50</v>
      </c>
      <c r="F68">
        <f t="shared" si="5"/>
        <v>550</v>
      </c>
    </row>
    <row r="69" spans="1:6">
      <c r="A69" t="s">
        <v>54</v>
      </c>
      <c r="B69">
        <f t="shared" si="4"/>
        <v>14</v>
      </c>
      <c r="C69" t="s">
        <v>58</v>
      </c>
      <c r="D69">
        <v>14</v>
      </c>
      <c r="E69">
        <v>25</v>
      </c>
      <c r="F69">
        <f t="shared" si="5"/>
        <v>350</v>
      </c>
    </row>
    <row r="70" spans="1:6">
      <c r="A70" t="s">
        <v>54</v>
      </c>
      <c r="B70">
        <f t="shared" si="4"/>
        <v>14</v>
      </c>
      <c r="C70" t="s">
        <v>51</v>
      </c>
      <c r="D70">
        <v>13</v>
      </c>
      <c r="E70">
        <v>50</v>
      </c>
      <c r="F70">
        <f t="shared" si="5"/>
        <v>650</v>
      </c>
    </row>
    <row r="71" spans="1:6">
      <c r="A71" t="s">
        <v>48</v>
      </c>
      <c r="B71">
        <f t="shared" si="4"/>
        <v>12</v>
      </c>
      <c r="C71" t="s">
        <v>41</v>
      </c>
      <c r="D71">
        <v>7</v>
      </c>
      <c r="E71">
        <v>40</v>
      </c>
      <c r="F71">
        <f t="shared" si="5"/>
        <v>280</v>
      </c>
    </row>
    <row r="72" spans="1:6">
      <c r="A72" t="s">
        <v>44</v>
      </c>
      <c r="B72">
        <f t="shared" si="4"/>
        <v>1</v>
      </c>
      <c r="C72" t="s">
        <v>41</v>
      </c>
      <c r="D72">
        <v>11</v>
      </c>
      <c r="E72">
        <v>40</v>
      </c>
      <c r="F72">
        <f t="shared" si="5"/>
        <v>440</v>
      </c>
    </row>
    <row r="73" spans="1:6">
      <c r="A73" t="s">
        <v>67</v>
      </c>
      <c r="B73">
        <f t="shared" si="4"/>
        <v>11</v>
      </c>
      <c r="C73" t="s">
        <v>43</v>
      </c>
      <c r="D73">
        <v>6</v>
      </c>
      <c r="E73">
        <v>30</v>
      </c>
      <c r="F73">
        <f t="shared" si="5"/>
        <v>180</v>
      </c>
    </row>
    <row r="74" spans="1:6">
      <c r="A74" t="s">
        <v>42</v>
      </c>
      <c r="B74">
        <f t="shared" si="4"/>
        <v>13</v>
      </c>
      <c r="C74" t="s">
        <v>41</v>
      </c>
      <c r="D74">
        <v>6</v>
      </c>
      <c r="E74">
        <v>40</v>
      </c>
      <c r="F74">
        <f t="shared" si="5"/>
        <v>240</v>
      </c>
    </row>
    <row r="75" spans="1:6">
      <c r="A75" t="s">
        <v>64</v>
      </c>
      <c r="B75">
        <f t="shared" si="4"/>
        <v>10</v>
      </c>
      <c r="C75" t="s">
        <v>56</v>
      </c>
      <c r="D75">
        <v>11</v>
      </c>
      <c r="E75">
        <v>20</v>
      </c>
      <c r="F75">
        <f t="shared" si="5"/>
        <v>220</v>
      </c>
    </row>
    <row r="76" spans="1:6">
      <c r="A76" t="s">
        <v>64</v>
      </c>
      <c r="B76">
        <f t="shared" si="4"/>
        <v>10</v>
      </c>
      <c r="C76" t="s">
        <v>43</v>
      </c>
      <c r="D76">
        <v>9</v>
      </c>
      <c r="E76">
        <v>30</v>
      </c>
      <c r="F76">
        <f t="shared" si="5"/>
        <v>270</v>
      </c>
    </row>
    <row r="77" spans="1:6">
      <c r="A77" t="s">
        <v>42</v>
      </c>
      <c r="B77">
        <f t="shared" si="4"/>
        <v>13</v>
      </c>
      <c r="C77" t="s">
        <v>41</v>
      </c>
      <c r="D77">
        <v>3</v>
      </c>
      <c r="E77">
        <v>40</v>
      </c>
      <c r="F77">
        <f t="shared" si="5"/>
        <v>120</v>
      </c>
    </row>
    <row r="78" spans="1:6">
      <c r="A78" t="s">
        <v>54</v>
      </c>
      <c r="B78">
        <f t="shared" si="4"/>
        <v>14</v>
      </c>
      <c r="C78" t="s">
        <v>51</v>
      </c>
      <c r="D78">
        <v>5</v>
      </c>
      <c r="E78">
        <v>50</v>
      </c>
      <c r="F78">
        <f t="shared" si="5"/>
        <v>250</v>
      </c>
    </row>
    <row r="79" spans="1:6">
      <c r="A79" t="s">
        <v>54</v>
      </c>
      <c r="B79">
        <f t="shared" si="4"/>
        <v>14</v>
      </c>
      <c r="C79" t="s">
        <v>58</v>
      </c>
      <c r="D79">
        <v>6</v>
      </c>
      <c r="E79">
        <v>25</v>
      </c>
      <c r="F79">
        <f t="shared" si="5"/>
        <v>150</v>
      </c>
    </row>
    <row r="80" spans="1:6">
      <c r="A80" t="s">
        <v>60</v>
      </c>
      <c r="B80">
        <f t="shared" si="4"/>
        <v>15</v>
      </c>
      <c r="C80" t="s">
        <v>58</v>
      </c>
      <c r="D80">
        <v>5</v>
      </c>
      <c r="E80">
        <v>25</v>
      </c>
      <c r="F80">
        <f t="shared" si="5"/>
        <v>125</v>
      </c>
    </row>
    <row r="81" spans="1:6">
      <c r="A81" t="s">
        <v>54</v>
      </c>
      <c r="B81">
        <f t="shared" si="4"/>
        <v>14</v>
      </c>
      <c r="C81" t="s">
        <v>41</v>
      </c>
      <c r="D81">
        <v>12</v>
      </c>
      <c r="E81">
        <v>40</v>
      </c>
      <c r="F81">
        <f t="shared" si="5"/>
        <v>480</v>
      </c>
    </row>
    <row r="82" spans="1:6">
      <c r="A82" t="s">
        <v>42</v>
      </c>
      <c r="B82">
        <f t="shared" si="4"/>
        <v>13</v>
      </c>
      <c r="C82" t="s">
        <v>56</v>
      </c>
      <c r="D82">
        <v>11</v>
      </c>
      <c r="E82">
        <v>20</v>
      </c>
      <c r="F82">
        <f t="shared" si="5"/>
        <v>220</v>
      </c>
    </row>
    <row r="83" spans="1:6">
      <c r="A83" t="s">
        <v>65</v>
      </c>
      <c r="B83">
        <f t="shared" si="4"/>
        <v>8</v>
      </c>
      <c r="C83" t="s">
        <v>43</v>
      </c>
      <c r="D83">
        <v>11</v>
      </c>
      <c r="E83">
        <v>30</v>
      </c>
      <c r="F83">
        <f t="shared" si="5"/>
        <v>330</v>
      </c>
    </row>
    <row r="84" spans="1:6">
      <c r="A84" t="s">
        <v>45</v>
      </c>
      <c r="B84">
        <f t="shared" si="4"/>
        <v>5</v>
      </c>
      <c r="C84" t="s">
        <v>51</v>
      </c>
      <c r="D84">
        <v>15</v>
      </c>
      <c r="E84">
        <v>50</v>
      </c>
      <c r="F84">
        <f t="shared" si="5"/>
        <v>750</v>
      </c>
    </row>
    <row r="85" spans="1:6">
      <c r="A85" t="s">
        <v>63</v>
      </c>
      <c r="B85">
        <f t="shared" si="4"/>
        <v>2</v>
      </c>
      <c r="C85" t="s">
        <v>41</v>
      </c>
      <c r="D85">
        <v>6</v>
      </c>
      <c r="E85">
        <v>40</v>
      </c>
      <c r="F85">
        <f t="shared" si="5"/>
        <v>240</v>
      </c>
    </row>
    <row r="86" spans="1:6">
      <c r="A86" t="s">
        <v>66</v>
      </c>
      <c r="B86">
        <f t="shared" si="4"/>
        <v>7</v>
      </c>
      <c r="C86" t="s">
        <v>58</v>
      </c>
      <c r="D86">
        <v>9</v>
      </c>
      <c r="E86">
        <v>25</v>
      </c>
      <c r="F86">
        <f t="shared" si="5"/>
        <v>225</v>
      </c>
    </row>
    <row r="87" spans="1:6">
      <c r="A87" t="s">
        <v>54</v>
      </c>
      <c r="B87">
        <f t="shared" si="4"/>
        <v>14</v>
      </c>
      <c r="C87" t="s">
        <v>58</v>
      </c>
      <c r="D87">
        <v>7</v>
      </c>
      <c r="E87">
        <v>25</v>
      </c>
      <c r="F87">
        <f t="shared" si="5"/>
        <v>175</v>
      </c>
    </row>
    <row r="88" spans="1:6">
      <c r="A88" t="s">
        <v>48</v>
      </c>
      <c r="B88">
        <f t="shared" si="4"/>
        <v>12</v>
      </c>
      <c r="C88" t="s">
        <v>51</v>
      </c>
      <c r="D88">
        <v>15</v>
      </c>
      <c r="E88">
        <v>50</v>
      </c>
      <c r="F88">
        <f t="shared" si="5"/>
        <v>750</v>
      </c>
    </row>
    <row r="89" spans="1:6">
      <c r="A89" t="s">
        <v>66</v>
      </c>
      <c r="B89">
        <f t="shared" si="4"/>
        <v>7</v>
      </c>
      <c r="C89" t="s">
        <v>46</v>
      </c>
      <c r="D89">
        <v>5</v>
      </c>
      <c r="E89">
        <v>35</v>
      </c>
      <c r="F89">
        <f t="shared" si="5"/>
        <v>175</v>
      </c>
    </row>
    <row r="90" spans="1:6">
      <c r="A90" t="s">
        <v>62</v>
      </c>
      <c r="B90">
        <f t="shared" si="4"/>
        <v>6</v>
      </c>
      <c r="C90" t="s">
        <v>46</v>
      </c>
      <c r="D90">
        <v>4</v>
      </c>
      <c r="E90">
        <v>35</v>
      </c>
      <c r="F90">
        <f t="shared" si="5"/>
        <v>140</v>
      </c>
    </row>
    <row r="91" spans="1:6">
      <c r="A91" t="s">
        <v>48</v>
      </c>
      <c r="B91">
        <f t="shared" si="4"/>
        <v>12</v>
      </c>
      <c r="C91" t="s">
        <v>41</v>
      </c>
      <c r="D91">
        <v>1</v>
      </c>
      <c r="E91">
        <v>40</v>
      </c>
      <c r="F91">
        <f t="shared" si="5"/>
        <v>40</v>
      </c>
    </row>
    <row r="92" spans="1:6">
      <c r="A92" t="s">
        <v>66</v>
      </c>
      <c r="B92">
        <f t="shared" si="4"/>
        <v>7</v>
      </c>
      <c r="C92" t="s">
        <v>46</v>
      </c>
      <c r="D92">
        <v>5</v>
      </c>
      <c r="E92">
        <v>35</v>
      </c>
      <c r="F92">
        <f t="shared" si="5"/>
        <v>175</v>
      </c>
    </row>
    <row r="93" spans="1:6">
      <c r="A93" t="s">
        <v>67</v>
      </c>
      <c r="B93">
        <f t="shared" si="4"/>
        <v>11</v>
      </c>
      <c r="C93" t="s">
        <v>59</v>
      </c>
      <c r="D93">
        <v>9</v>
      </c>
      <c r="E93">
        <v>60</v>
      </c>
      <c r="F93">
        <f t="shared" si="5"/>
        <v>540</v>
      </c>
    </row>
    <row r="94" spans="1:6">
      <c r="A94" t="s">
        <v>67</v>
      </c>
      <c r="B94">
        <f t="shared" si="4"/>
        <v>11</v>
      </c>
      <c r="C94" t="s">
        <v>46</v>
      </c>
      <c r="D94">
        <v>5</v>
      </c>
      <c r="E94">
        <v>35</v>
      </c>
      <c r="F94">
        <f t="shared" si="5"/>
        <v>175</v>
      </c>
    </row>
    <row r="95" spans="1:6">
      <c r="A95" t="s">
        <v>65</v>
      </c>
      <c r="B95">
        <f t="shared" si="4"/>
        <v>8</v>
      </c>
      <c r="C95" t="s">
        <v>46</v>
      </c>
      <c r="D95">
        <v>7</v>
      </c>
      <c r="E95">
        <v>35</v>
      </c>
      <c r="F95">
        <f t="shared" si="5"/>
        <v>245</v>
      </c>
    </row>
    <row r="96" spans="1:6">
      <c r="A96" t="s">
        <v>45</v>
      </c>
      <c r="B96">
        <f t="shared" si="4"/>
        <v>5</v>
      </c>
      <c r="C96" t="s">
        <v>58</v>
      </c>
      <c r="D96">
        <v>9</v>
      </c>
      <c r="E96">
        <v>25</v>
      </c>
      <c r="F96">
        <f t="shared" si="5"/>
        <v>225</v>
      </c>
    </row>
    <row r="97" spans="1:6">
      <c r="A97" t="s">
        <v>63</v>
      </c>
      <c r="B97">
        <f t="shared" si="4"/>
        <v>2</v>
      </c>
      <c r="C97" t="s">
        <v>59</v>
      </c>
      <c r="D97">
        <v>8</v>
      </c>
      <c r="E97">
        <v>60</v>
      </c>
      <c r="F97">
        <f t="shared" si="5"/>
        <v>480</v>
      </c>
    </row>
    <row r="98" spans="1:6">
      <c r="A98" t="s">
        <v>40</v>
      </c>
      <c r="B98">
        <f t="shared" si="4"/>
        <v>9</v>
      </c>
      <c r="C98" t="s">
        <v>46</v>
      </c>
      <c r="D98">
        <v>13</v>
      </c>
      <c r="E98">
        <v>35</v>
      </c>
      <c r="F98">
        <f t="shared" si="5"/>
        <v>455</v>
      </c>
    </row>
    <row r="99" spans="1:6">
      <c r="A99" t="s">
        <v>50</v>
      </c>
      <c r="B99">
        <f t="shared" ref="B99:B130" si="6">DAY(A99)</f>
        <v>4</v>
      </c>
      <c r="C99" t="s">
        <v>59</v>
      </c>
      <c r="D99">
        <v>5</v>
      </c>
      <c r="E99">
        <v>60</v>
      </c>
      <c r="F99">
        <f t="shared" ref="F99:F130" si="7">SUM(D99*E99)</f>
        <v>300</v>
      </c>
    </row>
    <row r="100" spans="1:6">
      <c r="A100" t="s">
        <v>61</v>
      </c>
      <c r="B100">
        <f t="shared" si="6"/>
        <v>3</v>
      </c>
      <c r="C100" t="s">
        <v>46</v>
      </c>
      <c r="D100">
        <v>13</v>
      </c>
      <c r="E100">
        <v>35</v>
      </c>
      <c r="F100">
        <f t="shared" si="7"/>
        <v>455</v>
      </c>
    </row>
    <row r="101" spans="1:6">
      <c r="A101" t="s">
        <v>44</v>
      </c>
      <c r="B101">
        <f t="shared" si="6"/>
        <v>1</v>
      </c>
      <c r="C101" t="s">
        <v>43</v>
      </c>
      <c r="D101">
        <v>13</v>
      </c>
      <c r="E101">
        <v>30</v>
      </c>
      <c r="F101">
        <f t="shared" si="7"/>
        <v>390</v>
      </c>
    </row>
    <row r="102" spans="1:6">
      <c r="A102" t="s">
        <v>40</v>
      </c>
      <c r="B102">
        <f t="shared" si="6"/>
        <v>9</v>
      </c>
      <c r="C102" t="s">
        <v>59</v>
      </c>
      <c r="D102">
        <v>10</v>
      </c>
      <c r="E102">
        <v>60</v>
      </c>
      <c r="F102">
        <f t="shared" si="7"/>
        <v>600</v>
      </c>
    </row>
    <row r="103" spans="1:6">
      <c r="A103" t="s">
        <v>54</v>
      </c>
      <c r="B103">
        <f t="shared" si="6"/>
        <v>14</v>
      </c>
      <c r="C103" t="s">
        <v>46</v>
      </c>
      <c r="D103">
        <v>1</v>
      </c>
      <c r="E103">
        <v>35</v>
      </c>
      <c r="F103">
        <f t="shared" si="7"/>
        <v>35</v>
      </c>
    </row>
    <row r="104" spans="1:6">
      <c r="A104" t="s">
        <v>45</v>
      </c>
      <c r="B104">
        <f t="shared" si="6"/>
        <v>5</v>
      </c>
      <c r="C104" t="s">
        <v>41</v>
      </c>
      <c r="D104">
        <v>15</v>
      </c>
      <c r="E104">
        <v>40</v>
      </c>
      <c r="F104">
        <f t="shared" si="7"/>
        <v>600</v>
      </c>
    </row>
    <row r="105" spans="1:6">
      <c r="A105" t="s">
        <v>67</v>
      </c>
      <c r="B105">
        <f t="shared" si="6"/>
        <v>11</v>
      </c>
      <c r="C105" t="s">
        <v>59</v>
      </c>
      <c r="D105">
        <v>5</v>
      </c>
      <c r="E105">
        <v>60</v>
      </c>
      <c r="F105">
        <f t="shared" si="7"/>
        <v>300</v>
      </c>
    </row>
    <row r="106" spans="1:6">
      <c r="A106" t="s">
        <v>63</v>
      </c>
      <c r="B106">
        <f t="shared" si="6"/>
        <v>2</v>
      </c>
      <c r="C106" t="s">
        <v>58</v>
      </c>
      <c r="D106">
        <v>12</v>
      </c>
      <c r="E106">
        <v>25</v>
      </c>
      <c r="F106">
        <f t="shared" si="7"/>
        <v>300</v>
      </c>
    </row>
    <row r="107" spans="1:6">
      <c r="A107" t="s">
        <v>45</v>
      </c>
      <c r="B107">
        <f t="shared" si="6"/>
        <v>5</v>
      </c>
      <c r="C107" t="s">
        <v>43</v>
      </c>
      <c r="D107">
        <v>14</v>
      </c>
      <c r="E107">
        <v>30</v>
      </c>
      <c r="F107">
        <f t="shared" si="7"/>
        <v>420</v>
      </c>
    </row>
    <row r="108" spans="1:6">
      <c r="A108" t="s">
        <v>62</v>
      </c>
      <c r="B108">
        <f t="shared" si="6"/>
        <v>6</v>
      </c>
      <c r="C108" t="s">
        <v>51</v>
      </c>
      <c r="D108">
        <v>6</v>
      </c>
      <c r="E108">
        <v>50</v>
      </c>
      <c r="F108">
        <f t="shared" si="7"/>
        <v>300</v>
      </c>
    </row>
    <row r="109" spans="1:6">
      <c r="A109" t="s">
        <v>45</v>
      </c>
      <c r="B109">
        <f t="shared" si="6"/>
        <v>5</v>
      </c>
      <c r="C109" t="s">
        <v>56</v>
      </c>
      <c r="D109">
        <v>9</v>
      </c>
      <c r="E109">
        <v>20</v>
      </c>
      <c r="F109">
        <f t="shared" si="7"/>
        <v>180</v>
      </c>
    </row>
    <row r="110" spans="1:6">
      <c r="A110" t="s">
        <v>60</v>
      </c>
      <c r="B110">
        <f t="shared" si="6"/>
        <v>15</v>
      </c>
      <c r="C110" t="s">
        <v>56</v>
      </c>
      <c r="D110">
        <v>8</v>
      </c>
      <c r="E110">
        <v>20</v>
      </c>
      <c r="F110">
        <f t="shared" si="7"/>
        <v>160</v>
      </c>
    </row>
    <row r="111" spans="1:6">
      <c r="A111" t="s">
        <v>40</v>
      </c>
      <c r="B111">
        <f t="shared" si="6"/>
        <v>9</v>
      </c>
      <c r="C111" t="s">
        <v>51</v>
      </c>
      <c r="D111">
        <v>8</v>
      </c>
      <c r="E111">
        <v>50</v>
      </c>
      <c r="F111">
        <f t="shared" si="7"/>
        <v>400</v>
      </c>
    </row>
    <row r="112" spans="1:6">
      <c r="A112" t="s">
        <v>42</v>
      </c>
      <c r="B112">
        <f t="shared" si="6"/>
        <v>13</v>
      </c>
      <c r="C112" t="s">
        <v>43</v>
      </c>
      <c r="D112">
        <v>4</v>
      </c>
      <c r="E112">
        <v>30</v>
      </c>
      <c r="F112">
        <f t="shared" si="7"/>
        <v>120</v>
      </c>
    </row>
    <row r="113" spans="1:6">
      <c r="A113" t="s">
        <v>61</v>
      </c>
      <c r="B113">
        <f t="shared" si="6"/>
        <v>3</v>
      </c>
      <c r="C113" t="s">
        <v>51</v>
      </c>
      <c r="D113">
        <v>5</v>
      </c>
      <c r="E113">
        <v>50</v>
      </c>
      <c r="F113">
        <f t="shared" si="7"/>
        <v>250</v>
      </c>
    </row>
    <row r="114" spans="1:6">
      <c r="A114" t="s">
        <v>62</v>
      </c>
      <c r="B114">
        <f t="shared" si="6"/>
        <v>6</v>
      </c>
      <c r="C114" t="s">
        <v>41</v>
      </c>
      <c r="D114">
        <v>8</v>
      </c>
      <c r="E114">
        <v>40</v>
      </c>
      <c r="F114">
        <f t="shared" si="7"/>
        <v>320</v>
      </c>
    </row>
    <row r="115" spans="1:6">
      <c r="A115" t="s">
        <v>65</v>
      </c>
      <c r="B115">
        <f t="shared" si="6"/>
        <v>8</v>
      </c>
      <c r="C115" t="s">
        <v>58</v>
      </c>
      <c r="D115">
        <v>3</v>
      </c>
      <c r="E115">
        <v>25</v>
      </c>
      <c r="F115">
        <f t="shared" si="7"/>
        <v>75</v>
      </c>
    </row>
    <row r="116" spans="1:6">
      <c r="A116" t="s">
        <v>60</v>
      </c>
      <c r="B116">
        <f t="shared" si="6"/>
        <v>15</v>
      </c>
      <c r="C116" t="s">
        <v>56</v>
      </c>
      <c r="D116">
        <v>12</v>
      </c>
      <c r="E116">
        <v>20</v>
      </c>
      <c r="F116">
        <f t="shared" si="7"/>
        <v>240</v>
      </c>
    </row>
    <row r="117" spans="1:6">
      <c r="A117" t="s">
        <v>61</v>
      </c>
      <c r="B117">
        <f t="shared" si="6"/>
        <v>3</v>
      </c>
      <c r="C117" t="s">
        <v>58</v>
      </c>
      <c r="D117">
        <v>7</v>
      </c>
      <c r="E117">
        <v>25</v>
      </c>
      <c r="F117">
        <f t="shared" si="7"/>
        <v>175</v>
      </c>
    </row>
    <row r="118" spans="1:6">
      <c r="A118" t="s">
        <v>54</v>
      </c>
      <c r="B118">
        <f t="shared" si="6"/>
        <v>14</v>
      </c>
      <c r="C118" t="s">
        <v>58</v>
      </c>
      <c r="D118">
        <v>8</v>
      </c>
      <c r="E118">
        <v>25</v>
      </c>
      <c r="F118">
        <f t="shared" si="7"/>
        <v>200</v>
      </c>
    </row>
    <row r="119" spans="1:6">
      <c r="A119" t="s">
        <v>54</v>
      </c>
      <c r="B119">
        <f t="shared" si="6"/>
        <v>14</v>
      </c>
      <c r="C119" t="s">
        <v>59</v>
      </c>
      <c r="D119">
        <v>10</v>
      </c>
      <c r="E119">
        <v>60</v>
      </c>
      <c r="F119">
        <f t="shared" si="7"/>
        <v>600</v>
      </c>
    </row>
    <row r="120" spans="1:6">
      <c r="A120" t="s">
        <v>44</v>
      </c>
      <c r="B120">
        <f t="shared" si="6"/>
        <v>1</v>
      </c>
      <c r="C120" t="s">
        <v>59</v>
      </c>
      <c r="D120">
        <v>3</v>
      </c>
      <c r="E120">
        <v>60</v>
      </c>
      <c r="F120">
        <f t="shared" si="7"/>
        <v>180</v>
      </c>
    </row>
    <row r="121" spans="1:6">
      <c r="A121" t="s">
        <v>65</v>
      </c>
      <c r="B121">
        <f t="shared" si="6"/>
        <v>8</v>
      </c>
      <c r="C121" t="s">
        <v>58</v>
      </c>
      <c r="D121">
        <v>12</v>
      </c>
      <c r="E121">
        <v>25</v>
      </c>
      <c r="F121">
        <f t="shared" si="7"/>
        <v>300</v>
      </c>
    </row>
    <row r="122" spans="1:6">
      <c r="A122" t="s">
        <v>48</v>
      </c>
      <c r="B122">
        <f t="shared" si="6"/>
        <v>12</v>
      </c>
      <c r="C122" t="s">
        <v>56</v>
      </c>
      <c r="D122">
        <v>6</v>
      </c>
      <c r="E122">
        <v>20</v>
      </c>
      <c r="F122">
        <f t="shared" si="7"/>
        <v>120</v>
      </c>
    </row>
    <row r="123" spans="1:6">
      <c r="A123" t="s">
        <v>50</v>
      </c>
      <c r="B123">
        <f t="shared" si="6"/>
        <v>4</v>
      </c>
      <c r="C123" t="s">
        <v>43</v>
      </c>
      <c r="D123">
        <v>10</v>
      </c>
      <c r="E123">
        <v>30</v>
      </c>
      <c r="F123">
        <f t="shared" si="7"/>
        <v>300</v>
      </c>
    </row>
    <row r="124" spans="1:6">
      <c r="A124" t="s">
        <v>42</v>
      </c>
      <c r="B124">
        <f t="shared" si="6"/>
        <v>13</v>
      </c>
      <c r="C124" t="s">
        <v>51</v>
      </c>
      <c r="D124">
        <v>1</v>
      </c>
      <c r="E124">
        <v>50</v>
      </c>
      <c r="F124">
        <f t="shared" si="7"/>
        <v>50</v>
      </c>
    </row>
    <row r="125" spans="1:6">
      <c r="A125" t="s">
        <v>63</v>
      </c>
      <c r="B125">
        <f t="shared" si="6"/>
        <v>2</v>
      </c>
      <c r="C125" t="s">
        <v>56</v>
      </c>
      <c r="D125">
        <v>14</v>
      </c>
      <c r="E125">
        <v>20</v>
      </c>
      <c r="F125">
        <f t="shared" si="7"/>
        <v>280</v>
      </c>
    </row>
    <row r="126" spans="1:6">
      <c r="A126" t="s">
        <v>50</v>
      </c>
      <c r="B126">
        <f t="shared" si="6"/>
        <v>4</v>
      </c>
      <c r="C126" t="s">
        <v>46</v>
      </c>
      <c r="D126">
        <v>1</v>
      </c>
      <c r="E126">
        <v>35</v>
      </c>
      <c r="F126">
        <f t="shared" si="7"/>
        <v>35</v>
      </c>
    </row>
    <row r="127" spans="1:6">
      <c r="A127" t="s">
        <v>61</v>
      </c>
      <c r="B127">
        <f t="shared" si="6"/>
        <v>3</v>
      </c>
      <c r="C127" t="s">
        <v>58</v>
      </c>
      <c r="D127">
        <v>3</v>
      </c>
      <c r="E127">
        <v>25</v>
      </c>
      <c r="F127">
        <f t="shared" si="7"/>
        <v>75</v>
      </c>
    </row>
    <row r="128" spans="1:6">
      <c r="A128" t="s">
        <v>66</v>
      </c>
      <c r="B128">
        <f t="shared" si="6"/>
        <v>7</v>
      </c>
      <c r="C128" t="s">
        <v>43</v>
      </c>
      <c r="D128">
        <v>1</v>
      </c>
      <c r="E128">
        <v>30</v>
      </c>
      <c r="F128">
        <f t="shared" si="7"/>
        <v>30</v>
      </c>
    </row>
    <row r="129" spans="1:6">
      <c r="A129" t="s">
        <v>64</v>
      </c>
      <c r="B129">
        <f t="shared" si="6"/>
        <v>10</v>
      </c>
      <c r="C129" t="s">
        <v>41</v>
      </c>
      <c r="D129">
        <v>1</v>
      </c>
      <c r="E129">
        <v>40</v>
      </c>
      <c r="F129">
        <f t="shared" si="7"/>
        <v>40</v>
      </c>
    </row>
    <row r="130" spans="1:6">
      <c r="A130" t="s">
        <v>62</v>
      </c>
      <c r="B130">
        <f t="shared" si="6"/>
        <v>6</v>
      </c>
      <c r="C130" t="s">
        <v>56</v>
      </c>
      <c r="D130">
        <v>15</v>
      </c>
      <c r="E130">
        <v>20</v>
      </c>
      <c r="F130">
        <f t="shared" si="7"/>
        <v>300</v>
      </c>
    </row>
    <row r="131" spans="1:6">
      <c r="A131" t="s">
        <v>42</v>
      </c>
      <c r="B131">
        <f t="shared" ref="B131:B151" si="8">DAY(A131)</f>
        <v>13</v>
      </c>
      <c r="C131" t="s">
        <v>58</v>
      </c>
      <c r="D131">
        <v>8</v>
      </c>
      <c r="E131">
        <v>25</v>
      </c>
      <c r="F131">
        <f t="shared" ref="F131:F151" si="9">SUM(D131*E131)</f>
        <v>200</v>
      </c>
    </row>
    <row r="132" spans="1:6">
      <c r="A132" t="s">
        <v>50</v>
      </c>
      <c r="B132">
        <f t="shared" si="8"/>
        <v>4</v>
      </c>
      <c r="C132" t="s">
        <v>43</v>
      </c>
      <c r="D132">
        <v>2</v>
      </c>
      <c r="E132">
        <v>30</v>
      </c>
      <c r="F132">
        <f t="shared" si="9"/>
        <v>60</v>
      </c>
    </row>
    <row r="133" spans="1:6">
      <c r="A133" t="s">
        <v>42</v>
      </c>
      <c r="B133">
        <f t="shared" si="8"/>
        <v>13</v>
      </c>
      <c r="C133" t="s">
        <v>51</v>
      </c>
      <c r="D133">
        <v>13</v>
      </c>
      <c r="E133">
        <v>50</v>
      </c>
      <c r="F133">
        <f t="shared" si="9"/>
        <v>650</v>
      </c>
    </row>
    <row r="134" spans="1:6">
      <c r="A134" t="s">
        <v>44</v>
      </c>
      <c r="B134">
        <f t="shared" si="8"/>
        <v>1</v>
      </c>
      <c r="C134" t="s">
        <v>59</v>
      </c>
      <c r="D134">
        <v>7</v>
      </c>
      <c r="E134">
        <v>60</v>
      </c>
      <c r="F134">
        <f t="shared" si="9"/>
        <v>420</v>
      </c>
    </row>
    <row r="135" spans="1:6">
      <c r="A135" t="s">
        <v>44</v>
      </c>
      <c r="B135">
        <f t="shared" si="8"/>
        <v>1</v>
      </c>
      <c r="C135" t="s">
        <v>56</v>
      </c>
      <c r="D135">
        <v>6</v>
      </c>
      <c r="E135">
        <v>20</v>
      </c>
      <c r="F135">
        <f t="shared" si="9"/>
        <v>120</v>
      </c>
    </row>
    <row r="136" spans="1:6">
      <c r="A136" t="s">
        <v>60</v>
      </c>
      <c r="B136">
        <f t="shared" si="8"/>
        <v>15</v>
      </c>
      <c r="C136" t="s">
        <v>46</v>
      </c>
      <c r="D136">
        <v>11</v>
      </c>
      <c r="E136">
        <v>35</v>
      </c>
      <c r="F136">
        <f t="shared" si="9"/>
        <v>385</v>
      </c>
    </row>
    <row r="137" spans="1:6">
      <c r="A137" t="s">
        <v>54</v>
      </c>
      <c r="B137">
        <f t="shared" si="8"/>
        <v>14</v>
      </c>
      <c r="C137" t="s">
        <v>46</v>
      </c>
      <c r="D137">
        <v>9</v>
      </c>
      <c r="E137">
        <v>35</v>
      </c>
      <c r="F137">
        <f t="shared" si="9"/>
        <v>315</v>
      </c>
    </row>
    <row r="138" spans="1:6">
      <c r="A138" t="s">
        <v>65</v>
      </c>
      <c r="B138">
        <f t="shared" si="8"/>
        <v>8</v>
      </c>
      <c r="C138" t="s">
        <v>58</v>
      </c>
      <c r="D138">
        <v>14</v>
      </c>
      <c r="E138">
        <v>25</v>
      </c>
      <c r="F138">
        <f t="shared" si="9"/>
        <v>350</v>
      </c>
    </row>
    <row r="139" spans="1:6">
      <c r="A139" t="s">
        <v>60</v>
      </c>
      <c r="B139">
        <f t="shared" si="8"/>
        <v>15</v>
      </c>
      <c r="C139" t="s">
        <v>46</v>
      </c>
      <c r="D139">
        <v>3</v>
      </c>
      <c r="E139">
        <v>35</v>
      </c>
      <c r="F139">
        <f t="shared" si="9"/>
        <v>105</v>
      </c>
    </row>
    <row r="140" spans="1:6">
      <c r="A140" t="s">
        <v>66</v>
      </c>
      <c r="B140">
        <f t="shared" si="8"/>
        <v>7</v>
      </c>
      <c r="C140" t="s">
        <v>56</v>
      </c>
      <c r="D140">
        <v>8</v>
      </c>
      <c r="E140">
        <v>20</v>
      </c>
      <c r="F140">
        <f t="shared" si="9"/>
        <v>160</v>
      </c>
    </row>
    <row r="141" spans="1:6">
      <c r="A141" t="s">
        <v>50</v>
      </c>
      <c r="B141">
        <f t="shared" si="8"/>
        <v>4</v>
      </c>
      <c r="C141" t="s">
        <v>43</v>
      </c>
      <c r="D141">
        <v>10</v>
      </c>
      <c r="E141">
        <v>30</v>
      </c>
      <c r="F141">
        <f t="shared" si="9"/>
        <v>300</v>
      </c>
    </row>
    <row r="142" spans="1:6">
      <c r="A142" t="s">
        <v>45</v>
      </c>
      <c r="B142">
        <f t="shared" si="8"/>
        <v>5</v>
      </c>
      <c r="C142" t="s">
        <v>46</v>
      </c>
      <c r="D142">
        <v>6</v>
      </c>
      <c r="E142">
        <v>35</v>
      </c>
      <c r="F142">
        <f t="shared" si="9"/>
        <v>210</v>
      </c>
    </row>
    <row r="143" spans="1:6">
      <c r="A143" t="s">
        <v>45</v>
      </c>
      <c r="B143">
        <f t="shared" si="8"/>
        <v>5</v>
      </c>
      <c r="C143" t="s">
        <v>43</v>
      </c>
      <c r="D143">
        <v>5</v>
      </c>
      <c r="E143">
        <v>30</v>
      </c>
      <c r="F143">
        <f t="shared" si="9"/>
        <v>150</v>
      </c>
    </row>
    <row r="144" spans="1:6">
      <c r="A144" t="s">
        <v>48</v>
      </c>
      <c r="B144">
        <f t="shared" si="8"/>
        <v>12</v>
      </c>
      <c r="C144" t="s">
        <v>58</v>
      </c>
      <c r="D144">
        <v>4</v>
      </c>
      <c r="E144">
        <v>25</v>
      </c>
      <c r="F144">
        <f t="shared" si="9"/>
        <v>100</v>
      </c>
    </row>
    <row r="145" spans="1:6">
      <c r="A145" t="s">
        <v>40</v>
      </c>
      <c r="B145">
        <f t="shared" si="8"/>
        <v>9</v>
      </c>
      <c r="C145" t="s">
        <v>46</v>
      </c>
      <c r="D145">
        <v>9</v>
      </c>
      <c r="E145">
        <v>35</v>
      </c>
      <c r="F145">
        <f t="shared" si="9"/>
        <v>315</v>
      </c>
    </row>
    <row r="146" spans="1:6">
      <c r="A146" t="s">
        <v>44</v>
      </c>
      <c r="B146">
        <f t="shared" si="8"/>
        <v>1</v>
      </c>
      <c r="C146" t="s">
        <v>43</v>
      </c>
      <c r="D146">
        <v>9</v>
      </c>
      <c r="E146">
        <v>30</v>
      </c>
      <c r="F146">
        <f t="shared" si="9"/>
        <v>270</v>
      </c>
    </row>
    <row r="147" spans="1:6">
      <c r="A147" t="s">
        <v>60</v>
      </c>
      <c r="B147">
        <f t="shared" si="8"/>
        <v>15</v>
      </c>
      <c r="C147" t="s">
        <v>56</v>
      </c>
      <c r="D147">
        <v>2</v>
      </c>
      <c r="E147">
        <v>20</v>
      </c>
      <c r="F147">
        <f t="shared" si="9"/>
        <v>40</v>
      </c>
    </row>
    <row r="148" spans="1:6">
      <c r="A148" t="s">
        <v>62</v>
      </c>
      <c r="B148">
        <f t="shared" si="8"/>
        <v>6</v>
      </c>
      <c r="C148" t="s">
        <v>46</v>
      </c>
      <c r="D148">
        <v>13</v>
      </c>
      <c r="E148">
        <v>35</v>
      </c>
      <c r="F148">
        <f t="shared" si="9"/>
        <v>455</v>
      </c>
    </row>
    <row r="149" spans="1:6">
      <c r="A149" t="s">
        <v>44</v>
      </c>
      <c r="B149">
        <f t="shared" si="8"/>
        <v>1</v>
      </c>
      <c r="C149" t="s">
        <v>41</v>
      </c>
      <c r="D149">
        <v>9</v>
      </c>
      <c r="E149">
        <v>40</v>
      </c>
      <c r="F149">
        <f t="shared" si="9"/>
        <v>360</v>
      </c>
    </row>
    <row r="150" spans="1:6">
      <c r="A150" t="s">
        <v>45</v>
      </c>
      <c r="B150">
        <f t="shared" si="8"/>
        <v>5</v>
      </c>
      <c r="C150" t="s">
        <v>58</v>
      </c>
      <c r="D150">
        <v>6</v>
      </c>
      <c r="E150">
        <v>25</v>
      </c>
      <c r="F150">
        <f t="shared" si="9"/>
        <v>150</v>
      </c>
    </row>
    <row r="151" spans="1:6">
      <c r="A151" t="s">
        <v>67</v>
      </c>
      <c r="B151">
        <f t="shared" si="8"/>
        <v>11</v>
      </c>
      <c r="C151" t="s">
        <v>43</v>
      </c>
      <c r="D151">
        <v>15</v>
      </c>
      <c r="E151">
        <v>30</v>
      </c>
      <c r="F151">
        <f t="shared" si="9"/>
        <v>450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Questions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Singh</dc:creator>
  <cp:lastModifiedBy>Suraj singh</cp:lastModifiedBy>
  <dcterms:created xsi:type="dcterms:W3CDTF">2025-06-09T09:35:00Z</dcterms:created>
  <dcterms:modified xsi:type="dcterms:W3CDTF">2026-08-07T15:38:10Z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70B2DFD0EA454FB18766353E48F0AE12_12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