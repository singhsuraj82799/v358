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<sst xmlns="http://schemas.openxmlformats.org/spreadsheetml/2006/main" count="95" uniqueCount="79">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</sst>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3"/>
      <color rgb="FF1F497D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/>
    <xf numFmtId="180" fontId="0" fillId="0" borderId="0" xfId="0" applyNumberFormat="1" applyFont="1" applyAlignment="1"/>
    <xf numFmtId="180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1" fontId="1" fillId="0" borderId="0" xfId="0" applyNumberFormat="1" applyFont="1"/>
    <xf numFmtId="2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topLeftCell="B1" workbookViewId="0">
      <selection activeCell="J7" sqref="J7"/>
    </sheetView>
  </sheetViews>
  <sheetFormatPr defaultColWidth="14.4272727272727" defaultRowHeight="15" customHeight="1"/>
  <cols>
    <col min="1" max="1" width="16.5727272727273" customWidth="1"/>
    <col min="2" max="2" width="11.5727272727273" customWidth="1"/>
    <col min="3" max="3" width="11.7090909090909" customWidth="1"/>
    <col min="4" max="4" width="14.5727272727273" customWidth="1"/>
    <col min="5" max="5" width="16.8545454545455" customWidth="1"/>
    <col min="6" max="6" width="14.1363636363636" customWidth="1"/>
    <col min="7" max="7" width="15.2818181818182" customWidth="1"/>
    <col min="8" max="8" width="12.4272727272727" customWidth="1"/>
    <col min="9" max="9" width="14.7090909090909" customWidth="1"/>
    <col min="10" max="10" width="35" customWidth="1"/>
    <col min="11" max="26" width="8.70909090909091" customWidth="1"/>
  </cols>
  <sheetData>
    <row r="1" ht="14.25" customHeight="1" spans="1:10">
      <c r="H1" s="1" t="s">
        <v>0</v>
      </c>
      <c r="I1" s="2">
        <f ca="1">TODAY()</f>
        <v>46270</v>
      </c>
    </row>
    <row r="2" ht="14.25" customHeight="1" spans="1:10">
      <c r="H2" s="3"/>
    </row>
    <row r="3" ht="36.75" customHeight="1" spans="1:1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ht="14.25" customHeight="1" spans="1:10">
      <c r="A4" t="str">
        <f>_xlfn.CONCAT(B4," ",C4)</f>
        <v>DECKER ERICA</v>
      </c>
      <c r="B4" s="1" t="s">
        <v>11</v>
      </c>
      <c r="C4" s="1" t="s">
        <v>12</v>
      </c>
      <c r="D4" s="3">
        <v>36359</v>
      </c>
      <c r="E4" s="5" t="s">
        <v>13</v>
      </c>
      <c r="F4" s="6">
        <f ca="1">YEAR(TODAY())-YEAR(D4)</f>
        <v>27</v>
      </c>
      <c r="G4" s="5" t="s">
        <v>14</v>
      </c>
      <c r="H4" t="str">
        <f>RIGHT(G4,4)</f>
        <v>2099</v>
      </c>
      <c r="I4" t="str">
        <f>LEFT(G4,FIND("-",G4)-1)</f>
        <v>Lab</v>
      </c>
      <c r="J4" t="str">
        <f>_xlfn.CONCAT(LOWER(B4),"_",LOWER(C4),"@companyname.com")</f>
        <v>decker_erica@companyname.com</v>
      </c>
    </row>
    <row r="5" ht="14.25" customHeight="1" spans="1:10">
      <c r="A5" t="str">
        <f t="shared" ref="A5:A24" si="0">_xlfn.CONCAT(B5," ",C5)</f>
        <v>BARRY ANGELA</v>
      </c>
      <c r="B5" s="1" t="s">
        <v>15</v>
      </c>
      <c r="C5" s="1" t="s">
        <v>16</v>
      </c>
      <c r="D5" s="3">
        <v>36171</v>
      </c>
      <c r="E5" s="5" t="s">
        <v>17</v>
      </c>
      <c r="F5" s="6">
        <f ca="1" t="shared" ref="F5:F24" si="1">YEAR(TODAY())-YEAR(D5)</f>
        <v>27</v>
      </c>
      <c r="G5" s="5" t="s">
        <v>18</v>
      </c>
      <c r="H5" t="str">
        <f t="shared" ref="H5:H24" si="2">RIGHT(G5,4)</f>
        <v>2770</v>
      </c>
      <c r="I5" t="str">
        <f>LEFT(G5,FIND("-",G5)-1)</f>
        <v>Central</v>
      </c>
      <c r="J5" t="str">
        <f t="shared" ref="J5:J24" si="3">_xlfn.CONCAT(LOWER(B5),"_",LOWER(C5),"@companyname.com")</f>
        <v>barry_angela@companyname.com</v>
      </c>
    </row>
    <row r="6" ht="14.25" customHeight="1" spans="1:10">
      <c r="A6" t="str">
        <f t="shared" si="0"/>
        <v>COLE DANIEL</v>
      </c>
      <c r="B6" s="1" t="s">
        <v>19</v>
      </c>
      <c r="C6" s="1" t="s">
        <v>20</v>
      </c>
      <c r="D6" s="3">
        <v>36551</v>
      </c>
      <c r="E6" s="5" t="s">
        <v>21</v>
      </c>
      <c r="F6" s="6">
        <f ca="1" t="shared" si="1"/>
        <v>26</v>
      </c>
      <c r="G6" s="5" t="s">
        <v>22</v>
      </c>
      <c r="H6" t="str">
        <f t="shared" si="2"/>
        <v>2544</v>
      </c>
      <c r="I6" t="str">
        <f t="shared" ref="I6:I24" si="4">LEFT(G6,FIND("-",G6)-1)</f>
        <v>Central</v>
      </c>
      <c r="J6" t="str">
        <f t="shared" si="3"/>
        <v>cole_daniel@companyname.com</v>
      </c>
    </row>
    <row r="7" ht="14.25" customHeight="1" spans="1:10">
      <c r="A7" t="str">
        <f t="shared" si="0"/>
        <v>CHAFFEE ADAM</v>
      </c>
      <c r="B7" s="1" t="s">
        <v>23</v>
      </c>
      <c r="C7" s="1" t="s">
        <v>24</v>
      </c>
      <c r="D7" s="3">
        <v>36937</v>
      </c>
      <c r="E7" s="5" t="s">
        <v>25</v>
      </c>
      <c r="F7" s="6">
        <f ca="1" t="shared" si="1"/>
        <v>25</v>
      </c>
      <c r="G7" s="5" t="s">
        <v>26</v>
      </c>
      <c r="H7" t="str">
        <f t="shared" si="2"/>
        <v>2110</v>
      </c>
      <c r="I7" t="str">
        <f t="shared" si="4"/>
        <v>HQ</v>
      </c>
      <c r="J7" t="str">
        <f t="shared" si="3"/>
        <v>chaffee_adam@companyname.com</v>
      </c>
    </row>
    <row r="8" ht="14.25" customHeight="1" spans="1:10">
      <c r="A8" t="str">
        <f t="shared" si="0"/>
        <v>DONNELL SUSAN</v>
      </c>
      <c r="B8" s="1" t="s">
        <v>27</v>
      </c>
      <c r="C8" s="1" t="s">
        <v>28</v>
      </c>
      <c r="D8" s="3">
        <v>37378</v>
      </c>
      <c r="E8" s="5" t="s">
        <v>29</v>
      </c>
      <c r="F8" s="6">
        <f ca="1" t="shared" si="1"/>
        <v>24</v>
      </c>
      <c r="G8" s="5" t="s">
        <v>30</v>
      </c>
      <c r="H8" t="str">
        <f t="shared" si="2"/>
        <v>2066</v>
      </c>
      <c r="I8" t="str">
        <f t="shared" si="4"/>
        <v>HQ</v>
      </c>
      <c r="J8" t="str">
        <f t="shared" si="3"/>
        <v>donnell_susan@companyname.com</v>
      </c>
    </row>
    <row r="9" ht="14.25" customHeight="1" spans="1:10">
      <c r="A9" t="str">
        <f t="shared" si="0"/>
        <v>FERN ELIZABETH</v>
      </c>
      <c r="B9" s="1" t="s">
        <v>31</v>
      </c>
      <c r="C9" s="1" t="s">
        <v>32</v>
      </c>
      <c r="D9" s="3">
        <v>37841</v>
      </c>
      <c r="E9" s="5" t="s">
        <v>33</v>
      </c>
      <c r="F9" s="6">
        <f ca="1" t="shared" si="1"/>
        <v>23</v>
      </c>
      <c r="G9" s="5" t="s">
        <v>34</v>
      </c>
      <c r="H9" t="str">
        <f t="shared" si="2"/>
        <v>2511</v>
      </c>
      <c r="I9" t="str">
        <f t="shared" si="4"/>
        <v>HQ</v>
      </c>
      <c r="J9" t="str">
        <f t="shared" si="3"/>
        <v>fern_elizabeth@companyname.com</v>
      </c>
    </row>
    <row r="10" ht="14.25" customHeight="1" spans="1:10">
      <c r="A10" t="str">
        <f t="shared" si="0"/>
        <v>ELLIS JANET</v>
      </c>
      <c r="B10" s="1" t="s">
        <v>35</v>
      </c>
      <c r="C10" s="1" t="s">
        <v>36</v>
      </c>
      <c r="D10" s="3">
        <v>38982</v>
      </c>
      <c r="E10" s="5" t="s">
        <v>29</v>
      </c>
      <c r="F10" s="6">
        <f ca="1" t="shared" si="1"/>
        <v>20</v>
      </c>
      <c r="G10" s="5" t="s">
        <v>37</v>
      </c>
      <c r="H10" t="str">
        <f t="shared" si="2"/>
        <v>2665</v>
      </c>
      <c r="I10" t="str">
        <f t="shared" si="4"/>
        <v>HQ</v>
      </c>
      <c r="J10" t="str">
        <f t="shared" si="3"/>
        <v>ellis_janet@companyname.com</v>
      </c>
    </row>
    <row r="11" ht="14.25" customHeight="1" spans="1:10">
      <c r="A11" t="str">
        <f t="shared" si="0"/>
        <v>CHUNG BOB</v>
      </c>
      <c r="B11" s="1" t="s">
        <v>38</v>
      </c>
      <c r="C11" s="1" t="s">
        <v>39</v>
      </c>
      <c r="D11" s="3">
        <v>39769</v>
      </c>
      <c r="E11" s="5" t="s">
        <v>29</v>
      </c>
      <c r="F11" s="6">
        <f ca="1" t="shared" si="1"/>
        <v>18</v>
      </c>
      <c r="G11" s="5" t="s">
        <v>40</v>
      </c>
      <c r="H11" t="str">
        <f t="shared" si="2"/>
        <v>2667</v>
      </c>
      <c r="I11" t="str">
        <f t="shared" si="4"/>
        <v>HQ</v>
      </c>
      <c r="J11" t="str">
        <f t="shared" si="3"/>
        <v>chung_bob@companyname.com</v>
      </c>
    </row>
    <row r="12" ht="14.25" customHeight="1" spans="1:10">
      <c r="A12" t="str">
        <f t="shared" si="0"/>
        <v>FLANDERS SABRINA</v>
      </c>
      <c r="B12" s="1" t="s">
        <v>41</v>
      </c>
      <c r="C12" s="1" t="s">
        <v>42</v>
      </c>
      <c r="D12" s="3">
        <v>39965</v>
      </c>
      <c r="E12" s="5" t="s">
        <v>21</v>
      </c>
      <c r="F12" s="6">
        <f ca="1" t="shared" si="1"/>
        <v>17</v>
      </c>
      <c r="G12" s="5" t="s">
        <v>43</v>
      </c>
      <c r="H12" t="str">
        <f t="shared" si="2"/>
        <v>2967</v>
      </c>
      <c r="I12" t="str">
        <f t="shared" si="4"/>
        <v>Central</v>
      </c>
      <c r="J12" t="str">
        <f t="shared" si="3"/>
        <v>flanders_sabrina@companyname.com</v>
      </c>
    </row>
    <row r="13" ht="14.25" customHeight="1" spans="1:10">
      <c r="A13" t="str">
        <f t="shared" si="0"/>
        <v>CLARK JOHN</v>
      </c>
      <c r="B13" s="1" t="s">
        <v>44</v>
      </c>
      <c r="C13" s="1" t="s">
        <v>45</v>
      </c>
      <c r="D13" s="3">
        <v>39330</v>
      </c>
      <c r="E13" s="5" t="s">
        <v>29</v>
      </c>
      <c r="F13" s="6">
        <f ca="1" t="shared" si="1"/>
        <v>19</v>
      </c>
      <c r="G13" s="5" t="s">
        <v>46</v>
      </c>
      <c r="H13" t="str">
        <f t="shared" si="2"/>
        <v>2700</v>
      </c>
      <c r="I13" t="str">
        <f t="shared" si="4"/>
        <v>HQ</v>
      </c>
      <c r="J13" t="str">
        <f t="shared" si="3"/>
        <v>clark_john@companyname.com</v>
      </c>
    </row>
    <row r="14" ht="14.25" customHeight="1" spans="1:10">
      <c r="A14" t="str">
        <f t="shared" si="0"/>
        <v>BOLLER MARY</v>
      </c>
      <c r="B14" s="1" t="s">
        <v>47</v>
      </c>
      <c r="C14" s="1" t="s">
        <v>48</v>
      </c>
      <c r="D14" s="3">
        <v>37043</v>
      </c>
      <c r="E14" s="5" t="s">
        <v>29</v>
      </c>
      <c r="F14" s="6">
        <f ca="1" t="shared" si="1"/>
        <v>25</v>
      </c>
      <c r="G14" s="5" t="s">
        <v>49</v>
      </c>
      <c r="H14" t="str">
        <f t="shared" si="2"/>
        <v>2678</v>
      </c>
      <c r="I14" t="str">
        <f t="shared" si="4"/>
        <v>HQ</v>
      </c>
      <c r="J14" t="str">
        <f t="shared" si="3"/>
        <v>boller_mary@companyname.com</v>
      </c>
    </row>
    <row r="15" ht="14.25" customHeight="1" spans="1:10">
      <c r="A15" t="str">
        <f t="shared" si="0"/>
        <v>CAROL ELIZABETH</v>
      </c>
      <c r="B15" s="1" t="s">
        <v>50</v>
      </c>
      <c r="C15" s="1" t="s">
        <v>32</v>
      </c>
      <c r="D15" s="3">
        <v>39575</v>
      </c>
      <c r="E15" s="5" t="s">
        <v>51</v>
      </c>
      <c r="F15" s="6">
        <f ca="1" t="shared" si="1"/>
        <v>18</v>
      </c>
      <c r="G15" s="5" t="s">
        <v>52</v>
      </c>
      <c r="H15" t="str">
        <f t="shared" si="2"/>
        <v>2089</v>
      </c>
      <c r="I15" t="str">
        <f t="shared" si="4"/>
        <v>HQ</v>
      </c>
      <c r="J15" t="str">
        <f t="shared" si="3"/>
        <v>carol_elizabeth@companyname.com</v>
      </c>
    </row>
    <row r="16" ht="14.25" customHeight="1" spans="1:10">
      <c r="A16" t="str">
        <f t="shared" si="0"/>
        <v>CLARK ANNA</v>
      </c>
      <c r="B16" s="1" t="s">
        <v>44</v>
      </c>
      <c r="C16" s="1" t="s">
        <v>53</v>
      </c>
      <c r="D16" s="3">
        <v>37895</v>
      </c>
      <c r="E16" s="5" t="s">
        <v>21</v>
      </c>
      <c r="F16" s="6">
        <f ca="1" t="shared" si="1"/>
        <v>23</v>
      </c>
      <c r="G16" s="5" t="s">
        <v>54</v>
      </c>
      <c r="H16" t="str">
        <f t="shared" si="2"/>
        <v>2547</v>
      </c>
      <c r="I16" t="str">
        <f t="shared" si="4"/>
        <v>Central</v>
      </c>
      <c r="J16" t="str">
        <f t="shared" si="3"/>
        <v>clark_anna@companyname.com</v>
      </c>
    </row>
    <row r="17" ht="14.25" customHeight="1" spans="1:10">
      <c r="A17" t="str">
        <f t="shared" si="0"/>
        <v>CLARKE JOE</v>
      </c>
      <c r="B17" s="1" t="s">
        <v>55</v>
      </c>
      <c r="C17" s="1" t="s">
        <v>56</v>
      </c>
      <c r="D17" s="3">
        <v>38065</v>
      </c>
      <c r="E17" s="5" t="s">
        <v>57</v>
      </c>
      <c r="F17" s="6">
        <f ca="1" t="shared" si="1"/>
        <v>22</v>
      </c>
      <c r="G17" s="5" t="s">
        <v>58</v>
      </c>
      <c r="H17" t="str">
        <f t="shared" si="2"/>
        <v>2109</v>
      </c>
      <c r="I17" t="str">
        <f t="shared" si="4"/>
        <v>HQ</v>
      </c>
      <c r="J17" t="str">
        <f t="shared" si="3"/>
        <v>clarke_joe@companyname.com</v>
      </c>
    </row>
    <row r="18" ht="14.25" customHeight="1" spans="1:10">
      <c r="A18" t="str">
        <f t="shared" si="0"/>
        <v>COMUNTZIS MARK</v>
      </c>
      <c r="B18" s="1" t="s">
        <v>59</v>
      </c>
      <c r="C18" s="1" t="s">
        <v>60</v>
      </c>
      <c r="D18" s="3">
        <v>38489</v>
      </c>
      <c r="E18" s="5" t="s">
        <v>17</v>
      </c>
      <c r="F18" s="6">
        <f ca="1" t="shared" si="1"/>
        <v>21</v>
      </c>
      <c r="G18" s="5" t="s">
        <v>61</v>
      </c>
      <c r="H18" t="str">
        <f t="shared" si="2"/>
        <v>2046</v>
      </c>
      <c r="I18" t="str">
        <f t="shared" si="4"/>
        <v>Central</v>
      </c>
      <c r="J18" t="str">
        <f t="shared" si="3"/>
        <v>comuntzis_mark@companyname.com</v>
      </c>
    </row>
    <row r="19" ht="14.25" customHeight="1" spans="1:10">
      <c r="A19" t="str">
        <f t="shared" si="0"/>
        <v>FILOSA ALEXANDRA</v>
      </c>
      <c r="B19" s="1" t="s">
        <v>62</v>
      </c>
      <c r="C19" s="1" t="s">
        <v>63</v>
      </c>
      <c r="D19" s="3">
        <v>37546</v>
      </c>
      <c r="E19" s="5" t="s">
        <v>17</v>
      </c>
      <c r="F19" s="6">
        <f ca="1" t="shared" si="1"/>
        <v>24</v>
      </c>
      <c r="G19" s="5" t="s">
        <v>64</v>
      </c>
      <c r="H19" t="str">
        <f t="shared" si="2"/>
        <v>2046</v>
      </c>
      <c r="I19" t="str">
        <f t="shared" si="4"/>
        <v>Central</v>
      </c>
      <c r="J19" t="str">
        <f t="shared" si="3"/>
        <v>filosa_alexandra@companyname.com</v>
      </c>
    </row>
    <row r="20" ht="14.25" customHeight="1" spans="1:10">
      <c r="A20" t="str">
        <f t="shared" si="0"/>
        <v>FERRIS JIM</v>
      </c>
      <c r="B20" s="1" t="s">
        <v>65</v>
      </c>
      <c r="C20" s="1" t="s">
        <v>66</v>
      </c>
      <c r="D20" s="3">
        <v>37350</v>
      </c>
      <c r="E20" s="5" t="s">
        <v>29</v>
      </c>
      <c r="F20" s="6">
        <f ca="1" t="shared" si="1"/>
        <v>24</v>
      </c>
      <c r="G20" s="5" t="s">
        <v>67</v>
      </c>
      <c r="H20" t="str">
        <f t="shared" si="2"/>
        <v>2688</v>
      </c>
      <c r="I20" t="str">
        <f t="shared" si="4"/>
        <v>HQ</v>
      </c>
      <c r="J20" t="str">
        <f t="shared" si="3"/>
        <v>ferris_jim@companyname.com</v>
      </c>
    </row>
    <row r="21" ht="14.25" customHeight="1" spans="1:10">
      <c r="A21" t="str">
        <f t="shared" si="0"/>
        <v>CHU LAURIE</v>
      </c>
      <c r="B21" s="1" t="s">
        <v>68</v>
      </c>
      <c r="C21" s="1" t="s">
        <v>69</v>
      </c>
      <c r="D21" s="3">
        <v>39022</v>
      </c>
      <c r="E21" s="5" t="s">
        <v>21</v>
      </c>
      <c r="F21" s="6">
        <f ca="1" t="shared" si="1"/>
        <v>20</v>
      </c>
      <c r="G21" s="5" t="s">
        <v>70</v>
      </c>
      <c r="H21" t="str">
        <f t="shared" si="2"/>
        <v>2546</v>
      </c>
      <c r="I21" t="str">
        <f t="shared" si="4"/>
        <v>Central</v>
      </c>
      <c r="J21" t="str">
        <f t="shared" si="3"/>
        <v>chu_laurie@companyname.com</v>
      </c>
    </row>
    <row r="22" ht="14.25" customHeight="1" spans="1:10">
      <c r="A22" t="str">
        <f t="shared" si="0"/>
        <v>CHASE FRED</v>
      </c>
      <c r="B22" s="1" t="s">
        <v>71</v>
      </c>
      <c r="C22" s="1" t="s">
        <v>72</v>
      </c>
      <c r="D22" s="3">
        <v>39797</v>
      </c>
      <c r="E22" s="5" t="s">
        <v>33</v>
      </c>
      <c r="F22" s="6">
        <f ca="1" t="shared" si="1"/>
        <v>18</v>
      </c>
      <c r="G22" s="5" t="s">
        <v>73</v>
      </c>
      <c r="H22" t="str">
        <f t="shared" si="2"/>
        <v>2478</v>
      </c>
      <c r="I22" t="str">
        <f t="shared" si="4"/>
        <v>HQ</v>
      </c>
      <c r="J22" t="str">
        <f t="shared" si="3"/>
        <v>chase_fred@companyname.com</v>
      </c>
    </row>
    <row r="23" ht="14.25" customHeight="1" spans="1:10">
      <c r="A23" t="str">
        <f t="shared" si="0"/>
        <v>BINGA MARY</v>
      </c>
      <c r="B23" s="1" t="s">
        <v>74</v>
      </c>
      <c r="C23" s="1" t="s">
        <v>48</v>
      </c>
      <c r="D23" s="3">
        <v>39205</v>
      </c>
      <c r="E23" s="5" t="s">
        <v>33</v>
      </c>
      <c r="F23" s="6">
        <f ca="1" t="shared" si="1"/>
        <v>19</v>
      </c>
      <c r="G23" s="5" t="s">
        <v>75</v>
      </c>
      <c r="H23" t="str">
        <f t="shared" si="2"/>
        <v>2055</v>
      </c>
      <c r="I23" t="str">
        <f t="shared" si="4"/>
        <v>HQ</v>
      </c>
      <c r="J23" t="str">
        <f t="shared" si="3"/>
        <v>binga_mary@companyname.com</v>
      </c>
    </row>
    <row r="24" ht="14.25" customHeight="1" spans="1:10">
      <c r="A24" t="str">
        <f t="shared" si="0"/>
        <v>DESIATO BARBARA</v>
      </c>
      <c r="B24" s="1" t="s">
        <v>76</v>
      </c>
      <c r="C24" s="1" t="s">
        <v>77</v>
      </c>
      <c r="D24" s="3">
        <v>40343</v>
      </c>
      <c r="E24" s="1" t="s">
        <v>13</v>
      </c>
      <c r="F24" s="6">
        <f ca="1" t="shared" si="1"/>
        <v>16</v>
      </c>
      <c r="G24" s="5" t="s">
        <v>78</v>
      </c>
      <c r="H24" t="str">
        <f t="shared" si="2"/>
        <v>2326</v>
      </c>
      <c r="I24" t="str">
        <f t="shared" si="4"/>
        <v>Lab</v>
      </c>
      <c r="J24" t="str">
        <f t="shared" si="3"/>
        <v>desiato_barbara@companyname.com</v>
      </c>
    </row>
    <row r="25" ht="14.25" customHeight="1" spans="1:10">
      <c r="F25" s="7"/>
    </row>
    <row r="26" ht="14.25" customHeight="1" spans="1:10">
      <c r="F26" s="7"/>
    </row>
    <row r="27" ht="14.25" customHeight="1" spans="1:10">
      <c r="F27" s="7"/>
    </row>
    <row r="28" ht="14.25" customHeight="1" spans="1:10">
      <c r="F28" s="7"/>
    </row>
    <row r="29" ht="14.25" customHeight="1" spans="1:10">
      <c r="F29" s="7"/>
    </row>
    <row r="30" ht="14.25" customHeight="1" spans="1:10">
      <c r="F30" s="7"/>
    </row>
    <row r="31" ht="14.25" customHeight="1" spans="1:10">
      <c r="F31" s="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Suraj singh</cp:lastModifiedBy>
  <dcterms:created xsi:type="dcterms:W3CDTF">2007-05-07T13:48:00Z</dcterms:created>
  <dcterms:modified xsi:type="dcterms:W3CDTF">2026-09-05T09:26:00Z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E9E33155AB574D8697CC41477F1E21CD_12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