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sales">Sheet1!$V$1:$V$126</definedName>
    <definedName name="target">Sheet1!$W:$W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<sst xmlns="http://schemas.openxmlformats.org/spreadsheetml/2006/main" count="2173" uniqueCount="1226">
  <si>
    <t>Emp_ID</t>
  </si>
  <si>
    <t>Employee_Name</t>
  </si>
  <si>
    <t>lenght of Emp-name</t>
  </si>
  <si>
    <t>Department</t>
  </si>
  <si>
    <t>Helper cols</t>
  </si>
  <si>
    <t>Left</t>
  </si>
  <si>
    <t>Right</t>
  </si>
  <si>
    <t>Column3</t>
  </si>
  <si>
    <t>Column4</t>
  </si>
  <si>
    <t>City</t>
  </si>
  <si>
    <t>New city</t>
  </si>
  <si>
    <t>Joining_Date</t>
  </si>
  <si>
    <t>Day</t>
  </si>
  <si>
    <t>Left2</t>
  </si>
  <si>
    <t>Right2</t>
  </si>
  <si>
    <t>Month</t>
  </si>
  <si>
    <t>Year</t>
  </si>
  <si>
    <t>Login_Time</t>
  </si>
  <si>
    <t>Hour</t>
  </si>
  <si>
    <t>Minute</t>
  </si>
  <si>
    <t>Second</t>
  </si>
  <si>
    <t>Monthly_Sales</t>
  </si>
  <si>
    <t>Target</t>
  </si>
  <si>
    <t>Column1</t>
  </si>
  <si>
    <t>Column5</t>
  </si>
  <si>
    <t>Column6</t>
  </si>
  <si>
    <t>Customer_Feedback</t>
  </si>
  <si>
    <t>Upper</t>
  </si>
  <si>
    <t>Lower</t>
  </si>
  <si>
    <t>Propar</t>
  </si>
  <si>
    <t>Questions</t>
  </si>
  <si>
    <t>Answer</t>
  </si>
  <si>
    <t>"+91-8208309401</t>
  </si>
  <si>
    <t>E1231</t>
  </si>
  <si>
    <t>Neha Chopra</t>
  </si>
  <si>
    <t>Finance</t>
  </si>
  <si>
    <t>Ahmedabad</t>
  </si>
  <si>
    <t>25-Jul-2021</t>
  </si>
  <si>
    <t>10:49:08</t>
  </si>
  <si>
    <t>detailed analysis</t>
  </si>
  <si>
    <t>Current Date</t>
  </si>
  <si>
    <t>"+3-23692442</t>
  </si>
  <si>
    <t>E1288</t>
  </si>
  <si>
    <t>Vikram Nair</t>
  </si>
  <si>
    <t>Marketing</t>
  </si>
  <si>
    <t>Bangalore</t>
  </si>
  <si>
    <t>27-Jul-2023</t>
  </si>
  <si>
    <t>08:08:19</t>
  </si>
  <si>
    <t>creative ideas</t>
  </si>
  <si>
    <t>Current Date &amp; Time</t>
  </si>
  <si>
    <t>"+441-4724924234</t>
  </si>
  <si>
    <t>E1082</t>
  </si>
  <si>
    <t>Priya Patel</t>
  </si>
  <si>
    <t>Delhi</t>
  </si>
  <si>
    <t>30-Jul-2024</t>
  </si>
  <si>
    <t>09:06:55</t>
  </si>
  <si>
    <t xml:space="preserve">   helpful attitude   </t>
  </si>
  <si>
    <t>Current Time</t>
  </si>
  <si>
    <t>E1081</t>
  </si>
  <si>
    <t>Anjali Singh</t>
  </si>
  <si>
    <t>HR</t>
  </si>
  <si>
    <t>Chennai</t>
  </si>
  <si>
    <t>11-Apr-2022</t>
  </si>
  <si>
    <t>09:11:19</t>
  </si>
  <si>
    <t>needs improvement</t>
  </si>
  <si>
    <t>Arthimatic  Functions</t>
  </si>
  <si>
    <t>Total Monthly Sales</t>
  </si>
  <si>
    <t>E1261</t>
  </si>
  <si>
    <t>Tanya Mishra</t>
  </si>
  <si>
    <t>04-Mar-2022</t>
  </si>
  <si>
    <t>09:19:58</t>
  </si>
  <si>
    <t>great support</t>
  </si>
  <si>
    <t>sum</t>
  </si>
  <si>
    <t>Average Monthly Sales</t>
  </si>
  <si>
    <t>E1180</t>
  </si>
  <si>
    <t>Yash Jain</t>
  </si>
  <si>
    <t>Pune</t>
  </si>
  <si>
    <t>16-Aug-2021</t>
  </si>
  <si>
    <t>09:38:34</t>
  </si>
  <si>
    <t>excellent leadership</t>
  </si>
  <si>
    <t>Averege</t>
  </si>
  <si>
    <t>Function Purpose Example</t>
  </si>
  <si>
    <t>Count of  Employees</t>
  </si>
  <si>
    <t>E1131</t>
  </si>
  <si>
    <t>Isha Kumar</t>
  </si>
  <si>
    <t>24-Dec-2021</t>
  </si>
  <si>
    <t>08:42:55</t>
  </si>
  <si>
    <t>excellent service</t>
  </si>
  <si>
    <t>count</t>
  </si>
  <si>
    <t>SUM() Total values =SUM(A2:A10)</t>
  </si>
  <si>
    <t>Count Numeric Sales Values</t>
  </si>
  <si>
    <t>E1002</t>
  </si>
  <si>
    <t>Nisha Patel</t>
  </si>
  <si>
    <t>Sales</t>
  </si>
  <si>
    <t>24-Mar-2022</t>
  </si>
  <si>
    <t>08:32:38</t>
  </si>
  <si>
    <t>fast delivery</t>
  </si>
  <si>
    <t>count A</t>
  </si>
  <si>
    <t>AVERAGE() Mean value =AVERAGE(A2:A10)</t>
  </si>
  <si>
    <t>Highest Sales</t>
  </si>
  <si>
    <t>E1061</t>
  </si>
  <si>
    <t>Aditya Chopra</t>
  </si>
  <si>
    <t>26-Mar-2022</t>
  </si>
  <si>
    <t>09:27:31</t>
  </si>
  <si>
    <t>Totale Text</t>
  </si>
  <si>
    <t>COUNT() Count numbers =COUNT(A2:A10)</t>
  </si>
  <si>
    <t>Lowest Sales</t>
  </si>
  <si>
    <t>E1252</t>
  </si>
  <si>
    <t>Tanya Chopra</t>
  </si>
  <si>
    <t>27-Feb-2022</t>
  </si>
  <si>
    <t>08:06:38</t>
  </si>
  <si>
    <t>max</t>
  </si>
  <si>
    <t>COUNTA() Count non-empty cells =COUNTA(A2:A10)</t>
  </si>
  <si>
    <t>Square Root of Sales</t>
  </si>
  <si>
    <t>E1233</t>
  </si>
  <si>
    <t>Manish Nair</t>
  </si>
  <si>
    <t>06-May-2023</t>
  </si>
  <si>
    <t>08:59:58</t>
  </si>
  <si>
    <t>customer focused</t>
  </si>
  <si>
    <t>power</t>
  </si>
  <si>
    <t>MAX() Highest value =MAX(A2:A10)</t>
  </si>
  <si>
    <t>Sales Squared</t>
  </si>
  <si>
    <t>E1260</t>
  </si>
  <si>
    <t>Ritika Mehta</t>
  </si>
  <si>
    <t>12-Feb-2023</t>
  </si>
  <si>
    <t>10:38:38</t>
  </si>
  <si>
    <t>accurate reports</t>
  </si>
  <si>
    <t>min</t>
  </si>
  <si>
    <t>MIN() Lowest value =MIN(A2:A10)</t>
  </si>
  <si>
    <t>E1031</t>
  </si>
  <si>
    <t>Rahul Nair</t>
  </si>
  <si>
    <t>12-Mar-2024</t>
  </si>
  <si>
    <t>08:37:38</t>
  </si>
  <si>
    <t>SQRT() Square root =SQRT(A2)</t>
  </si>
  <si>
    <t>E1276</t>
  </si>
  <si>
    <t>Aakash Patel</t>
  </si>
  <si>
    <t>18-Nov-2024</t>
  </si>
  <si>
    <t>10:30:17</t>
  </si>
  <si>
    <t>good teamwork</t>
  </si>
  <si>
    <t>Date And Time Fuctions</t>
  </si>
  <si>
    <t>POWER() Exponent =POWER(A2,2)</t>
  </si>
  <si>
    <t>E1179</t>
  </si>
  <si>
    <t>Komal Jain</t>
  </si>
  <si>
    <t>14-Aug-2022</t>
  </si>
  <si>
    <t>08:19:07</t>
  </si>
  <si>
    <t>Now</t>
  </si>
  <si>
    <t>E1213</t>
  </si>
  <si>
    <t>Amit Verma</t>
  </si>
  <si>
    <t>09-May-2022</t>
  </si>
  <si>
    <t>08:37:22</t>
  </si>
  <si>
    <t>Tuday</t>
  </si>
  <si>
    <t>E1146</t>
  </si>
  <si>
    <t>Komal Iyer</t>
  </si>
  <si>
    <t>Mumbai</t>
  </si>
  <si>
    <t>15-Nov-2021</t>
  </si>
  <si>
    <t>08:48:39</t>
  </si>
  <si>
    <t>E1021</t>
  </si>
  <si>
    <t>Amit Mishra</t>
  </si>
  <si>
    <t>15-Jan-2021</t>
  </si>
  <si>
    <t>08:45:40</t>
  </si>
  <si>
    <t>good communication</t>
  </si>
  <si>
    <t>E1232</t>
  </si>
  <si>
    <t>Yash Agarwal</t>
  </si>
  <si>
    <t>12-Aug-2022</t>
  </si>
  <si>
    <t>09:18:41</t>
  </si>
  <si>
    <t xml:space="preserve">   good teamwork   </t>
  </si>
  <si>
    <t>E1024</t>
  </si>
  <si>
    <t>Nisha Chopra</t>
  </si>
  <si>
    <t>11-Oct-2024</t>
  </si>
  <si>
    <t>10:41:06</t>
  </si>
  <si>
    <t>E1161</t>
  </si>
  <si>
    <t>Madhuri Mishra</t>
  </si>
  <si>
    <t>Hyderabad</t>
  </si>
  <si>
    <t>24-May-2024</t>
  </si>
  <si>
    <t>09:32:09</t>
  </si>
  <si>
    <t>E1239</t>
  </si>
  <si>
    <t>Manish Mishra</t>
  </si>
  <si>
    <t>31-Aug-2024</t>
  </si>
  <si>
    <t>09:44:15</t>
  </si>
  <si>
    <t>helpful attitude</t>
  </si>
  <si>
    <t>E1059</t>
  </si>
  <si>
    <t>Karan Verma</t>
  </si>
  <si>
    <t>Kolkata</t>
  </si>
  <si>
    <t>09-Nov-2022</t>
  </si>
  <si>
    <t>10:29:26</t>
  </si>
  <si>
    <t xml:space="preserve">   positive attitude   </t>
  </si>
  <si>
    <t>E1144</t>
  </si>
  <si>
    <t>Rohan Reddy</t>
  </si>
  <si>
    <t>21-Oct-2021</t>
  </si>
  <si>
    <t>10:42:25</t>
  </si>
  <si>
    <t>E1268</t>
  </si>
  <si>
    <t>Ritika Agarwal</t>
  </si>
  <si>
    <t>10-Dec-2023</t>
  </si>
  <si>
    <t>08:53:54</t>
  </si>
  <si>
    <t>E1154</t>
  </si>
  <si>
    <t>Rahul Bansal</t>
  </si>
  <si>
    <t>30-Mar-2022</t>
  </si>
  <si>
    <t>09:49:10</t>
  </si>
  <si>
    <t>E1057</t>
  </si>
  <si>
    <t>07-Jul-2024</t>
  </si>
  <si>
    <t>08:17:28</t>
  </si>
  <si>
    <t>E1151</t>
  </si>
  <si>
    <t>Varun Reddy</t>
  </si>
  <si>
    <t>28-Mar-2021</t>
  </si>
  <si>
    <t>09:01:29</t>
  </si>
  <si>
    <t>Monthly Sales</t>
  </si>
  <si>
    <t>E1242</t>
  </si>
  <si>
    <t>25-Oct-2024</t>
  </si>
  <si>
    <t>10:55:50</t>
  </si>
  <si>
    <t>E1200</t>
  </si>
  <si>
    <t>Meera Goyal</t>
  </si>
  <si>
    <t>04-Feb-2024</t>
  </si>
  <si>
    <t>08:39:56</t>
  </si>
  <si>
    <t>E1012</t>
  </si>
  <si>
    <t>Manish Chopra</t>
  </si>
  <si>
    <t>08:32:31</t>
  </si>
  <si>
    <t>E1023</t>
  </si>
  <si>
    <t>Arjun Mishra</t>
  </si>
  <si>
    <t>27-Aug-2023</t>
  </si>
  <si>
    <t>09:12:06</t>
  </si>
  <si>
    <t xml:space="preserve">   creative ideas   </t>
  </si>
  <si>
    <t>E1300</t>
  </si>
  <si>
    <t>Anjali Iyer</t>
  </si>
  <si>
    <t>04-Dec-2023</t>
  </si>
  <si>
    <t>09:22:30</t>
  </si>
  <si>
    <t>E1127</t>
  </si>
  <si>
    <t>Priya Reddy</t>
  </si>
  <si>
    <t>30-Jun-2023</t>
  </si>
  <si>
    <t>08:54:23</t>
  </si>
  <si>
    <t>strong presentation</t>
  </si>
  <si>
    <t>Totale Profit</t>
  </si>
  <si>
    <t>E1001</t>
  </si>
  <si>
    <t>Yash Singh</t>
  </si>
  <si>
    <t>17-May-2022</t>
  </si>
  <si>
    <t>08:08:47</t>
  </si>
  <si>
    <t>E1234</t>
  </si>
  <si>
    <t>Kavita Joshi</t>
  </si>
  <si>
    <t>19-Jan-2021</t>
  </si>
  <si>
    <t>09:36:38</t>
  </si>
  <si>
    <t>E1042</t>
  </si>
  <si>
    <t>Sneha Iyer</t>
  </si>
  <si>
    <t>01-Jul-2022</t>
  </si>
  <si>
    <t>08:50:44</t>
  </si>
  <si>
    <t>positive attitude</t>
  </si>
  <si>
    <t>E1195</t>
  </si>
  <si>
    <t>Arjun Saxena</t>
  </si>
  <si>
    <t>06-Oct-2022</t>
  </si>
  <si>
    <t>10:17:15</t>
  </si>
  <si>
    <t>Monthly Sales &gt; 90,000</t>
  </si>
  <si>
    <t>E1083</t>
  </si>
  <si>
    <t>Kavita Malhotra</t>
  </si>
  <si>
    <t>16-Apr-2021</t>
  </si>
  <si>
    <t>09:55:30</t>
  </si>
  <si>
    <t>E1299</t>
  </si>
  <si>
    <t>Meera Sharma</t>
  </si>
  <si>
    <t>29-Aug-2022</t>
  </si>
  <si>
    <t>09:58:05</t>
  </si>
  <si>
    <t>E1124</t>
  </si>
  <si>
    <t>Shreya Nair</t>
  </si>
  <si>
    <t>06-Dec-2024</t>
  </si>
  <si>
    <t>09:41:26</t>
  </si>
  <si>
    <t>E1187</t>
  </si>
  <si>
    <t>Priya Mehta</t>
  </si>
  <si>
    <t>08-Apr-2021</t>
  </si>
  <si>
    <t>10:21:17</t>
  </si>
  <si>
    <t>E1204</t>
  </si>
  <si>
    <t>Aakash Gupta</t>
  </si>
  <si>
    <t>07-Feb-2022</t>
  </si>
  <si>
    <t>10:35:17</t>
  </si>
  <si>
    <t>E1125</t>
  </si>
  <si>
    <t>Priya Gupta</t>
  </si>
  <si>
    <t>19-Jul-2021</t>
  </si>
  <si>
    <t>08:56:34</t>
  </si>
  <si>
    <t>E1277</t>
  </si>
  <si>
    <t>Madhuri Shah</t>
  </si>
  <si>
    <t>07-Oct-2022</t>
  </si>
  <si>
    <t>08:13:37</t>
  </si>
  <si>
    <t>E1101</t>
  </si>
  <si>
    <t>Siddharth Shah</t>
  </si>
  <si>
    <t>26-Aug-2023</t>
  </si>
  <si>
    <t>08:29:35</t>
  </si>
  <si>
    <t>E1135</t>
  </si>
  <si>
    <t>Nidhi Singh</t>
  </si>
  <si>
    <t>31-May-2021</t>
  </si>
  <si>
    <t>08:20:38</t>
  </si>
  <si>
    <t>quick response</t>
  </si>
  <si>
    <t>E1089</t>
  </si>
  <si>
    <t>24-Aug-2021</t>
  </si>
  <si>
    <t>10:14:41</t>
  </si>
  <si>
    <t>E1138</t>
  </si>
  <si>
    <t>Nisha Singh</t>
  </si>
  <si>
    <t>03-Oct-2022</t>
  </si>
  <si>
    <t>10:16:23</t>
  </si>
  <si>
    <t>E1016</t>
  </si>
  <si>
    <t>Sneha Saxena</t>
  </si>
  <si>
    <t>01-Aug-2024</t>
  </si>
  <si>
    <t>10:38:12</t>
  </si>
  <si>
    <t>E1169</t>
  </si>
  <si>
    <t>Harsh Goyal</t>
  </si>
  <si>
    <t>19-Jun-2024</t>
  </si>
  <si>
    <t>08:38:24</t>
  </si>
  <si>
    <t>E1145</t>
  </si>
  <si>
    <t>Yash Sharma</t>
  </si>
  <si>
    <t>10-Feb-2023</t>
  </si>
  <si>
    <t>09:29:21</t>
  </si>
  <si>
    <t>E1267</t>
  </si>
  <si>
    <t>Harsh Agarwal</t>
  </si>
  <si>
    <t>11-Dec-2021</t>
  </si>
  <si>
    <t>10:50:22</t>
  </si>
  <si>
    <t>E1041</t>
  </si>
  <si>
    <t>30-Apr-2022</t>
  </si>
  <si>
    <t>08:51:51</t>
  </si>
  <si>
    <t>E1074</t>
  </si>
  <si>
    <t>Deepak Mishra</t>
  </si>
  <si>
    <t>28-Feb-2021</t>
  </si>
  <si>
    <t>09:54:20</t>
  </si>
  <si>
    <t>E1237</t>
  </si>
  <si>
    <t>Shreya Bansal</t>
  </si>
  <si>
    <t>27-Jun-2021</t>
  </si>
  <si>
    <t>09:42:06</t>
  </si>
  <si>
    <t>E1030</t>
  </si>
  <si>
    <t>Priya Mishra</t>
  </si>
  <si>
    <t>27-Apr-2021</t>
  </si>
  <si>
    <t>10:05:54</t>
  </si>
  <si>
    <t>E1117</t>
  </si>
  <si>
    <t>Shreya Agarwal</t>
  </si>
  <si>
    <t>28-May-2024</t>
  </si>
  <si>
    <t>09:14:40</t>
  </si>
  <si>
    <t>E1079</t>
  </si>
  <si>
    <t>Siddharth Malhotra</t>
  </si>
  <si>
    <t>30-May-2022</t>
  </si>
  <si>
    <t>08:07:46</t>
  </si>
  <si>
    <t>E1217</t>
  </si>
  <si>
    <t>Neha Bansal</t>
  </si>
  <si>
    <t>17-Feb-2024</t>
  </si>
  <si>
    <t>09:48:09</t>
  </si>
  <si>
    <t>E1243</t>
  </si>
  <si>
    <t>Aakash Reddy</t>
  </si>
  <si>
    <t>07-May-2021</t>
  </si>
  <si>
    <t>10:57:32</t>
  </si>
  <si>
    <t>E1224</t>
  </si>
  <si>
    <t>Siddharth Mehta</t>
  </si>
  <si>
    <t>08-May-2021</t>
  </si>
  <si>
    <t>10:08:33</t>
  </si>
  <si>
    <t>E1010</t>
  </si>
  <si>
    <t>Rohan Patel</t>
  </si>
  <si>
    <t>09-Oct-2022</t>
  </si>
  <si>
    <t>09:17:04</t>
  </si>
  <si>
    <t>E1141</t>
  </si>
  <si>
    <t>Madhuri Patel</t>
  </si>
  <si>
    <t>22-Dec-2022</t>
  </si>
  <si>
    <t>08:36:32</t>
  </si>
  <si>
    <t>E1196</t>
  </si>
  <si>
    <t>Sneha Agarwal</t>
  </si>
  <si>
    <t>21-Jun-2022</t>
  </si>
  <si>
    <t>09:45:28</t>
  </si>
  <si>
    <t>E1253</t>
  </si>
  <si>
    <t>Nidhi Patel</t>
  </si>
  <si>
    <t>04-Apr-2023</t>
  </si>
  <si>
    <t>09:14:34</t>
  </si>
  <si>
    <t>E1269</t>
  </si>
  <si>
    <t>Amit Chopra</t>
  </si>
  <si>
    <t>20-May-2021</t>
  </si>
  <si>
    <t>10:09:00</t>
  </si>
  <si>
    <t>E1148</t>
  </si>
  <si>
    <t>16-Dec-2023</t>
  </si>
  <si>
    <t>10:19:02</t>
  </si>
  <si>
    <t>E1020</t>
  </si>
  <si>
    <t>Anjali Bansal</t>
  </si>
  <si>
    <t>26-Nov-2023</t>
  </si>
  <si>
    <t>09:07:15</t>
  </si>
  <si>
    <t>E1226</t>
  </si>
  <si>
    <t>Harsh Shah</t>
  </si>
  <si>
    <t>20-May-2022</t>
  </si>
  <si>
    <t>09:35:19</t>
  </si>
  <si>
    <t>E1230</t>
  </si>
  <si>
    <t>Neha Jain</t>
  </si>
  <si>
    <t>14-Apr-2021</t>
  </si>
  <si>
    <t>10:57:33</t>
  </si>
  <si>
    <t>E1150</t>
  </si>
  <si>
    <t>Amit Agarwal</t>
  </si>
  <si>
    <t>22-Sep-2021</t>
  </si>
  <si>
    <t>09:34:45</t>
  </si>
  <si>
    <t>E1088</t>
  </si>
  <si>
    <t>Priya Nair</t>
  </si>
  <si>
    <t>10-Dec-2024</t>
  </si>
  <si>
    <t>09:04:43</t>
  </si>
  <si>
    <t>E1199</t>
  </si>
  <si>
    <t>Siddharth Joshi</t>
  </si>
  <si>
    <t>06-Sep-2021</t>
  </si>
  <si>
    <t>08:50:08</t>
  </si>
  <si>
    <t>E1032</t>
  </si>
  <si>
    <t>Nidhi Mishra</t>
  </si>
  <si>
    <t>23-Feb-2022</t>
  </si>
  <si>
    <t>10:45:20</t>
  </si>
  <si>
    <t>E1052</t>
  </si>
  <si>
    <t>Varun Nair</t>
  </si>
  <si>
    <t>12-Feb-2022</t>
  </si>
  <si>
    <t>08:01:02</t>
  </si>
  <si>
    <t>E1084</t>
  </si>
  <si>
    <t>Kavita Verma</t>
  </si>
  <si>
    <t>02-Nov-2021</t>
  </si>
  <si>
    <t>10:19:05</t>
  </si>
  <si>
    <t>E1040</t>
  </si>
  <si>
    <t>Arjun Patel</t>
  </si>
  <si>
    <t>23-Mar-2021</t>
  </si>
  <si>
    <t>09:13:43</t>
  </si>
  <si>
    <t>E1113</t>
  </si>
  <si>
    <t>03-Aug-2023</t>
  </si>
  <si>
    <t>10:16:29</t>
  </si>
  <si>
    <t>E1063</t>
  </si>
  <si>
    <t>Manish Sharma</t>
  </si>
  <si>
    <t>05-Oct-2021</t>
  </si>
  <si>
    <t>09:11:03</t>
  </si>
  <si>
    <t>E1263</t>
  </si>
  <si>
    <t>Rohan Gupta</t>
  </si>
  <si>
    <t>29-Dec-2023</t>
  </si>
  <si>
    <t>10:22:19</t>
  </si>
  <si>
    <t>E1015</t>
  </si>
  <si>
    <t>Anjali Chopra</t>
  </si>
  <si>
    <t>07-Jan-2021</t>
  </si>
  <si>
    <t>10:56:46</t>
  </si>
  <si>
    <t>E1045</t>
  </si>
  <si>
    <t>Nidhi Goyal</t>
  </si>
  <si>
    <t>25-Aug-2021</t>
  </si>
  <si>
    <t>09:11:37</t>
  </si>
  <si>
    <t>E1238</t>
  </si>
  <si>
    <t>Rohan Nair</t>
  </si>
  <si>
    <t>25-Feb-2023</t>
  </si>
  <si>
    <t>08:28:48</t>
  </si>
  <si>
    <t>E1286</t>
  </si>
  <si>
    <t>Aditya Goyal</t>
  </si>
  <si>
    <t>04-Nov-2024</t>
  </si>
  <si>
    <t>09:10:08</t>
  </si>
  <si>
    <t>E1229</t>
  </si>
  <si>
    <t>Madhuri Malhotra</t>
  </si>
  <si>
    <t>15-Mar-2022</t>
  </si>
  <si>
    <t>08:52:34</t>
  </si>
  <si>
    <t>E1093</t>
  </si>
  <si>
    <t>Nidhi Shah</t>
  </si>
  <si>
    <t>22-Aug-2023</t>
  </si>
  <si>
    <t>10:41:28</t>
  </si>
  <si>
    <t>E1142</t>
  </si>
  <si>
    <t>Kavita Nair</t>
  </si>
  <si>
    <t>14-Feb-2024</t>
  </si>
  <si>
    <t>09:07:48</t>
  </si>
  <si>
    <t>E1216</t>
  </si>
  <si>
    <t>Ritika Gupta</t>
  </si>
  <si>
    <t>30-Oct-2023</t>
  </si>
  <si>
    <t>09:48:35</t>
  </si>
  <si>
    <t>E1164</t>
  </si>
  <si>
    <t>Yash Iyer</t>
  </si>
  <si>
    <t>13-Jul-2021</t>
  </si>
  <si>
    <t>10:43:24</t>
  </si>
  <si>
    <t xml:space="preserve">   fast delivery   </t>
  </si>
  <si>
    <t>E1109</t>
  </si>
  <si>
    <t>Rohan Agarwal</t>
  </si>
  <si>
    <t>26-Apr-2022</t>
  </si>
  <si>
    <t>10:43:58</t>
  </si>
  <si>
    <t>E1228</t>
  </si>
  <si>
    <t>Neha Mishra</t>
  </si>
  <si>
    <t>08-Dec-2022</t>
  </si>
  <si>
    <t>08:18:02</t>
  </si>
  <si>
    <t>E1149</t>
  </si>
  <si>
    <t>Priya Sharma</t>
  </si>
  <si>
    <t>09-Mar-2022</t>
  </si>
  <si>
    <t>08:48:16</t>
  </si>
  <si>
    <t>E1292</t>
  </si>
  <si>
    <t>Ritika Joshi</t>
  </si>
  <si>
    <t>21-Dec-2024</t>
  </si>
  <si>
    <t>08:28:51</t>
  </si>
  <si>
    <t>E1290</t>
  </si>
  <si>
    <t>Rohan Jain</t>
  </si>
  <si>
    <t>08:25:20</t>
  </si>
  <si>
    <t>E1236</t>
  </si>
  <si>
    <t>Sneha Malhotra</t>
  </si>
  <si>
    <t>29-Jan-2021</t>
  </si>
  <si>
    <t>10:21:50</t>
  </si>
  <si>
    <t>E1240</t>
  </si>
  <si>
    <t>Anjali Joshi</t>
  </si>
  <si>
    <t>14-Nov-2024</t>
  </si>
  <si>
    <t>08:40:58</t>
  </si>
  <si>
    <t>E1114</t>
  </si>
  <si>
    <t>Tanya Malhotra</t>
  </si>
  <si>
    <t>01-Jun-2021</t>
  </si>
  <si>
    <t>09:22:37</t>
  </si>
  <si>
    <t>E1198</t>
  </si>
  <si>
    <t>Tanya Iyer</t>
  </si>
  <si>
    <t>01-Feb-2024</t>
  </si>
  <si>
    <t>10:18:57</t>
  </si>
  <si>
    <t>E1158</t>
  </si>
  <si>
    <t>09:28:40</t>
  </si>
  <si>
    <t>E1167</t>
  </si>
  <si>
    <t>08-Nov-2023</t>
  </si>
  <si>
    <t>09:01:23</t>
  </si>
  <si>
    <t>E1176</t>
  </si>
  <si>
    <t>17-Jun-2021</t>
  </si>
  <si>
    <t>09:14:01</t>
  </si>
  <si>
    <t>E1104</t>
  </si>
  <si>
    <t>05-Feb-2024</t>
  </si>
  <si>
    <t>10:24:29</t>
  </si>
  <si>
    <t>E1152</t>
  </si>
  <si>
    <t>Nisha Mishra</t>
  </si>
  <si>
    <t>16-Aug-2022</t>
  </si>
  <si>
    <t>08:25:01</t>
  </si>
  <si>
    <t>E1047</t>
  </si>
  <si>
    <t>Priya Chopra</t>
  </si>
  <si>
    <t>16-Jan-2023</t>
  </si>
  <si>
    <t>09:04:42</t>
  </si>
  <si>
    <t>E1004</t>
  </si>
  <si>
    <t>Tanya Joshi</t>
  </si>
  <si>
    <t>24-Jul-2022</t>
  </si>
  <si>
    <t>08:13:48</t>
  </si>
  <si>
    <t>E1163</t>
  </si>
  <si>
    <t>Shreya Joshi</t>
  </si>
  <si>
    <t>03-Aug-2022</t>
  </si>
  <si>
    <t>09:26:49</t>
  </si>
  <si>
    <t>E1120</t>
  </si>
  <si>
    <t>Aakash Shah</t>
  </si>
  <si>
    <t>14-Sep-2023</t>
  </si>
  <si>
    <t>09:47:55</t>
  </si>
  <si>
    <t>E1225</t>
  </si>
  <si>
    <t>Kavita Saxena</t>
  </si>
  <si>
    <t>21-Dec-2021</t>
  </si>
  <si>
    <t>09:58:34</t>
  </si>
  <si>
    <t>E1165</t>
  </si>
  <si>
    <t>Isha Jain</t>
  </si>
  <si>
    <t>16-Jun-2021</t>
  </si>
  <si>
    <t>10:42:09</t>
  </si>
  <si>
    <t>E1044</t>
  </si>
  <si>
    <t>Amit Mehta</t>
  </si>
  <si>
    <t>25-Jul-2022</t>
  </si>
  <si>
    <t>08:49:17</t>
  </si>
  <si>
    <t>E1191</t>
  </si>
  <si>
    <t>10:55:58</t>
  </si>
  <si>
    <t>E1183</t>
  </si>
  <si>
    <t>Isha Agarwal</t>
  </si>
  <si>
    <t>04-Feb-2023</t>
  </si>
  <si>
    <t>09:47:01</t>
  </si>
  <si>
    <t>E1283</t>
  </si>
  <si>
    <t>Suresh Iyer</t>
  </si>
  <si>
    <t>07-Jul-2021</t>
  </si>
  <si>
    <t>08:19:28</t>
  </si>
  <si>
    <t xml:space="preserve">   good communication   </t>
  </si>
  <si>
    <t>E1006</t>
  </si>
  <si>
    <t>11-Jul-2024</t>
  </si>
  <si>
    <t>10:56:55</t>
  </si>
  <si>
    <t>E1017</t>
  </si>
  <si>
    <t>Sneha Goyal</t>
  </si>
  <si>
    <t>28-Sep-2023</t>
  </si>
  <si>
    <t>08:07:59</t>
  </si>
  <si>
    <t>E1118</t>
  </si>
  <si>
    <t>Harsh Kumar</t>
  </si>
  <si>
    <t>25-Sep-2022</t>
  </si>
  <si>
    <t>09:02:37</t>
  </si>
  <si>
    <t>E1159</t>
  </si>
  <si>
    <t>04-Aug-2023</t>
  </si>
  <si>
    <t>09:02:03</t>
  </si>
  <si>
    <t>E1034</t>
  </si>
  <si>
    <t>16-Dec-2022</t>
  </si>
  <si>
    <t>08:56:15</t>
  </si>
  <si>
    <t>E1264</t>
  </si>
  <si>
    <t>Aditya Agarwal</t>
  </si>
  <si>
    <t>20-Aug-2023</t>
  </si>
  <si>
    <t>09:58:13</t>
  </si>
  <si>
    <t>E1173</t>
  </si>
  <si>
    <t>Sneha Mehta</t>
  </si>
  <si>
    <t>17-Apr-2021</t>
  </si>
  <si>
    <t>10:30:55</t>
  </si>
  <si>
    <t>E1241</t>
  </si>
  <si>
    <t>Pooja Nair</t>
  </si>
  <si>
    <t>10-Nov-2021</t>
  </si>
  <si>
    <t>09:47:38</t>
  </si>
  <si>
    <t>E1281</t>
  </si>
  <si>
    <t>16-Jan-2022</t>
  </si>
  <si>
    <t>10:37:42</t>
  </si>
  <si>
    <t>E1007</t>
  </si>
  <si>
    <t>Rahul Patel</t>
  </si>
  <si>
    <t>13-Jun-2021</t>
  </si>
  <si>
    <t>08:55:06</t>
  </si>
  <si>
    <t>E1115</t>
  </si>
  <si>
    <t>Vikram Malhotra</t>
  </si>
  <si>
    <t>27-Feb-2023</t>
  </si>
  <si>
    <t>09:06:15</t>
  </si>
  <si>
    <t>E1046</t>
  </si>
  <si>
    <t>Shreya Chopra</t>
  </si>
  <si>
    <t>13-Jun-2023</t>
  </si>
  <si>
    <t>10:32:07</t>
  </si>
  <si>
    <t>E1285</t>
  </si>
  <si>
    <t>Rahul Reddy</t>
  </si>
  <si>
    <t>28-Feb-2023</t>
  </si>
  <si>
    <t>08:18:26</t>
  </si>
  <si>
    <t>E1121</t>
  </si>
  <si>
    <t>Rahul Kumar</t>
  </si>
  <si>
    <t>16-Feb-2024</t>
  </si>
  <si>
    <t>09:05:50</t>
  </si>
  <si>
    <t>E1262</t>
  </si>
  <si>
    <t>Karan Singh</t>
  </si>
  <si>
    <t>25-Nov-2024</t>
  </si>
  <si>
    <t>10:45:13</t>
  </si>
  <si>
    <t>E1027</t>
  </si>
  <si>
    <t>Madhuri Nair</t>
  </si>
  <si>
    <t>22-Sep-2023</t>
  </si>
  <si>
    <t>09:13:55</t>
  </si>
  <si>
    <t>E1099</t>
  </si>
  <si>
    <t>Amit Jain</t>
  </si>
  <si>
    <t>29-Sep-2022</t>
  </si>
  <si>
    <t>10:00:35</t>
  </si>
  <si>
    <t>E1284</t>
  </si>
  <si>
    <t>Arjun Verma</t>
  </si>
  <si>
    <t>09-Jul-2023</t>
  </si>
  <si>
    <t>10:35:32</t>
  </si>
  <si>
    <t>E1247</t>
  </si>
  <si>
    <t>Nisha Reddy</t>
  </si>
  <si>
    <t>22-May-2021</t>
  </si>
  <si>
    <t>09:02:18</t>
  </si>
  <si>
    <t>E1270</t>
  </si>
  <si>
    <t>Meera Patel</t>
  </si>
  <si>
    <t>02-Feb-2021</t>
  </si>
  <si>
    <t>08:34:35</t>
  </si>
  <si>
    <t>E1175</t>
  </si>
  <si>
    <t>Varun Chopra</t>
  </si>
  <si>
    <t>13-Jul-2023</t>
  </si>
  <si>
    <t>09:59:01</t>
  </si>
  <si>
    <t>E1258</t>
  </si>
  <si>
    <t>Isha Nair</t>
  </si>
  <si>
    <t>07-Aug-2023</t>
  </si>
  <si>
    <t>08:35:26</t>
  </si>
  <si>
    <t>E1223</t>
  </si>
  <si>
    <t>26-Jan-2022</t>
  </si>
  <si>
    <t>08:28:20</t>
  </si>
  <si>
    <t>E1064</t>
  </si>
  <si>
    <t>Karan Malhotra</t>
  </si>
  <si>
    <t>16-Feb-2023</t>
  </si>
  <si>
    <t>09:48:53</t>
  </si>
  <si>
    <t>E1025</t>
  </si>
  <si>
    <t>Rohan Singh</t>
  </si>
  <si>
    <t>25-Jan-2022</t>
  </si>
  <si>
    <t>10:28:08</t>
  </si>
  <si>
    <t>E1037</t>
  </si>
  <si>
    <t>Rohan Mehta</t>
  </si>
  <si>
    <t>08:05:40</t>
  </si>
  <si>
    <t>E1214</t>
  </si>
  <si>
    <t>Kavita Jain</t>
  </si>
  <si>
    <t>05-Jan-2024</t>
  </si>
  <si>
    <t>08:54:06</t>
  </si>
  <si>
    <t>E1091</t>
  </si>
  <si>
    <t>Neha Malhotra</t>
  </si>
  <si>
    <t>12-Jul-2022</t>
  </si>
  <si>
    <t>10:34:31</t>
  </si>
  <si>
    <t>E1098</t>
  </si>
  <si>
    <t>Deepak Patel</t>
  </si>
  <si>
    <t>30-Jan-2024</t>
  </si>
  <si>
    <t>08:59:18</t>
  </si>
  <si>
    <t>E1162</t>
  </si>
  <si>
    <t>22-Mar-2021</t>
  </si>
  <si>
    <t>08:45:28</t>
  </si>
  <si>
    <t>E1208</t>
  </si>
  <si>
    <t>Pooja Bansal</t>
  </si>
  <si>
    <t>30-May-2021</t>
  </si>
  <si>
    <t>10:03:10</t>
  </si>
  <si>
    <t>E1194</t>
  </si>
  <si>
    <t>Suresh Mishra</t>
  </si>
  <si>
    <t>22-Oct-2024</t>
  </si>
  <si>
    <t>09:23:23</t>
  </si>
  <si>
    <t>E1190</t>
  </si>
  <si>
    <t>03-Nov-2022</t>
  </si>
  <si>
    <t>10:18:19</t>
  </si>
  <si>
    <t>E1210</t>
  </si>
  <si>
    <t>Arjun Reddy</t>
  </si>
  <si>
    <t>11-May-2022</t>
  </si>
  <si>
    <t>09:07:17</t>
  </si>
  <si>
    <t>E1259</t>
  </si>
  <si>
    <t>Suresh Nair</t>
  </si>
  <si>
    <t>08-Nov-2022</t>
  </si>
  <si>
    <t>10:05:59</t>
  </si>
  <si>
    <t>E1280</t>
  </si>
  <si>
    <t>Shreya Jain</t>
  </si>
  <si>
    <t>02-Mar-2021</t>
  </si>
  <si>
    <t>10:17:50</t>
  </si>
  <si>
    <t>E1073</t>
  </si>
  <si>
    <t>Komal Mishra</t>
  </si>
  <si>
    <t>18-May-2022</t>
  </si>
  <si>
    <t>08:17:56</t>
  </si>
  <si>
    <t>E1133</t>
  </si>
  <si>
    <t>Neha Verma</t>
  </si>
  <si>
    <t>12-Jan-2023</t>
  </si>
  <si>
    <t>10:37:06</t>
  </si>
  <si>
    <t>E1185</t>
  </si>
  <si>
    <t>Harsh Malhotra</t>
  </si>
  <si>
    <t>04-Oct-2021</t>
  </si>
  <si>
    <t>08:45:49</t>
  </si>
  <si>
    <t>E1072</t>
  </si>
  <si>
    <t>Arjun Chopra</t>
  </si>
  <si>
    <t>15-Jun-2024</t>
  </si>
  <si>
    <t>10:49:30</t>
  </si>
  <si>
    <t>E1177</t>
  </si>
  <si>
    <t>Siddharth Iyer</t>
  </si>
  <si>
    <t>20-Mar-2021</t>
  </si>
  <si>
    <t>09:58:53</t>
  </si>
  <si>
    <t>E1105</t>
  </si>
  <si>
    <t>Pooja Mishra</t>
  </si>
  <si>
    <t>22-Apr-2023</t>
  </si>
  <si>
    <t>08:20:47</t>
  </si>
  <si>
    <t>E1066</t>
  </si>
  <si>
    <t>Amit Nair</t>
  </si>
  <si>
    <t>26-Jun-2024</t>
  </si>
  <si>
    <t>08:15:08</t>
  </si>
  <si>
    <t>E1218</t>
  </si>
  <si>
    <t>08-Oct-2021</t>
  </si>
  <si>
    <t>10:21:51</t>
  </si>
  <si>
    <t>E1274</t>
  </si>
  <si>
    <t>Nidhi Verma</t>
  </si>
  <si>
    <t>11-Apr-2023</t>
  </si>
  <si>
    <t>09:24:35</t>
  </si>
  <si>
    <t>E1287</t>
  </si>
  <si>
    <t>Kavita Kumar</t>
  </si>
  <si>
    <t>10-Jun-2023</t>
  </si>
  <si>
    <t>09:26:19</t>
  </si>
  <si>
    <t>E1022</t>
  </si>
  <si>
    <t>Aditya Patel</t>
  </si>
  <si>
    <t>19-Nov-2023</t>
  </si>
  <si>
    <t>08:17:42</t>
  </si>
  <si>
    <t>E1244</t>
  </si>
  <si>
    <t>Rohan Saxena</t>
  </si>
  <si>
    <t>08:45:37</t>
  </si>
  <si>
    <t>E1126</t>
  </si>
  <si>
    <t>30-Apr-2023</t>
  </si>
  <si>
    <t>10:06:53</t>
  </si>
  <si>
    <t>E1188</t>
  </si>
  <si>
    <t>Aditya Bansal</t>
  </si>
  <si>
    <t>26-Nov-2022</t>
  </si>
  <si>
    <t>08:31:44</t>
  </si>
  <si>
    <t>E1212</t>
  </si>
  <si>
    <t>Rohan Mishra</t>
  </si>
  <si>
    <t>23-Nov-2021</t>
  </si>
  <si>
    <t>09:32:29</t>
  </si>
  <si>
    <t>E1266</t>
  </si>
  <si>
    <t>Arjun Mehta</t>
  </si>
  <si>
    <t>17-Feb-2023</t>
  </si>
  <si>
    <t>10:53:15</t>
  </si>
  <si>
    <t>E1172</t>
  </si>
  <si>
    <t>Varun Mehta</t>
  </si>
  <si>
    <t>09:49:24</t>
  </si>
  <si>
    <t>E1136</t>
  </si>
  <si>
    <t>Vikram Jain</t>
  </si>
  <si>
    <t>08-May-2024</t>
  </si>
  <si>
    <t>10:18:29</t>
  </si>
  <si>
    <t>E1182</t>
  </si>
  <si>
    <t>14-Dec-2023</t>
  </si>
  <si>
    <t>10:32:50</t>
  </si>
  <si>
    <t>E1147</t>
  </si>
  <si>
    <t>Deepak Chopra</t>
  </si>
  <si>
    <t>29-Apr-2023</t>
  </si>
  <si>
    <t>09:13:48</t>
  </si>
  <si>
    <t>E1051</t>
  </si>
  <si>
    <t>Deepak Malhotra</t>
  </si>
  <si>
    <t>14-Dec-2021</t>
  </si>
  <si>
    <t>10:05:18</t>
  </si>
  <si>
    <t>E1111</t>
  </si>
  <si>
    <t>07-Feb-2023</t>
  </si>
  <si>
    <t>09:09:15</t>
  </si>
  <si>
    <t>E1250</t>
  </si>
  <si>
    <t>Amit Sharma</t>
  </si>
  <si>
    <t>10:34:27</t>
  </si>
  <si>
    <t>E1294</t>
  </si>
  <si>
    <t>Nisha Bansal</t>
  </si>
  <si>
    <t>09-May-2024</t>
  </si>
  <si>
    <t>09:37:25</t>
  </si>
  <si>
    <t>E1257</t>
  </si>
  <si>
    <t>Siddharth Chopra</t>
  </si>
  <si>
    <t>07-Sep-2022</t>
  </si>
  <si>
    <t>09:11:48</t>
  </si>
  <si>
    <t>E1019</t>
  </si>
  <si>
    <t>Nidhi Agarwal</t>
  </si>
  <si>
    <t>17-Dec-2023</t>
  </si>
  <si>
    <t>10:27:13</t>
  </si>
  <si>
    <t>E1119</t>
  </si>
  <si>
    <t>Madhuri Gupta</t>
  </si>
  <si>
    <t>26-Dec-2021</t>
  </si>
  <si>
    <t>08:08:50</t>
  </si>
  <si>
    <t xml:space="preserve">   strong presentation   </t>
  </si>
  <si>
    <t>E1278</t>
  </si>
  <si>
    <t>Rahul Gupta</t>
  </si>
  <si>
    <t>06-Mar-2024</t>
  </si>
  <si>
    <t>09:43:57</t>
  </si>
  <si>
    <t>E1026</t>
  </si>
  <si>
    <t>Deepak Nair</t>
  </si>
  <si>
    <t>02-Feb-2024</t>
  </si>
  <si>
    <t>08:03:41</t>
  </si>
  <si>
    <t>E1075</t>
  </si>
  <si>
    <t>Meera Shah</t>
  </si>
  <si>
    <t>05-May-2024</t>
  </si>
  <si>
    <t>10:56:17</t>
  </si>
  <si>
    <t>E1123</t>
  </si>
  <si>
    <t>Yash Reddy</t>
  </si>
  <si>
    <t>24-Aug-2023</t>
  </si>
  <si>
    <t>E1215</t>
  </si>
  <si>
    <t>Vikram Reddy</t>
  </si>
  <si>
    <t>03-Apr-2021</t>
  </si>
  <si>
    <t>09:03:36</t>
  </si>
  <si>
    <t>E1033</t>
  </si>
  <si>
    <t>Arjun Gupta</t>
  </si>
  <si>
    <t>29-May-2021</t>
  </si>
  <si>
    <t>08:29:39</t>
  </si>
  <si>
    <t>E1291</t>
  </si>
  <si>
    <t>Tanya Nair</t>
  </si>
  <si>
    <t>29-Jul-2022</t>
  </si>
  <si>
    <t>09:23:07</t>
  </si>
  <si>
    <t>E1245</t>
  </si>
  <si>
    <t>Aakash Malhotra</t>
  </si>
  <si>
    <t>28-Sep-2021</t>
  </si>
  <si>
    <t>10:26:29</t>
  </si>
  <si>
    <t>E1129</t>
  </si>
  <si>
    <t>Nidhi Mehta</t>
  </si>
  <si>
    <t>15-Nov-2022</t>
  </si>
  <si>
    <t>E1275</t>
  </si>
  <si>
    <t>Amit Joshi</t>
  </si>
  <si>
    <t>08-Jun-2023</t>
  </si>
  <si>
    <t>10:50:21</t>
  </si>
  <si>
    <t>E1090</t>
  </si>
  <si>
    <t>22-Sep-2022</t>
  </si>
  <si>
    <t>10:47:52</t>
  </si>
  <si>
    <t>E1181</t>
  </si>
  <si>
    <t>Pooja Kumar</t>
  </si>
  <si>
    <t>04-Jan-2021</t>
  </si>
  <si>
    <t>10:22:15</t>
  </si>
  <si>
    <t>E1068</t>
  </si>
  <si>
    <t>Varun Joshi</t>
  </si>
  <si>
    <t>31-Mar-2024</t>
  </si>
  <si>
    <t>08:59:19</t>
  </si>
  <si>
    <t>E1206</t>
  </si>
  <si>
    <t>08:41:49</t>
  </si>
  <si>
    <t>E1246</t>
  </si>
  <si>
    <t>Deepak Gupta</t>
  </si>
  <si>
    <t>06-Jun-2022</t>
  </si>
  <si>
    <t>08:47:13</t>
  </si>
  <si>
    <t>E1221</t>
  </si>
  <si>
    <t>Manish Gupta</t>
  </si>
  <si>
    <t>28-Jun-2022</t>
  </si>
  <si>
    <t>10:50:49</t>
  </si>
  <si>
    <t>E1039</t>
  </si>
  <si>
    <t>Amit Singh</t>
  </si>
  <si>
    <t>23-Jan-2024</t>
  </si>
  <si>
    <t>08:53:23</t>
  </si>
  <si>
    <t>E1265</t>
  </si>
  <si>
    <t>03-Feb-2021</t>
  </si>
  <si>
    <t>09:35:59</t>
  </si>
  <si>
    <t xml:space="preserve">   needs improvement   </t>
  </si>
  <si>
    <t>E1122</t>
  </si>
  <si>
    <t>Ritika Singh</t>
  </si>
  <si>
    <t>09-Oct-2024</t>
  </si>
  <si>
    <t>10:43:16</t>
  </si>
  <si>
    <t>E1085</t>
  </si>
  <si>
    <t>Harsh Chopra</t>
  </si>
  <si>
    <t>12-Jul-2023</t>
  </si>
  <si>
    <t>09:19:55</t>
  </si>
  <si>
    <t>E1153</t>
  </si>
  <si>
    <t>Shreya Malhotra</t>
  </si>
  <si>
    <t>14-Jun-2023</t>
  </si>
  <si>
    <t>08:15:27</t>
  </si>
  <si>
    <t>E1255</t>
  </si>
  <si>
    <t>Anjali Kumar</t>
  </si>
  <si>
    <t>08-Sep-2022</t>
  </si>
  <si>
    <t>09:03:35</t>
  </si>
  <si>
    <t>E1087</t>
  </si>
  <si>
    <t>Pooja Joshi</t>
  </si>
  <si>
    <t>06-Jan-2021</t>
  </si>
  <si>
    <t>09:28:44</t>
  </si>
  <si>
    <t>E1013</t>
  </si>
  <si>
    <t>Neha Kumar</t>
  </si>
  <si>
    <t>06-May-2024</t>
  </si>
  <si>
    <t>08:24:24</t>
  </si>
  <si>
    <t>E1036</t>
  </si>
  <si>
    <t>Arjun Shah</t>
  </si>
  <si>
    <t>08-Feb-2024</t>
  </si>
  <si>
    <t>08:17:18</t>
  </si>
  <si>
    <t>E1050</t>
  </si>
  <si>
    <t>Ritika Sharma</t>
  </si>
  <si>
    <t>07-Mar-2022</t>
  </si>
  <si>
    <t>09:50:37</t>
  </si>
  <si>
    <t>E1049</t>
  </si>
  <si>
    <t>19-Oct-2024</t>
  </si>
  <si>
    <t>10:57:11</t>
  </si>
  <si>
    <t>E1219</t>
  </si>
  <si>
    <t>Arjun Jain</t>
  </si>
  <si>
    <t>09-Jun-2024</t>
  </si>
  <si>
    <t>09:10:25</t>
  </si>
  <si>
    <t xml:space="preserve">   excellent leadership   </t>
  </si>
  <si>
    <t>E1112</t>
  </si>
  <si>
    <t>Nidhi Joshi</t>
  </si>
  <si>
    <t>11-Jun-2021</t>
  </si>
  <si>
    <t>10:55:24</t>
  </si>
  <si>
    <t>E1097</t>
  </si>
  <si>
    <t>Isha Goyal</t>
  </si>
  <si>
    <t>22-Apr-2021</t>
  </si>
  <si>
    <t>08:33:23</t>
  </si>
  <si>
    <t>E1157</t>
  </si>
  <si>
    <t>26-Oct-2024</t>
  </si>
  <si>
    <t>10:41:40</t>
  </si>
  <si>
    <t>E1009</t>
  </si>
  <si>
    <t>Yash Joshi</t>
  </si>
  <si>
    <t>05-Aug-2023</t>
  </si>
  <si>
    <t>09:17:59</t>
  </si>
  <si>
    <t>E1207</t>
  </si>
  <si>
    <t>Karan Mishra</t>
  </si>
  <si>
    <t>17-Oct-2023</t>
  </si>
  <si>
    <t>10:34:18</t>
  </si>
  <si>
    <t>E1201</t>
  </si>
  <si>
    <t>Suresh Agarwal</t>
  </si>
  <si>
    <t>23-Mar-2024</t>
  </si>
  <si>
    <t>08:08:20</t>
  </si>
  <si>
    <t>E1296</t>
  </si>
  <si>
    <t>Harsh Nair</t>
  </si>
  <si>
    <t>18-Aug-2024</t>
  </si>
  <si>
    <t>10:02:36</t>
  </si>
  <si>
    <t>E1193</t>
  </si>
  <si>
    <t>16-Sep-2021</t>
  </si>
  <si>
    <t>08:15:49</t>
  </si>
  <si>
    <t>E1070</t>
  </si>
  <si>
    <t>Manish Patel</t>
  </si>
  <si>
    <t>16-Sep-2024</t>
  </si>
  <si>
    <t>09:04:32</t>
  </si>
  <si>
    <t>E1293</t>
  </si>
  <si>
    <t>Isha Chopra</t>
  </si>
  <si>
    <t>21-Jul-2024</t>
  </si>
  <si>
    <t>09:15:16</t>
  </si>
  <si>
    <t>E1086</t>
  </si>
  <si>
    <t>Manish Jain</t>
  </si>
  <si>
    <t>02-Mar-2022</t>
  </si>
  <si>
    <t>10:13:16</t>
  </si>
  <si>
    <t>E1035</t>
  </si>
  <si>
    <t>Deepak Goyal</t>
  </si>
  <si>
    <t>29-Sep-2024</t>
  </si>
  <si>
    <t>10:19:59</t>
  </si>
  <si>
    <t xml:space="preserve">   great support   </t>
  </si>
  <si>
    <t>E1055</t>
  </si>
  <si>
    <t>Priya Goyal</t>
  </si>
  <si>
    <t>24-Jul-2023</t>
  </si>
  <si>
    <t>08:51:29</t>
  </si>
  <si>
    <t>E1094</t>
  </si>
  <si>
    <t>Nisha Agarwal</t>
  </si>
  <si>
    <t>14-Dec-2022</t>
  </si>
  <si>
    <t>09:21:20</t>
  </si>
  <si>
    <t>E1220</t>
  </si>
  <si>
    <t>31-Aug-2023</t>
  </si>
  <si>
    <t>08:23:21</t>
  </si>
  <si>
    <t>E1192</t>
  </si>
  <si>
    <t>Yash Patel</t>
  </si>
  <si>
    <t>15-Jan-2023</t>
  </si>
  <si>
    <t>10:51:47</t>
  </si>
  <si>
    <t>E1298</t>
  </si>
  <si>
    <t>06-Feb-2023</t>
  </si>
  <si>
    <t>09:29:49</t>
  </si>
  <si>
    <t>E1248</t>
  </si>
  <si>
    <t>08-Jul-2023</t>
  </si>
  <si>
    <t>09:24:05</t>
  </si>
  <si>
    <t>E1116</t>
  </si>
  <si>
    <t>Anjali Gupta</t>
  </si>
  <si>
    <t>17-Jul-2022</t>
  </si>
  <si>
    <t>08:36:55</t>
  </si>
  <si>
    <t>E1076</t>
  </si>
  <si>
    <t>10:48:15</t>
  </si>
  <si>
    <t>E1077</t>
  </si>
  <si>
    <t>Siddharth Agarwal</t>
  </si>
  <si>
    <t>10-Jul-2021</t>
  </si>
  <si>
    <t>09:14:25</t>
  </si>
  <si>
    <t>E1058</t>
  </si>
  <si>
    <t>Vikram Iyer</t>
  </si>
  <si>
    <t>11-Oct-2021</t>
  </si>
  <si>
    <t>08:14:24</t>
  </si>
  <si>
    <t>E1053</t>
  </si>
  <si>
    <t>Isha Verma</t>
  </si>
  <si>
    <t>13-Jul-2024</t>
  </si>
  <si>
    <t>10:12:45</t>
  </si>
  <si>
    <t>E1048</t>
  </si>
  <si>
    <t>Isha Singh</t>
  </si>
  <si>
    <t>27-Sep-2024</t>
  </si>
  <si>
    <t>09:20:25</t>
  </si>
  <si>
    <t>E1273</t>
  </si>
  <si>
    <t>Tanya Bansal</t>
  </si>
  <si>
    <t>12-Apr-2023</t>
  </si>
  <si>
    <t>09:36:15</t>
  </si>
  <si>
    <t>E1008</t>
  </si>
  <si>
    <t>29-Dec-2022</t>
  </si>
  <si>
    <t>08:42:17</t>
  </si>
  <si>
    <t xml:space="preserve"> </t>
  </si>
  <si>
    <t>E1038</t>
  </si>
  <si>
    <t>Amit Iyer</t>
  </si>
  <si>
    <t>27-Nov-2021</t>
  </si>
  <si>
    <t>10:28:35</t>
  </si>
  <si>
    <t>E1203</t>
  </si>
  <si>
    <t>15-Sep-2022</t>
  </si>
  <si>
    <t>08:10:20</t>
  </si>
  <si>
    <t>E1282</t>
  </si>
  <si>
    <t>Shreya Gupta</t>
  </si>
  <si>
    <t>18-Jun-2021</t>
  </si>
  <si>
    <t>09:09:24</t>
  </si>
  <si>
    <t>E1100</t>
  </si>
  <si>
    <t>Varun Singh</t>
  </si>
  <si>
    <t>19-Aug-2024</t>
  </si>
  <si>
    <t>08:31:59</t>
  </si>
  <si>
    <t>E1067</t>
  </si>
  <si>
    <t>10-Dec-2021</t>
  </si>
  <si>
    <t>10:38:47</t>
  </si>
  <si>
    <t>E1170</t>
  </si>
  <si>
    <t>Varun Jain</t>
  </si>
  <si>
    <t>31-Mar-2021</t>
  </si>
  <si>
    <t>09:23:43</t>
  </si>
  <si>
    <t>E1080</t>
  </si>
  <si>
    <t>Komal Goyal</t>
  </si>
  <si>
    <t>20-Mar-2022</t>
  </si>
  <si>
    <t>E1249</t>
  </si>
  <si>
    <t>Isha Reddy</t>
  </si>
  <si>
    <t>06-Jan-2024</t>
  </si>
  <si>
    <t>09:33:08</t>
  </si>
  <si>
    <t>E1005</t>
  </si>
  <si>
    <t>Suresh Singh</t>
  </si>
  <si>
    <t>21-May-2024</t>
  </si>
  <si>
    <t>09:51:02</t>
  </si>
  <si>
    <t>E1028</t>
  </si>
  <si>
    <t>Suresh Sharma</t>
  </si>
  <si>
    <t>21-Jul-2023</t>
  </si>
  <si>
    <t>09:27:44</t>
  </si>
  <si>
    <t>E1132</t>
  </si>
  <si>
    <t>Meera Nair</t>
  </si>
  <si>
    <t>23-Dec-2021</t>
  </si>
  <si>
    <t>09:03:08</t>
  </si>
  <si>
    <t>E1056</t>
  </si>
  <si>
    <t>Shreya Iyer</t>
  </si>
  <si>
    <t>28-Jan-2024</t>
  </si>
  <si>
    <t>09:57:10</t>
  </si>
  <si>
    <t>E1011</t>
  </si>
  <si>
    <t>20-Oct-2021</t>
  </si>
  <si>
    <t>09:08:15</t>
  </si>
  <si>
    <t>E1078</t>
  </si>
  <si>
    <t>10:22:27</t>
  </si>
  <si>
    <t>E1297</t>
  </si>
  <si>
    <t>Rohan Chopra</t>
  </si>
  <si>
    <t>21-Jul-2021</t>
  </si>
  <si>
    <t>09:14:32</t>
  </si>
  <si>
    <t>E1029</t>
  </si>
  <si>
    <t>Karan Gupta</t>
  </si>
  <si>
    <t>01-Apr-2024</t>
  </si>
  <si>
    <t>10:34:03</t>
  </si>
  <si>
    <t>E1140</t>
  </si>
  <si>
    <t>09:55:42</t>
  </si>
  <si>
    <t>E1060</t>
  </si>
  <si>
    <t>04-Sep-2023</t>
  </si>
  <si>
    <t>08:22:19</t>
  </si>
  <si>
    <t>E1156</t>
  </si>
  <si>
    <t>22-Dec-2021</t>
  </si>
  <si>
    <t>10:09:48</t>
  </si>
  <si>
    <t>E1095</t>
  </si>
  <si>
    <t>10:25:52</t>
  </si>
  <si>
    <t>E1143</t>
  </si>
  <si>
    <t>Nisha Goyal</t>
  </si>
  <si>
    <t>01-Mar-2021</t>
  </si>
  <si>
    <t>08:17:44</t>
  </si>
  <si>
    <t>E1018</t>
  </si>
  <si>
    <t>23-Sep-2023</t>
  </si>
  <si>
    <t>08:48:34</t>
  </si>
  <si>
    <t>E1202</t>
  </si>
  <si>
    <t>Deepak Saxena</t>
  </si>
  <si>
    <t>10:37:11</t>
  </si>
  <si>
    <t>E1014</t>
  </si>
  <si>
    <t>Vikram Goyal</t>
  </si>
  <si>
    <t>28-Oct-2024</t>
  </si>
  <si>
    <t>10:48:17</t>
  </si>
  <si>
    <t>E1222</t>
  </si>
  <si>
    <t>10:46:39</t>
  </si>
  <si>
    <t xml:space="preserve">   quick response   </t>
  </si>
  <si>
    <t>E1065</t>
  </si>
  <si>
    <t>Rahul Agarwal</t>
  </si>
  <si>
    <t>18-Dec-2022</t>
  </si>
  <si>
    <t>08:41:04</t>
  </si>
  <si>
    <t>E1171</t>
  </si>
  <si>
    <t>30-Dec-2023</t>
  </si>
  <si>
    <t>08:19:51</t>
  </si>
  <si>
    <t>E1256</t>
  </si>
  <si>
    <t>Nidhi Chopra</t>
  </si>
  <si>
    <t>07-Dec-2022</t>
  </si>
  <si>
    <t>10:42:24</t>
  </si>
  <si>
    <t>E1102</t>
  </si>
  <si>
    <t>Madhuri Jain</t>
  </si>
  <si>
    <t>20-Jul-2022</t>
  </si>
  <si>
    <t>09:21:59</t>
  </si>
  <si>
    <t>E1130</t>
  </si>
  <si>
    <t>Varun Goyal</t>
  </si>
  <si>
    <t>23-Apr-2022</t>
  </si>
  <si>
    <t>09:49:09</t>
  </si>
  <si>
    <t>E1166</t>
  </si>
  <si>
    <t>Siddharth Bansal</t>
  </si>
  <si>
    <t>27-Sep-2022</t>
  </si>
  <si>
    <t>10:24:41</t>
  </si>
  <si>
    <t>E1043</t>
  </si>
  <si>
    <t>Priya Agarwal</t>
  </si>
  <si>
    <t>01-Aug-2023</t>
  </si>
  <si>
    <t>09:19:52</t>
  </si>
  <si>
    <t>E1227</t>
  </si>
  <si>
    <t>Anjali Mehta</t>
  </si>
  <si>
    <t>10-Sep-2023</t>
  </si>
  <si>
    <t>E1054</t>
  </si>
  <si>
    <t>07-Aug-2021</t>
  </si>
  <si>
    <t>09:14:11</t>
  </si>
  <si>
    <t>E1271</t>
  </si>
  <si>
    <t>26-Oct-2023</t>
  </si>
  <si>
    <t>10:43:27</t>
  </si>
  <si>
    <t>E1235</t>
  </si>
  <si>
    <t>09:17:12</t>
  </si>
  <si>
    <t>E1139</t>
  </si>
  <si>
    <t>Rahul Verma</t>
  </si>
  <si>
    <t>17-Jul-2021</t>
  </si>
  <si>
    <t>10:47:23</t>
  </si>
  <si>
    <t>E1184</t>
  </si>
  <si>
    <t>Pooja Singh</t>
  </si>
  <si>
    <t>01-Apr-2021</t>
  </si>
  <si>
    <t>09:34:21</t>
  </si>
  <si>
    <t>E1155</t>
  </si>
  <si>
    <t>Neha Saxena</t>
  </si>
  <si>
    <t>21-Dec-2022</t>
  </si>
  <si>
    <t>10:52:41</t>
  </si>
  <si>
    <t>E1272</t>
  </si>
  <si>
    <t>Madhuri Singh</t>
  </si>
  <si>
    <t>29-Jan-2022</t>
  </si>
  <si>
    <t>10:33:16</t>
  </si>
  <si>
    <t>E1186</t>
  </si>
  <si>
    <t>Karan Patel</t>
  </si>
  <si>
    <t>09:32:25</t>
  </si>
  <si>
    <t>E1254</t>
  </si>
  <si>
    <t>28-Mar-2024</t>
  </si>
  <si>
    <t>10:49:43</t>
  </si>
  <si>
    <t>E1189</t>
  </si>
  <si>
    <t>Tanya Saxena</t>
  </si>
  <si>
    <t>20-May-2023</t>
  </si>
  <si>
    <t>08:27:38</t>
  </si>
  <si>
    <t>E1289</t>
  </si>
  <si>
    <t>21-Jun-2023</t>
  </si>
  <si>
    <t>09:27:52</t>
  </si>
  <si>
    <t>E1128</t>
  </si>
  <si>
    <t>Aditya Reddy</t>
  </si>
  <si>
    <t>08:07:54</t>
  </si>
  <si>
    <t>E1096</t>
  </si>
  <si>
    <t>Rahul Iyer</t>
  </si>
  <si>
    <t>26-Aug-2021</t>
  </si>
  <si>
    <t>09:55:32</t>
  </si>
  <si>
    <t>E1137</t>
  </si>
  <si>
    <t>Tanya Singh</t>
  </si>
  <si>
    <t>14-Jul-2023</t>
  </si>
  <si>
    <t>08:26:21</t>
  </si>
  <si>
    <t>E1071</t>
  </si>
  <si>
    <t>07-Jun-2023</t>
  </si>
  <si>
    <t>09:40:57</t>
  </si>
  <si>
    <t>E1178</t>
  </si>
  <si>
    <t>12-Jun-2021</t>
  </si>
  <si>
    <t>08:16:13</t>
  </si>
  <si>
    <t>E1092</t>
  </si>
  <si>
    <t>22-Feb-2021</t>
  </si>
  <si>
    <t>08:14:43</t>
  </si>
  <si>
    <t>E1279</t>
  </si>
  <si>
    <t>20-Apr-2021</t>
  </si>
  <si>
    <t>08:27:14</t>
  </si>
  <si>
    <t>E1168</t>
  </si>
  <si>
    <t>09-Oct-2021</t>
  </si>
  <si>
    <t>08:04:18</t>
  </si>
  <si>
    <t>E1134</t>
  </si>
  <si>
    <t>Shreya Patel</t>
  </si>
  <si>
    <t>10-Aug-2024</t>
  </si>
  <si>
    <t>08:03:30</t>
  </si>
  <si>
    <t>E1069</t>
  </si>
  <si>
    <t>28-Jul-2021</t>
  </si>
  <si>
    <t>10:49:19</t>
  </si>
  <si>
    <t>E1108</t>
  </si>
  <si>
    <t>Kavita Shah</t>
  </si>
  <si>
    <t>23-Aug-2024</t>
  </si>
  <si>
    <t>08:54:21</t>
  </si>
  <si>
    <t>E1209</t>
  </si>
  <si>
    <t>Deepak Mehta</t>
  </si>
  <si>
    <t>10:20:46</t>
  </si>
  <si>
    <t>E1103</t>
  </si>
  <si>
    <t>Varun Sharma</t>
  </si>
  <si>
    <t>17-Apr-2024</t>
  </si>
  <si>
    <t>10:42:31</t>
  </si>
  <si>
    <t>E1003</t>
  </si>
  <si>
    <t>Yash Goyal</t>
  </si>
  <si>
    <t>10:17:51</t>
  </si>
  <si>
    <t>E1106</t>
  </si>
  <si>
    <t>Nidhi Kumar</t>
  </si>
  <si>
    <t>10:37:21</t>
  </si>
  <si>
    <t>E1107</t>
  </si>
  <si>
    <t>Isha Malhotra</t>
  </si>
  <si>
    <t>01-Feb-2021</t>
  </si>
  <si>
    <t>10:09:26</t>
  </si>
  <si>
    <t>E1251</t>
  </si>
  <si>
    <t>14-Nov-2021</t>
  </si>
  <si>
    <t>09:12:59</t>
  </si>
  <si>
    <t>E1160</t>
  </si>
  <si>
    <t>Yash Verma</t>
  </si>
  <si>
    <t>03-Apr-2024</t>
  </si>
  <si>
    <t>10:50:47</t>
  </si>
  <si>
    <t>E1197</t>
  </si>
  <si>
    <t>Madhuri Agarwal</t>
  </si>
  <si>
    <t>08:28:11</t>
  </si>
  <si>
    <t>E1205</t>
  </si>
  <si>
    <t>Ritika Verma</t>
  </si>
  <si>
    <t>17-Dec-2021</t>
  </si>
  <si>
    <t>10:39:46</t>
  </si>
  <si>
    <t>E1211</t>
  </si>
  <si>
    <t>Neha Patel</t>
  </si>
  <si>
    <t>14-Jun-2024</t>
  </si>
  <si>
    <t>09:15:55</t>
  </si>
  <si>
    <t>E1110</t>
  </si>
  <si>
    <t>Rahul Chopra</t>
  </si>
  <si>
    <t>28-Jun-2023</t>
  </si>
  <si>
    <t>08:44:19</t>
  </si>
  <si>
    <t>E1174</t>
  </si>
  <si>
    <t>Isha Saxena</t>
  </si>
  <si>
    <t>21-Jun-2021</t>
  </si>
  <si>
    <t>E1062</t>
  </si>
  <si>
    <t>Nidhi Bansal</t>
  </si>
  <si>
    <t>19-Sep-2021</t>
  </si>
  <si>
    <t>10:34:01</t>
  </si>
  <si>
    <t>E1295</t>
  </si>
  <si>
    <t>Madhuri Chopra</t>
  </si>
  <si>
    <t>07-Dec-2024</t>
  </si>
  <si>
    <t>10:38:40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</si>
</sst>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u/>
      <sz val="12"/>
      <color rgb="FFFF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SimSun"/>
      <charset val="134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2" xfId="0" applyFont="1" applyBorder="1"/>
    <xf numFmtId="0" fontId="0" fillId="0" borderId="2" xfId="0" applyNumberFormat="1" applyFont="1" applyBorder="1"/>
    <xf numFmtId="0" fontId="0" fillId="0" borderId="3" xfId="0" applyNumberFormat="1" applyFont="1" applyBorder="1" applyAlignment="1"/>
    <xf numFmtId="0" fontId="0" fillId="0" borderId="0" xfId="0" applyNumberFormat="1" applyFont="1" applyAlignment="1"/>
    <xf numFmtId="0" fontId="3" fillId="0" borderId="1" xfId="0" applyFont="1" applyBorder="1"/>
    <xf numFmtId="0" fontId="0" fillId="0" borderId="3" xfId="0" applyFont="1" applyBorder="1"/>
    <xf numFmtId="0" fontId="0" fillId="0" borderId="3" xfId="0" applyNumberFormat="1" applyFont="1" applyBorder="1"/>
    <xf numFmtId="0" fontId="4" fillId="0" borderId="1" xfId="0" applyFont="1" applyBorder="1"/>
    <xf numFmtId="0" fontId="0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80" fontId="0" fillId="0" borderId="0" xfId="0" applyNumberFormat="1" applyFont="1" applyAlignment="1"/>
    <xf numFmtId="181" fontId="0" fillId="0" borderId="0" xfId="0" applyNumberFormat="1" applyFont="1" applyAlignment="1"/>
    <xf numFmtId="0" fontId="6" fillId="3" borderId="3" xfId="0" applyFont="1" applyFill="1" applyBorder="1" applyAlignment="1">
      <alignment horizontal="center"/>
    </xf>
    <xf numFmtId="0" fontId="0" fillId="0" borderId="3" xfId="0" applyFont="1" applyBorder="1" applyAlignment="1"/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D301" totalsRowShown="0">
  <autoFilter xmlns:etc="http://www.wps.cn/officeDocument/2017/etCustomData" ref="A1:AD301" etc:filterBottomFollowUsedRange="0"/>
  <sortState ref="A1:AD301">
    <sortCondition ref="Y1" descending="1"/>
  </sortState>
  <tableColumns count="30">
    <tableColumn id="1" name="Emp_ID" dataDxfId="0"/>
    <tableColumn id="2" name="Employee_Name" dataDxfId="1"/>
    <tableColumn id="19" name="lenght of Emp-name" dataDxfId="2">
      <calculatedColumnFormula>LEN(B2)</calculatedColumnFormula>
    </tableColumn>
    <tableColumn id="3" name="Department" dataDxfId="3"/>
    <tableColumn id="4" name="Helper cols" dataDxfId="4">
      <calculatedColumnFormula>_xlfn.CONCAT(B2,"(",A2,")"," - ",D2)</calculatedColumnFormula>
    </tableColumn>
    <tableColumn id="25" name="Left" dataDxfId="5">
      <calculatedColumnFormula>LEFT(E2,FIND("-",E2))</calculatedColumnFormula>
    </tableColumn>
    <tableColumn id="27" name="Right" dataDxfId="6">
      <calculatedColumnFormula>RIGHT(E2,LEN(E2)-FIND("-",E2)-1)</calculatedColumnFormula>
    </tableColumn>
    <tableColumn id="26" name="Column3" dataDxfId="7">
      <calculatedColumnFormula>FIND("-",F2)</calculatedColumnFormula>
    </tableColumn>
    <tableColumn id="28" name="Column4" dataDxfId="8">
      <calculatedColumnFormula>LEN(E2)-FIND("-",E2)</calculatedColumnFormula>
    </tableColumn>
    <tableColumn id="5" name="City" dataDxfId="9"/>
    <tableColumn id="29" name="New city" dataDxfId="10">
      <calculatedColumnFormula>SUBSTITUTE(J2,"a","@",1)</calculatedColumnFormula>
    </tableColumn>
    <tableColumn id="6" name="Joining_Date" dataDxfId="11"/>
    <tableColumn id="7" name="Day" dataDxfId="12">
      <calculatedColumnFormula>TEXT(L2,"dddd")</calculatedColumnFormula>
    </tableColumn>
    <tableColumn id="8" name="Left2" dataDxfId="13">
      <calculatedColumnFormula>LEFT(M2,3)</calculatedColumnFormula>
    </tableColumn>
    <tableColumn id="9" name="Right2" dataDxfId="14">
      <calculatedColumnFormula>RIGHT(M2,3)</calculatedColumnFormula>
    </tableColumn>
    <tableColumn id="10" name="Month" dataDxfId="15">
      <calculatedColumnFormula>MONTH(L2)</calculatedColumnFormula>
    </tableColumn>
    <tableColumn id="11" name="Year" dataDxfId="16">
      <calculatedColumnFormula>YEAR(L2)</calculatedColumnFormula>
    </tableColumn>
    <tableColumn id="12" name="Login_Time" dataDxfId="17"/>
    <tableColumn id="13" name="Hour" dataDxfId="18">
      <calculatedColumnFormula>HOUR(R2)</calculatedColumnFormula>
    </tableColumn>
    <tableColumn id="14" name="Minute" dataDxfId="19">
      <calculatedColumnFormula>MINUTE(R2)</calculatedColumnFormula>
    </tableColumn>
    <tableColumn id="15" name="Second" dataDxfId="20">
      <calculatedColumnFormula>SECOND(R2)</calculatedColumnFormula>
    </tableColumn>
    <tableColumn id="16" name="Monthly_Sales" dataDxfId="21"/>
    <tableColumn id="17" name="Target" dataDxfId="22"/>
    <tableColumn id="30" name="Column1" dataDxfId="23">
      <calculatedColumnFormula>IF(W2&gt;50000,"Highe Target","Low Target")</calculatedColumnFormula>
    </tableColumn>
    <tableColumn id="31" name="Column5" dataDxfId="24">
      <calculatedColumnFormula>IF(NOT(W2&lt;50000),"Highe target","Lower Target")</calculatedColumnFormula>
    </tableColumn>
    <tableColumn id="32" name="Column6" dataDxfId="25">
      <calculatedColumnFormula array="1">_xlfn.IFS(W2&lt;60000,"LOWERTarget",W2&lt;80000,"Medium Target",W2,"Highe Target")</calculatedColumnFormula>
    </tableColumn>
    <tableColumn id="18" name="Customer_Feedback" dataDxfId="26"/>
    <tableColumn id="20" name="Upper" dataDxfId="27">
      <calculatedColumnFormula>UPPER(AA2)</calculatedColumnFormula>
    </tableColumn>
    <tableColumn id="21" name="Lower" dataDxfId="28">
      <calculatedColumnFormula>LOWER(AA2)</calculatedColumnFormula>
    </tableColumn>
    <tableColumn id="22" name="Propar" dataDxfId="29">
      <calculatedColumnFormula>PROPER(AA2)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00"/>
  <sheetViews>
    <sheetView tabSelected="1" zoomScale="104" zoomScaleNormal="104" topLeftCell="E1" workbookViewId="0">
      <selection activeCell="J3" sqref="J3"/>
    </sheetView>
  </sheetViews>
  <sheetFormatPr defaultColWidth="14.4272727272727" defaultRowHeight="15" customHeight="1"/>
  <cols>
    <col min="1" max="1" width="8.09090909090909" customWidth="1"/>
    <col min="2" max="2" width="18.8181818181818" customWidth="1"/>
    <col min="3" max="3" width="18.0363636363636" customWidth="1"/>
    <col min="4" max="4" width="12.0909090909091" customWidth="1"/>
    <col min="5" max="5" width="36" customWidth="1"/>
    <col min="6" max="6" width="20.2" customWidth="1"/>
    <col min="7" max="10" width="12" customWidth="1"/>
    <col min="11" max="11" width="12.9090909090909" customWidth="1"/>
    <col min="12" max="12" width="12.8181818181818" customWidth="1"/>
    <col min="13" max="18" width="11.1818181818182" customWidth="1"/>
    <col min="19" max="22" width="14.3636363636364" customWidth="1"/>
    <col min="23" max="23" width="13.1272727272727" customWidth="1"/>
    <col min="24" max="27" width="23.3636363636364" customWidth="1"/>
    <col min="28" max="28" width="27.4545454545455" customWidth="1"/>
    <col min="29" max="29" width="23.3636363636364" customWidth="1"/>
    <col min="30" max="30" width="24.0909090909091" customWidth="1"/>
    <col min="31" max="31" width="11.6363636363636" customWidth="1"/>
    <col min="32" max="33" width="9" customWidth="1"/>
    <col min="34" max="34" width="10.8181818181818" customWidth="1"/>
    <col min="35" max="35" width="32.6181818181818" customWidth="1"/>
    <col min="36" max="44" width="9" customWidth="1"/>
    <col min="45" max="45" width="32.4545454545455" customWidth="1"/>
    <col min="46" max="46" width="8.54545454545454" customWidth="1"/>
    <col min="47" max="48" width="9" customWidth="1"/>
    <col min="49" max="49" width="16.8181818181818" customWidth="1"/>
  </cols>
  <sheetData>
    <row r="1" ht="14.25" customHeight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S1" s="2" t="s">
        <v>30</v>
      </c>
      <c r="AT1" s="2" t="s">
        <v>31</v>
      </c>
      <c r="AW1" t="s">
        <v>32</v>
      </c>
      <c r="AX1" t="str">
        <f>LEFT(AW1,FIND("-",AW1)-1)</f>
        <v>"+91</v>
      </c>
      <c r="AY1" t="str">
        <f>RIGHT(AW1,LEN(AW1)-FIND("-",AW1))</f>
        <v>8208309401</v>
      </c>
    </row>
    <row r="2" ht="14.25" customHeight="1" spans="1:51">
      <c r="A2" s="3" t="s">
        <v>33</v>
      </c>
      <c r="B2" s="3" t="s">
        <v>34</v>
      </c>
      <c r="C2" s="4">
        <f t="shared" ref="C2:C65" si="0">LEN(B2)</f>
        <v>11</v>
      </c>
      <c r="D2" s="3" t="s">
        <v>35</v>
      </c>
      <c r="E2" s="3" t="str">
        <f t="shared" ref="E2:E65" si="1">_xlfn.CONCAT(B2,"(",A2,")"," - ",D2)</f>
        <v>Neha Chopra(E1231) - Finance</v>
      </c>
      <c r="F2" s="4" t="str">
        <f t="shared" ref="F2:F65" si="2">LEFT(E2,FIND("-",E2))</f>
        <v>Neha Chopra(E1231) -</v>
      </c>
      <c r="G2" s="4" t="str">
        <f t="shared" ref="G2:G65" si="3">RIGHT(E2,LEN(E2)-FIND("-",E2)-1)</f>
        <v>Finance</v>
      </c>
      <c r="H2" s="4">
        <f t="shared" ref="H2:H65" si="4">FIND("-",E2)</f>
        <v>20</v>
      </c>
      <c r="I2" s="4">
        <f t="shared" ref="I2:I65" si="5">LEN(E2)-FIND("-",E2)</f>
        <v>8</v>
      </c>
      <c r="J2" s="3" t="s">
        <v>36</v>
      </c>
      <c r="K2" s="4" t="str">
        <f t="shared" ref="K2:K65" si="6">SUBSTITUTE(J2,"a","@",1)</f>
        <v>Ahmed@bad</v>
      </c>
      <c r="L2" s="3" t="s">
        <v>37</v>
      </c>
      <c r="M2" s="3" t="str">
        <f t="shared" ref="M2:M65" si="7">TEXT(L2,"dddd")</f>
        <v>Sunday</v>
      </c>
      <c r="N2" s="3" t="str">
        <f t="shared" ref="N2:N65" si="8">LEFT(M2,3)</f>
        <v>Sun</v>
      </c>
      <c r="O2" s="3" t="str">
        <f t="shared" ref="O2:O65" si="9">RIGHT(M2,3)</f>
        <v>day</v>
      </c>
      <c r="P2" s="3">
        <f t="shared" ref="P2:P65" si="10">MONTH(L2)</f>
        <v>7</v>
      </c>
      <c r="Q2" s="3">
        <f t="shared" ref="Q2:Q65" si="11">YEAR(L2)</f>
        <v>2021</v>
      </c>
      <c r="R2" s="3" t="s">
        <v>38</v>
      </c>
      <c r="S2" s="3">
        <f t="shared" ref="S2:S65" si="12">HOUR(R2)</f>
        <v>10</v>
      </c>
      <c r="T2" s="3">
        <f t="shared" ref="T2:T65" si="13">MINUTE(R2)</f>
        <v>49</v>
      </c>
      <c r="U2" s="3">
        <f t="shared" ref="U2:U65" si="14">SECOND(R2)</f>
        <v>8</v>
      </c>
      <c r="V2" s="3">
        <v>35689</v>
      </c>
      <c r="W2" s="3">
        <v>40339</v>
      </c>
      <c r="X2" s="4" t="str">
        <f t="shared" ref="X2:X65" si="15">IF(W2&gt;50000,"Highe Target","Low Target")</f>
        <v>Low Target</v>
      </c>
      <c r="Y2" s="4" t="str">
        <f t="shared" ref="Y2:Y65" si="16">IF(NOT(W2&lt;50000),"Highe target","Lower Target")</f>
        <v>Lower Target</v>
      </c>
      <c r="Z2" s="4" t="str" cm="1">
        <f t="array" ref="Z2">_xlfn.IFS(W2&lt;60000,"LOWERTarget",W2&lt;80000,"Medium Target",W2,"Highe Target")</f>
        <v>LOWERTarget</v>
      </c>
      <c r="AA2" s="3" t="s">
        <v>39</v>
      </c>
      <c r="AB2" s="5" t="str">
        <f t="shared" ref="AB2:AB65" si="17">UPPER(AA2)</f>
        <v>DETAILED ANALYSIS</v>
      </c>
      <c r="AC2" s="5" t="str">
        <f t="shared" ref="AC2:AC65" si="18">LOWER(AA2)</f>
        <v>detailed analysis</v>
      </c>
      <c r="AD2" s="5" t="str">
        <f t="shared" ref="AD2:AD65" si="19">PROPER(AA2)</f>
        <v>Detailed Analysis</v>
      </c>
      <c r="AF2" s="6"/>
      <c r="AS2" s="7" t="s">
        <v>40</v>
      </c>
      <c r="AT2" s="7"/>
      <c r="AW2" t="s">
        <v>41</v>
      </c>
      <c r="AX2" t="str">
        <f>LEFT(AW2,FIND("-",AW2)-1)</f>
        <v>"+3</v>
      </c>
      <c r="AY2" t="str">
        <f>RIGHT(AW2,LEN(AW2)-FIND("-",AW2))</f>
        <v>23692442</v>
      </c>
    </row>
    <row r="3" ht="14.25" customHeight="1" spans="1:51">
      <c r="A3" s="8" t="s">
        <v>42</v>
      </c>
      <c r="B3" s="8" t="s">
        <v>43</v>
      </c>
      <c r="C3" s="9">
        <f t="shared" si="0"/>
        <v>11</v>
      </c>
      <c r="D3" s="8" t="s">
        <v>44</v>
      </c>
      <c r="E3" s="8" t="str">
        <f t="shared" si="1"/>
        <v>Vikram Nair(E1288) - Marketing</v>
      </c>
      <c r="F3" s="9" t="str">
        <f t="shared" si="2"/>
        <v>Vikram Nair(E1288) -</v>
      </c>
      <c r="G3" s="9" t="str">
        <f t="shared" si="3"/>
        <v>Marketing</v>
      </c>
      <c r="H3" s="9">
        <f t="shared" si="4"/>
        <v>20</v>
      </c>
      <c r="I3" s="9">
        <f t="shared" si="5"/>
        <v>10</v>
      </c>
      <c r="J3" s="8" t="s">
        <v>45</v>
      </c>
      <c r="K3" s="9" t="str">
        <f t="shared" si="6"/>
        <v>B@ngalore</v>
      </c>
      <c r="L3" s="8" t="s">
        <v>46</v>
      </c>
      <c r="M3" s="8" t="str">
        <f t="shared" si="7"/>
        <v>Thursday</v>
      </c>
      <c r="N3" s="8" t="str">
        <f t="shared" si="8"/>
        <v>Thu</v>
      </c>
      <c r="O3" s="8" t="str">
        <f t="shared" si="9"/>
        <v>day</v>
      </c>
      <c r="P3" s="8">
        <f t="shared" si="10"/>
        <v>7</v>
      </c>
      <c r="Q3" s="8">
        <f t="shared" si="11"/>
        <v>2023</v>
      </c>
      <c r="R3" s="8" t="s">
        <v>47</v>
      </c>
      <c r="S3" s="8">
        <f t="shared" si="12"/>
        <v>8</v>
      </c>
      <c r="T3" s="8">
        <f t="shared" si="13"/>
        <v>8</v>
      </c>
      <c r="U3" s="8">
        <f t="shared" si="14"/>
        <v>19</v>
      </c>
      <c r="V3" s="8">
        <v>51375</v>
      </c>
      <c r="W3" s="8">
        <v>40443</v>
      </c>
      <c r="X3" s="9" t="str">
        <f t="shared" si="15"/>
        <v>Low Target</v>
      </c>
      <c r="Y3" s="9" t="str">
        <f t="shared" si="16"/>
        <v>Lower Target</v>
      </c>
      <c r="Z3" s="9" t="str" cm="1">
        <f t="array" ref="Z3">_xlfn.IFS(W3&lt;60000,"LOWERTarget",W3&lt;80000,"Medium Target",W3,"Highe Target")</f>
        <v>LOWERTarget</v>
      </c>
      <c r="AA3" s="8" t="s">
        <v>48</v>
      </c>
      <c r="AB3" s="5" t="str">
        <f t="shared" si="17"/>
        <v>CREATIVE IDEAS</v>
      </c>
      <c r="AC3" s="5" t="str">
        <f t="shared" si="18"/>
        <v>creative ideas</v>
      </c>
      <c r="AD3" s="5" t="str">
        <f t="shared" si="19"/>
        <v>Creative Ideas</v>
      </c>
      <c r="AF3" s="6"/>
      <c r="AS3" s="10" t="s">
        <v>49</v>
      </c>
      <c r="AT3" s="7"/>
      <c r="AW3" t="s">
        <v>50</v>
      </c>
      <c r="AX3" t="str">
        <f>LEFT(AW3,FIND("-",AW3)-1)</f>
        <v>"+441</v>
      </c>
      <c r="AY3" t="str">
        <f>RIGHT(AW3,LEN(AW3)-FIND("-",AW3))</f>
        <v>4724924234</v>
      </c>
    </row>
    <row r="4" ht="14.25" customHeight="1" spans="1:51">
      <c r="A4" s="8" t="s">
        <v>51</v>
      </c>
      <c r="B4" s="8" t="s">
        <v>52</v>
      </c>
      <c r="C4" s="9">
        <f t="shared" si="0"/>
        <v>11</v>
      </c>
      <c r="D4" s="8" t="s">
        <v>35</v>
      </c>
      <c r="E4" s="8" t="str">
        <f t="shared" si="1"/>
        <v>Priya Patel(E1082) - Finance</v>
      </c>
      <c r="F4" s="9" t="str">
        <f t="shared" si="2"/>
        <v>Priya Patel(E1082) -</v>
      </c>
      <c r="G4" s="9" t="str">
        <f t="shared" si="3"/>
        <v>Finance</v>
      </c>
      <c r="H4" s="9">
        <f t="shared" si="4"/>
        <v>20</v>
      </c>
      <c r="I4" s="9">
        <f t="shared" si="5"/>
        <v>8</v>
      </c>
      <c r="J4" s="8" t="s">
        <v>53</v>
      </c>
      <c r="K4" s="9" t="str">
        <f t="shared" si="6"/>
        <v>Delhi</v>
      </c>
      <c r="L4" s="8" t="s">
        <v>54</v>
      </c>
      <c r="M4" s="8" t="str">
        <f t="shared" si="7"/>
        <v>Tuesday</v>
      </c>
      <c r="N4" s="8" t="str">
        <f t="shared" si="8"/>
        <v>Tue</v>
      </c>
      <c r="O4" s="8" t="str">
        <f t="shared" si="9"/>
        <v>day</v>
      </c>
      <c r="P4" s="8">
        <f t="shared" si="10"/>
        <v>7</v>
      </c>
      <c r="Q4" s="8">
        <f t="shared" si="11"/>
        <v>2024</v>
      </c>
      <c r="R4" s="8" t="s">
        <v>55</v>
      </c>
      <c r="S4" s="8">
        <f t="shared" si="12"/>
        <v>9</v>
      </c>
      <c r="T4" s="8">
        <f t="shared" si="13"/>
        <v>6</v>
      </c>
      <c r="U4" s="8">
        <f t="shared" si="14"/>
        <v>55</v>
      </c>
      <c r="V4" s="8">
        <v>44437</v>
      </c>
      <c r="W4" s="8">
        <v>40803</v>
      </c>
      <c r="X4" s="9" t="str">
        <f t="shared" si="15"/>
        <v>Low Target</v>
      </c>
      <c r="Y4" s="9" t="str">
        <f t="shared" si="16"/>
        <v>Lower Target</v>
      </c>
      <c r="Z4" s="9" t="str" cm="1">
        <f t="array" ref="Z4">_xlfn.IFS(W4&lt;60000,"LOWERTarget",W4&lt;80000,"Medium Target",W4,"Highe Target")</f>
        <v>LOWERTarget</v>
      </c>
      <c r="AA4" s="8" t="s">
        <v>56</v>
      </c>
      <c r="AB4" s="5" t="str">
        <f t="shared" si="17"/>
        <v>   HELPFUL ATTITUDE   </v>
      </c>
      <c r="AC4" s="5" t="str">
        <f t="shared" si="18"/>
        <v>   helpful attitude   </v>
      </c>
      <c r="AD4" s="5" t="str">
        <f t="shared" si="19"/>
        <v>   Helpful Attitude   </v>
      </c>
      <c r="AF4" s="6"/>
      <c r="AS4" s="7" t="s">
        <v>57</v>
      </c>
      <c r="AT4" s="7"/>
    </row>
    <row r="5" ht="14.25" customHeight="1" spans="1:51">
      <c r="A5" s="8" t="s">
        <v>58</v>
      </c>
      <c r="B5" s="8" t="s">
        <v>59</v>
      </c>
      <c r="C5" s="9">
        <f t="shared" si="0"/>
        <v>12</v>
      </c>
      <c r="D5" s="8" t="s">
        <v>60</v>
      </c>
      <c r="E5" s="8" t="str">
        <f t="shared" si="1"/>
        <v>Anjali Singh(E1081) - HR</v>
      </c>
      <c r="F5" s="9" t="str">
        <f t="shared" si="2"/>
        <v>Anjali Singh(E1081) -</v>
      </c>
      <c r="G5" s="9" t="str">
        <f t="shared" si="3"/>
        <v>HR</v>
      </c>
      <c r="H5" s="9">
        <f t="shared" si="4"/>
        <v>21</v>
      </c>
      <c r="I5" s="9">
        <f t="shared" si="5"/>
        <v>3</v>
      </c>
      <c r="J5" s="8" t="s">
        <v>61</v>
      </c>
      <c r="K5" s="9" t="str">
        <f t="shared" si="6"/>
        <v>Chenn@i</v>
      </c>
      <c r="L5" s="8" t="s">
        <v>62</v>
      </c>
      <c r="M5" s="8" t="str">
        <f t="shared" si="7"/>
        <v>Monday</v>
      </c>
      <c r="N5" s="8" t="str">
        <f t="shared" si="8"/>
        <v>Mon</v>
      </c>
      <c r="O5" s="8" t="str">
        <f t="shared" si="9"/>
        <v>day</v>
      </c>
      <c r="P5" s="8">
        <f t="shared" si="10"/>
        <v>4</v>
      </c>
      <c r="Q5" s="8">
        <f t="shared" si="11"/>
        <v>2022</v>
      </c>
      <c r="R5" s="8" t="s">
        <v>63</v>
      </c>
      <c r="S5" s="8">
        <f t="shared" si="12"/>
        <v>9</v>
      </c>
      <c r="T5" s="8">
        <f t="shared" si="13"/>
        <v>11</v>
      </c>
      <c r="U5" s="8">
        <f t="shared" si="14"/>
        <v>19</v>
      </c>
      <c r="V5" s="8">
        <v>34222</v>
      </c>
      <c r="W5" s="8">
        <v>40927</v>
      </c>
      <c r="X5" s="9" t="str">
        <f t="shared" si="15"/>
        <v>Low Target</v>
      </c>
      <c r="Y5" s="9" t="str">
        <f t="shared" si="16"/>
        <v>Lower Target</v>
      </c>
      <c r="Z5" s="9" t="str" cm="1">
        <f t="array" ref="Z5">_xlfn.IFS(W5&lt;60000,"LOWERTarget",W5&lt;80000,"Medium Target",W5,"Highe Target")</f>
        <v>LOWERTarget</v>
      </c>
      <c r="AA5" s="8" t="s">
        <v>64</v>
      </c>
      <c r="AB5" s="5" t="str">
        <f t="shared" si="17"/>
        <v>NEEDS IMPROVEMENT</v>
      </c>
      <c r="AC5" s="5" t="str">
        <f t="shared" si="18"/>
        <v>needs improvement</v>
      </c>
      <c r="AD5" s="5" t="str">
        <f t="shared" si="19"/>
        <v>Needs Improvement</v>
      </c>
      <c r="AF5" s="6"/>
      <c r="AH5" s="11" t="s">
        <v>65</v>
      </c>
      <c r="AI5" s="11"/>
      <c r="AJ5" s="11"/>
      <c r="AS5" s="10" t="s">
        <v>66</v>
      </c>
      <c r="AT5" s="7"/>
    </row>
    <row r="6" ht="14.25" customHeight="1" spans="1:51">
      <c r="A6" s="8" t="s">
        <v>67</v>
      </c>
      <c r="B6" s="8" t="s">
        <v>68</v>
      </c>
      <c r="C6" s="9">
        <f t="shared" si="0"/>
        <v>12</v>
      </c>
      <c r="D6" s="8" t="s">
        <v>60</v>
      </c>
      <c r="E6" s="8" t="str">
        <f t="shared" si="1"/>
        <v>Tanya Mishra(E1261) - HR</v>
      </c>
      <c r="F6" s="9" t="str">
        <f t="shared" si="2"/>
        <v>Tanya Mishra(E1261) -</v>
      </c>
      <c r="G6" s="9" t="str">
        <f t="shared" si="3"/>
        <v>HR</v>
      </c>
      <c r="H6" s="9">
        <f t="shared" si="4"/>
        <v>21</v>
      </c>
      <c r="I6" s="9">
        <f t="shared" si="5"/>
        <v>3</v>
      </c>
      <c r="J6" s="8" t="s">
        <v>36</v>
      </c>
      <c r="K6" s="9" t="str">
        <f t="shared" si="6"/>
        <v>Ahmed@bad</v>
      </c>
      <c r="L6" s="8" t="s">
        <v>69</v>
      </c>
      <c r="M6" s="8" t="str">
        <f t="shared" si="7"/>
        <v>Friday</v>
      </c>
      <c r="N6" s="8" t="str">
        <f t="shared" si="8"/>
        <v>Fri</v>
      </c>
      <c r="O6" s="8" t="str">
        <f t="shared" si="9"/>
        <v>day</v>
      </c>
      <c r="P6" s="8">
        <f t="shared" si="10"/>
        <v>3</v>
      </c>
      <c r="Q6" s="8">
        <f t="shared" si="11"/>
        <v>2022</v>
      </c>
      <c r="R6" s="8" t="s">
        <v>70</v>
      </c>
      <c r="S6" s="8">
        <f t="shared" si="12"/>
        <v>9</v>
      </c>
      <c r="T6" s="8">
        <f t="shared" si="13"/>
        <v>19</v>
      </c>
      <c r="U6" s="8">
        <f t="shared" si="14"/>
        <v>58</v>
      </c>
      <c r="V6" s="8">
        <v>39885</v>
      </c>
      <c r="W6" s="8">
        <v>41004</v>
      </c>
      <c r="X6" s="9" t="str">
        <f t="shared" si="15"/>
        <v>Low Target</v>
      </c>
      <c r="Y6" s="9" t="str">
        <f t="shared" si="16"/>
        <v>Lower Target</v>
      </c>
      <c r="Z6" s="9" t="str" cm="1">
        <f t="array" ref="Z6">_xlfn.IFS(W6&lt;60000,"LOWERTarget",W6&lt;80000,"Medium Target",W6,"Highe Target")</f>
        <v>LOWERTarget</v>
      </c>
      <c r="AA6" s="8" t="s">
        <v>71</v>
      </c>
      <c r="AB6" s="5" t="str">
        <f t="shared" si="17"/>
        <v>GREAT SUPPORT</v>
      </c>
      <c r="AC6" s="5" t="str">
        <f t="shared" si="18"/>
        <v>great support</v>
      </c>
      <c r="AD6" s="5" t="str">
        <f t="shared" si="19"/>
        <v>Great Support</v>
      </c>
      <c r="AF6" s="6"/>
      <c r="AH6" t="s">
        <v>72</v>
      </c>
      <c r="AI6">
        <f>SUM(sales)</f>
        <v>6845568</v>
      </c>
      <c r="AS6" s="10" t="s">
        <v>73</v>
      </c>
      <c r="AT6" s="7"/>
    </row>
    <row r="7" ht="14.25" customHeight="1" spans="1:51">
      <c r="A7" s="8" t="s">
        <v>74</v>
      </c>
      <c r="B7" s="8" t="s">
        <v>75</v>
      </c>
      <c r="C7" s="9">
        <f t="shared" si="0"/>
        <v>9</v>
      </c>
      <c r="D7" s="8" t="s">
        <v>44</v>
      </c>
      <c r="E7" s="8" t="str">
        <f t="shared" si="1"/>
        <v>Yash Jain(E1180) - Marketing</v>
      </c>
      <c r="F7" s="9" t="str">
        <f t="shared" si="2"/>
        <v>Yash Jain(E1180) -</v>
      </c>
      <c r="G7" s="9" t="str">
        <f t="shared" si="3"/>
        <v>Marketing</v>
      </c>
      <c r="H7" s="9">
        <f t="shared" si="4"/>
        <v>18</v>
      </c>
      <c r="I7" s="9">
        <f t="shared" si="5"/>
        <v>10</v>
      </c>
      <c r="J7" s="8" t="s">
        <v>76</v>
      </c>
      <c r="K7" s="9" t="str">
        <f t="shared" si="6"/>
        <v>Pune</v>
      </c>
      <c r="L7" s="8" t="s">
        <v>77</v>
      </c>
      <c r="M7" s="8" t="str">
        <f t="shared" si="7"/>
        <v>Monday</v>
      </c>
      <c r="N7" s="8" t="str">
        <f t="shared" si="8"/>
        <v>Mon</v>
      </c>
      <c r="O7" s="8" t="str">
        <f t="shared" si="9"/>
        <v>day</v>
      </c>
      <c r="P7" s="8">
        <f t="shared" si="10"/>
        <v>8</v>
      </c>
      <c r="Q7" s="8">
        <f t="shared" si="11"/>
        <v>2021</v>
      </c>
      <c r="R7" s="8" t="s">
        <v>78</v>
      </c>
      <c r="S7" s="8">
        <f t="shared" si="12"/>
        <v>9</v>
      </c>
      <c r="T7" s="8">
        <f t="shared" si="13"/>
        <v>38</v>
      </c>
      <c r="U7" s="8">
        <f t="shared" si="14"/>
        <v>34</v>
      </c>
      <c r="V7" s="8">
        <v>59852</v>
      </c>
      <c r="W7" s="8">
        <v>41077</v>
      </c>
      <c r="X7" s="9" t="str">
        <f t="shared" si="15"/>
        <v>Low Target</v>
      </c>
      <c r="Y7" s="9" t="str">
        <f t="shared" si="16"/>
        <v>Lower Target</v>
      </c>
      <c r="Z7" s="9" t="str" cm="1">
        <f t="array" ref="Z7">_xlfn.IFS(W7&lt;60000,"LOWERTarget",W7&lt;80000,"Medium Target",W7,"Highe Target")</f>
        <v>LOWERTarget</v>
      </c>
      <c r="AA7" s="8" t="s">
        <v>79</v>
      </c>
      <c r="AB7" s="5" t="str">
        <f t="shared" si="17"/>
        <v>EXCELLENT LEADERSHIP</v>
      </c>
      <c r="AC7" s="5" t="str">
        <f t="shared" si="18"/>
        <v>excellent leadership</v>
      </c>
      <c r="AD7" s="5" t="str">
        <f t="shared" si="19"/>
        <v>Excellent Leadership</v>
      </c>
      <c r="AF7" s="6"/>
      <c r="AH7" t="s">
        <v>80</v>
      </c>
      <c r="AI7">
        <f>AVERAGE(sales)</f>
        <v>54764.544</v>
      </c>
      <c r="AN7" t="s">
        <v>81</v>
      </c>
      <c r="AS7" s="10" t="s">
        <v>82</v>
      </c>
      <c r="AT7" s="7"/>
    </row>
    <row r="8" ht="14.25" customHeight="1" spans="1:51">
      <c r="A8" s="8" t="s">
        <v>83</v>
      </c>
      <c r="B8" s="8" t="s">
        <v>84</v>
      </c>
      <c r="C8" s="9">
        <f t="shared" si="0"/>
        <v>10</v>
      </c>
      <c r="D8" s="8" t="s">
        <v>60</v>
      </c>
      <c r="E8" s="8" t="str">
        <f t="shared" si="1"/>
        <v>Isha Kumar(E1131) - HR</v>
      </c>
      <c r="F8" s="9" t="str">
        <f t="shared" si="2"/>
        <v>Isha Kumar(E1131) -</v>
      </c>
      <c r="G8" s="9" t="str">
        <f t="shared" si="3"/>
        <v>HR</v>
      </c>
      <c r="H8" s="9">
        <f t="shared" si="4"/>
        <v>19</v>
      </c>
      <c r="I8" s="9">
        <f t="shared" si="5"/>
        <v>3</v>
      </c>
      <c r="J8" s="8" t="s">
        <v>61</v>
      </c>
      <c r="K8" s="9" t="str">
        <f t="shared" si="6"/>
        <v>Chenn@i</v>
      </c>
      <c r="L8" s="8" t="s">
        <v>85</v>
      </c>
      <c r="M8" s="8" t="str">
        <f t="shared" si="7"/>
        <v>Friday</v>
      </c>
      <c r="N8" s="8" t="str">
        <f t="shared" si="8"/>
        <v>Fri</v>
      </c>
      <c r="O8" s="8" t="str">
        <f t="shared" si="9"/>
        <v>day</v>
      </c>
      <c r="P8" s="8">
        <f t="shared" si="10"/>
        <v>12</v>
      </c>
      <c r="Q8" s="8">
        <f t="shared" si="11"/>
        <v>2021</v>
      </c>
      <c r="R8" s="8" t="s">
        <v>86</v>
      </c>
      <c r="S8" s="8">
        <f t="shared" si="12"/>
        <v>8</v>
      </c>
      <c r="T8" s="8">
        <f t="shared" si="13"/>
        <v>42</v>
      </c>
      <c r="U8" s="8">
        <f t="shared" si="14"/>
        <v>55</v>
      </c>
      <c r="V8" s="8">
        <v>35326</v>
      </c>
      <c r="W8" s="8">
        <v>41689</v>
      </c>
      <c r="X8" s="9" t="str">
        <f t="shared" si="15"/>
        <v>Low Target</v>
      </c>
      <c r="Y8" s="9" t="str">
        <f t="shared" si="16"/>
        <v>Lower Target</v>
      </c>
      <c r="Z8" s="9" t="str" cm="1">
        <f t="array" ref="Z8">_xlfn.IFS(W8&lt;60000,"LOWERTarget",W8&lt;80000,"Medium Target",W8,"Highe Target")</f>
        <v>LOWERTarget</v>
      </c>
      <c r="AA8" s="8" t="s">
        <v>87</v>
      </c>
      <c r="AB8" s="5" t="str">
        <f t="shared" si="17"/>
        <v>EXCELLENT SERVICE</v>
      </c>
      <c r="AC8" s="5" t="str">
        <f t="shared" si="18"/>
        <v>excellent service</v>
      </c>
      <c r="AD8" s="5" t="str">
        <f t="shared" si="19"/>
        <v>Excellent Service</v>
      </c>
      <c r="AF8" s="6"/>
      <c r="AH8" t="s">
        <v>88</v>
      </c>
      <c r="AI8">
        <f>COUNT(A1:AA301)</f>
        <v>3000</v>
      </c>
      <c r="AN8" t="s">
        <v>89</v>
      </c>
      <c r="AS8" s="10" t="s">
        <v>90</v>
      </c>
      <c r="AT8" s="7"/>
    </row>
    <row r="9" ht="14.25" customHeight="1" spans="1:51">
      <c r="A9" s="8" t="s">
        <v>91</v>
      </c>
      <c r="B9" s="8" t="s">
        <v>92</v>
      </c>
      <c r="C9" s="9">
        <f t="shared" si="0"/>
        <v>11</v>
      </c>
      <c r="D9" s="8" t="s">
        <v>93</v>
      </c>
      <c r="E9" s="8" t="str">
        <f t="shared" si="1"/>
        <v>Nisha Patel(E1002) - Sales</v>
      </c>
      <c r="F9" s="9" t="str">
        <f t="shared" si="2"/>
        <v>Nisha Patel(E1002) -</v>
      </c>
      <c r="G9" s="9" t="str">
        <f t="shared" si="3"/>
        <v>Sales</v>
      </c>
      <c r="H9" s="9">
        <f t="shared" si="4"/>
        <v>20</v>
      </c>
      <c r="I9" s="9">
        <f t="shared" si="5"/>
        <v>6</v>
      </c>
      <c r="J9" s="8" t="s">
        <v>76</v>
      </c>
      <c r="K9" s="9" t="str">
        <f t="shared" si="6"/>
        <v>Pune</v>
      </c>
      <c r="L9" s="8" t="s">
        <v>94</v>
      </c>
      <c r="M9" s="8" t="str">
        <f t="shared" si="7"/>
        <v>Thursday</v>
      </c>
      <c r="N9" s="8" t="str">
        <f t="shared" si="8"/>
        <v>Thu</v>
      </c>
      <c r="O9" s="8" t="str">
        <f t="shared" si="9"/>
        <v>day</v>
      </c>
      <c r="P9" s="8">
        <f t="shared" si="10"/>
        <v>3</v>
      </c>
      <c r="Q9" s="8">
        <f t="shared" si="11"/>
        <v>2022</v>
      </c>
      <c r="R9" s="8" t="s">
        <v>95</v>
      </c>
      <c r="S9" s="8">
        <f t="shared" si="12"/>
        <v>8</v>
      </c>
      <c r="T9" s="8">
        <f t="shared" si="13"/>
        <v>32</v>
      </c>
      <c r="U9" s="8">
        <f t="shared" si="14"/>
        <v>38</v>
      </c>
      <c r="V9" s="8">
        <v>39770</v>
      </c>
      <c r="W9" s="8">
        <v>41739</v>
      </c>
      <c r="X9" s="9" t="str">
        <f t="shared" si="15"/>
        <v>Low Target</v>
      </c>
      <c r="Y9" s="9" t="str">
        <f t="shared" si="16"/>
        <v>Lower Target</v>
      </c>
      <c r="Z9" s="9" t="str" cm="1">
        <f t="array" ref="Z9">_xlfn.IFS(W9&lt;60000,"LOWERTarget",W9&lt;80000,"Medium Target",W9,"Highe Target")</f>
        <v>LOWERTarget</v>
      </c>
      <c r="AA9" s="8" t="s">
        <v>96</v>
      </c>
      <c r="AB9" s="5" t="str">
        <f t="shared" si="17"/>
        <v>FAST DELIVERY</v>
      </c>
      <c r="AC9" s="5" t="str">
        <f t="shared" si="18"/>
        <v>fast delivery</v>
      </c>
      <c r="AD9" s="5" t="str">
        <f t="shared" si="19"/>
        <v>Fast Delivery</v>
      </c>
      <c r="AF9" s="6"/>
      <c r="AH9" t="s">
        <v>97</v>
      </c>
      <c r="AI9">
        <f>COUNTA(A5:AA301)</f>
        <v>8019</v>
      </c>
      <c r="AN9" t="s">
        <v>98</v>
      </c>
      <c r="AS9" s="10" t="s">
        <v>99</v>
      </c>
      <c r="AT9" s="7"/>
    </row>
    <row r="10" ht="14.25" customHeight="1" spans="1:51">
      <c r="A10" s="8" t="s">
        <v>100</v>
      </c>
      <c r="B10" s="8" t="s">
        <v>101</v>
      </c>
      <c r="C10" s="9">
        <f t="shared" si="0"/>
        <v>13</v>
      </c>
      <c r="D10" s="8" t="s">
        <v>60</v>
      </c>
      <c r="E10" s="8" t="str">
        <f t="shared" si="1"/>
        <v>Aditya Chopra(E1061) - HR</v>
      </c>
      <c r="F10" s="9" t="str">
        <f t="shared" si="2"/>
        <v>Aditya Chopra(E1061) -</v>
      </c>
      <c r="G10" s="9" t="str">
        <f t="shared" si="3"/>
        <v>HR</v>
      </c>
      <c r="H10" s="9">
        <f t="shared" si="4"/>
        <v>22</v>
      </c>
      <c r="I10" s="9">
        <f t="shared" si="5"/>
        <v>3</v>
      </c>
      <c r="J10" s="8" t="s">
        <v>36</v>
      </c>
      <c r="K10" s="9" t="str">
        <f t="shared" si="6"/>
        <v>Ahmed@bad</v>
      </c>
      <c r="L10" s="8" t="s">
        <v>102</v>
      </c>
      <c r="M10" s="8" t="str">
        <f t="shared" si="7"/>
        <v>Saturday</v>
      </c>
      <c r="N10" s="8" t="str">
        <f t="shared" si="8"/>
        <v>Sat</v>
      </c>
      <c r="O10" s="8" t="str">
        <f t="shared" si="9"/>
        <v>day</v>
      </c>
      <c r="P10" s="8">
        <f t="shared" si="10"/>
        <v>3</v>
      </c>
      <c r="Q10" s="8">
        <f t="shared" si="11"/>
        <v>2022</v>
      </c>
      <c r="R10" s="8" t="s">
        <v>103</v>
      </c>
      <c r="S10" s="8">
        <f t="shared" si="12"/>
        <v>9</v>
      </c>
      <c r="T10" s="8">
        <f t="shared" si="13"/>
        <v>27</v>
      </c>
      <c r="U10" s="8">
        <f t="shared" si="14"/>
        <v>31</v>
      </c>
      <c r="V10" s="8">
        <v>52386</v>
      </c>
      <c r="W10" s="8">
        <v>41902</v>
      </c>
      <c r="X10" s="9" t="str">
        <f t="shared" si="15"/>
        <v>Low Target</v>
      </c>
      <c r="Y10" s="9" t="str">
        <f t="shared" si="16"/>
        <v>Lower Target</v>
      </c>
      <c r="Z10" s="9" t="str" cm="1">
        <f t="array" ref="Z10">_xlfn.IFS(W10&lt;60000,"LOWERTarget",W10&lt;80000,"Medium Target",W10,"Highe Target")</f>
        <v>LOWERTarget</v>
      </c>
      <c r="AA10" s="8" t="s">
        <v>48</v>
      </c>
      <c r="AB10" s="5" t="str">
        <f t="shared" si="17"/>
        <v>CREATIVE IDEAS</v>
      </c>
      <c r="AC10" s="5" t="str">
        <f t="shared" si="18"/>
        <v>creative ideas</v>
      </c>
      <c r="AD10" s="5" t="str">
        <f t="shared" si="19"/>
        <v>Creative Ideas</v>
      </c>
      <c r="AF10" s="6"/>
      <c r="AH10" t="s">
        <v>104</v>
      </c>
      <c r="AN10" t="s">
        <v>105</v>
      </c>
      <c r="AS10" s="10" t="s">
        <v>106</v>
      </c>
      <c r="AT10" s="7"/>
    </row>
    <row r="11" ht="14.25" customHeight="1" spans="1:51">
      <c r="A11" s="8" t="s">
        <v>107</v>
      </c>
      <c r="B11" s="8" t="s">
        <v>108</v>
      </c>
      <c r="C11" s="9">
        <f t="shared" si="0"/>
        <v>12</v>
      </c>
      <c r="D11" s="8" t="s">
        <v>93</v>
      </c>
      <c r="E11" s="8" t="str">
        <f t="shared" si="1"/>
        <v>Tanya Chopra(E1252) - Sales</v>
      </c>
      <c r="F11" s="9" t="str">
        <f t="shared" si="2"/>
        <v>Tanya Chopra(E1252) -</v>
      </c>
      <c r="G11" s="9" t="str">
        <f t="shared" si="3"/>
        <v>Sales</v>
      </c>
      <c r="H11" s="9">
        <f t="shared" si="4"/>
        <v>21</v>
      </c>
      <c r="I11" s="9">
        <f t="shared" si="5"/>
        <v>6</v>
      </c>
      <c r="J11" s="8" t="s">
        <v>45</v>
      </c>
      <c r="K11" s="9" t="str">
        <f t="shared" si="6"/>
        <v>B@ngalore</v>
      </c>
      <c r="L11" s="8" t="s">
        <v>109</v>
      </c>
      <c r="M11" s="8" t="str">
        <f t="shared" si="7"/>
        <v>Sunday</v>
      </c>
      <c r="N11" s="8" t="str">
        <f t="shared" si="8"/>
        <v>Sun</v>
      </c>
      <c r="O11" s="8" t="str">
        <f t="shared" si="9"/>
        <v>day</v>
      </c>
      <c r="P11" s="8">
        <f t="shared" si="10"/>
        <v>2</v>
      </c>
      <c r="Q11" s="8">
        <f t="shared" si="11"/>
        <v>2022</v>
      </c>
      <c r="R11" s="8" t="s">
        <v>110</v>
      </c>
      <c r="S11" s="8">
        <f t="shared" si="12"/>
        <v>8</v>
      </c>
      <c r="T11" s="8">
        <f t="shared" si="13"/>
        <v>6</v>
      </c>
      <c r="U11" s="8">
        <f t="shared" si="14"/>
        <v>38</v>
      </c>
      <c r="V11" s="8">
        <v>56457</v>
      </c>
      <c r="W11" s="8">
        <v>42200</v>
      </c>
      <c r="X11" s="9" t="str">
        <f t="shared" si="15"/>
        <v>Low Target</v>
      </c>
      <c r="Y11" s="9" t="str">
        <f t="shared" si="16"/>
        <v>Lower Target</v>
      </c>
      <c r="Z11" s="9" t="str" cm="1">
        <f t="array" ref="Z11">_xlfn.IFS(W11&lt;60000,"LOWERTarget",W11&lt;80000,"Medium Target",W11,"Highe Target")</f>
        <v>LOWERTarget</v>
      </c>
      <c r="AA11" s="8" t="s">
        <v>79</v>
      </c>
      <c r="AB11" s="5" t="str">
        <f t="shared" si="17"/>
        <v>EXCELLENT LEADERSHIP</v>
      </c>
      <c r="AC11" s="5" t="str">
        <f t="shared" si="18"/>
        <v>excellent leadership</v>
      </c>
      <c r="AD11" s="5" t="str">
        <f t="shared" si="19"/>
        <v>Excellent Leadership</v>
      </c>
      <c r="AF11" s="6"/>
      <c r="AH11" t="s">
        <v>111</v>
      </c>
      <c r="AI11">
        <f>MAX(V1:V301)</f>
        <v>117973</v>
      </c>
      <c r="AN11" t="s">
        <v>112</v>
      </c>
      <c r="AS11" s="10" t="s">
        <v>113</v>
      </c>
      <c r="AT11" s="7"/>
    </row>
    <row r="12" ht="14.25" customHeight="1" spans="1:51">
      <c r="A12" s="8" t="s">
        <v>114</v>
      </c>
      <c r="B12" s="8" t="s">
        <v>115</v>
      </c>
      <c r="C12" s="9">
        <f t="shared" si="0"/>
        <v>11</v>
      </c>
      <c r="D12" s="8" t="s">
        <v>93</v>
      </c>
      <c r="E12" s="8" t="str">
        <f t="shared" si="1"/>
        <v>Manish Nair(E1233) - Sales</v>
      </c>
      <c r="F12" s="9" t="str">
        <f t="shared" si="2"/>
        <v>Manish Nair(E1233) -</v>
      </c>
      <c r="G12" s="9" t="str">
        <f t="shared" si="3"/>
        <v>Sales</v>
      </c>
      <c r="H12" s="9">
        <f t="shared" si="4"/>
        <v>20</v>
      </c>
      <c r="I12" s="9">
        <f t="shared" si="5"/>
        <v>6</v>
      </c>
      <c r="J12" s="8" t="s">
        <v>53</v>
      </c>
      <c r="K12" s="9" t="str">
        <f t="shared" si="6"/>
        <v>Delhi</v>
      </c>
      <c r="L12" s="8" t="s">
        <v>116</v>
      </c>
      <c r="M12" s="8" t="str">
        <f t="shared" si="7"/>
        <v>Saturday</v>
      </c>
      <c r="N12" s="8" t="str">
        <f t="shared" si="8"/>
        <v>Sat</v>
      </c>
      <c r="O12" s="8" t="str">
        <f t="shared" si="9"/>
        <v>day</v>
      </c>
      <c r="P12" s="8">
        <f t="shared" si="10"/>
        <v>5</v>
      </c>
      <c r="Q12" s="8">
        <f t="shared" si="11"/>
        <v>2023</v>
      </c>
      <c r="R12" s="8" t="s">
        <v>117</v>
      </c>
      <c r="S12" s="8">
        <f t="shared" si="12"/>
        <v>8</v>
      </c>
      <c r="T12" s="8">
        <f t="shared" si="13"/>
        <v>59</v>
      </c>
      <c r="U12" s="8">
        <f t="shared" si="14"/>
        <v>58</v>
      </c>
      <c r="V12" s="8">
        <v>53398</v>
      </c>
      <c r="W12" s="8">
        <v>42381</v>
      </c>
      <c r="X12" s="9" t="str">
        <f t="shared" si="15"/>
        <v>Low Target</v>
      </c>
      <c r="Y12" s="9" t="str">
        <f t="shared" si="16"/>
        <v>Lower Target</v>
      </c>
      <c r="Z12" s="9" t="str" cm="1">
        <f t="array" ref="Z12">_xlfn.IFS(W12&lt;60000,"LOWERTarget",W12&lt;80000,"Medium Target",W12,"Highe Target")</f>
        <v>LOWERTarget</v>
      </c>
      <c r="AA12" s="8" t="s">
        <v>118</v>
      </c>
      <c r="AB12" s="5" t="str">
        <f t="shared" si="17"/>
        <v>CUSTOMER FOCUSED</v>
      </c>
      <c r="AC12" s="5" t="str">
        <f t="shared" si="18"/>
        <v>customer focused</v>
      </c>
      <c r="AD12" s="5" t="str">
        <f t="shared" si="19"/>
        <v>Customer Focused</v>
      </c>
      <c r="AF12" s="6"/>
      <c r="AH12" t="s">
        <v>119</v>
      </c>
      <c r="AN12" t="s">
        <v>120</v>
      </c>
      <c r="AS12" s="10" t="s">
        <v>121</v>
      </c>
      <c r="AT12" s="7"/>
    </row>
    <row r="13" ht="14.25" customHeight="1" spans="1:51">
      <c r="A13" s="8" t="s">
        <v>122</v>
      </c>
      <c r="B13" s="8" t="s">
        <v>123</v>
      </c>
      <c r="C13" s="9">
        <f t="shared" si="0"/>
        <v>12</v>
      </c>
      <c r="D13" s="8" t="s">
        <v>93</v>
      </c>
      <c r="E13" s="8" t="str">
        <f t="shared" si="1"/>
        <v>Ritika Mehta(E1260) - Sales</v>
      </c>
      <c r="F13" s="9" t="str">
        <f t="shared" si="2"/>
        <v>Ritika Mehta(E1260) -</v>
      </c>
      <c r="G13" s="9" t="str">
        <f t="shared" si="3"/>
        <v>Sales</v>
      </c>
      <c r="H13" s="9">
        <f t="shared" si="4"/>
        <v>21</v>
      </c>
      <c r="I13" s="9">
        <f t="shared" si="5"/>
        <v>6</v>
      </c>
      <c r="J13" s="8" t="s">
        <v>61</v>
      </c>
      <c r="K13" s="9" t="str">
        <f t="shared" si="6"/>
        <v>Chenn@i</v>
      </c>
      <c r="L13" s="8" t="s">
        <v>124</v>
      </c>
      <c r="M13" s="8" t="str">
        <f t="shared" si="7"/>
        <v>Sunday</v>
      </c>
      <c r="N13" s="8" t="str">
        <f t="shared" si="8"/>
        <v>Sun</v>
      </c>
      <c r="O13" s="8" t="str">
        <f t="shared" si="9"/>
        <v>day</v>
      </c>
      <c r="P13" s="8">
        <f t="shared" si="10"/>
        <v>2</v>
      </c>
      <c r="Q13" s="8">
        <f t="shared" si="11"/>
        <v>2023</v>
      </c>
      <c r="R13" s="8" t="s">
        <v>125</v>
      </c>
      <c r="S13" s="8">
        <f t="shared" si="12"/>
        <v>10</v>
      </c>
      <c r="T13" s="8">
        <f t="shared" si="13"/>
        <v>38</v>
      </c>
      <c r="U13" s="8">
        <f t="shared" si="14"/>
        <v>38</v>
      </c>
      <c r="V13" s="8">
        <v>32360</v>
      </c>
      <c r="W13" s="8">
        <v>42591</v>
      </c>
      <c r="X13" s="9" t="str">
        <f t="shared" si="15"/>
        <v>Low Target</v>
      </c>
      <c r="Y13" s="9" t="str">
        <f t="shared" si="16"/>
        <v>Lower Target</v>
      </c>
      <c r="Z13" s="9" t="str" cm="1">
        <f t="array" ref="Z13">_xlfn.IFS(W13&lt;60000,"LOWERTarget",W13&lt;80000,"Medium Target",W13,"Highe Target")</f>
        <v>LOWERTarget</v>
      </c>
      <c r="AA13" s="8" t="s">
        <v>126</v>
      </c>
      <c r="AB13" s="5" t="str">
        <f t="shared" si="17"/>
        <v>ACCURATE REPORTS</v>
      </c>
      <c r="AC13" s="5" t="str">
        <f t="shared" si="18"/>
        <v>accurate reports</v>
      </c>
      <c r="AD13" s="5" t="str">
        <f t="shared" si="19"/>
        <v>Accurate Reports</v>
      </c>
      <c r="AF13" s="6"/>
      <c r="AH13" t="s">
        <v>127</v>
      </c>
      <c r="AN13" t="s">
        <v>128</v>
      </c>
    </row>
    <row r="14" ht="14.25" customHeight="1" spans="1:51">
      <c r="A14" s="8" t="s">
        <v>129</v>
      </c>
      <c r="B14" s="8" t="s">
        <v>130</v>
      </c>
      <c r="C14" s="9">
        <f t="shared" si="0"/>
        <v>10</v>
      </c>
      <c r="D14" s="8" t="s">
        <v>44</v>
      </c>
      <c r="E14" s="8" t="str">
        <f t="shared" si="1"/>
        <v>Rahul Nair(E1031) - Marketing</v>
      </c>
      <c r="F14" s="9" t="str">
        <f t="shared" si="2"/>
        <v>Rahul Nair(E1031) -</v>
      </c>
      <c r="G14" s="9" t="str">
        <f t="shared" si="3"/>
        <v>Marketing</v>
      </c>
      <c r="H14" s="9">
        <f t="shared" si="4"/>
        <v>19</v>
      </c>
      <c r="I14" s="9">
        <f t="shared" si="5"/>
        <v>10</v>
      </c>
      <c r="J14" s="8" t="s">
        <v>76</v>
      </c>
      <c r="K14" s="9" t="str">
        <f t="shared" si="6"/>
        <v>Pune</v>
      </c>
      <c r="L14" s="8" t="s">
        <v>131</v>
      </c>
      <c r="M14" s="8" t="str">
        <f t="shared" si="7"/>
        <v>Tuesday</v>
      </c>
      <c r="N14" s="8" t="str">
        <f t="shared" si="8"/>
        <v>Tue</v>
      </c>
      <c r="O14" s="8" t="str">
        <f t="shared" si="9"/>
        <v>day</v>
      </c>
      <c r="P14" s="8">
        <f t="shared" si="10"/>
        <v>3</v>
      </c>
      <c r="Q14" s="8">
        <f t="shared" si="11"/>
        <v>2024</v>
      </c>
      <c r="R14" s="8" t="s">
        <v>132</v>
      </c>
      <c r="S14" s="8">
        <f t="shared" si="12"/>
        <v>8</v>
      </c>
      <c r="T14" s="8">
        <f t="shared" si="13"/>
        <v>37</v>
      </c>
      <c r="U14" s="8">
        <f t="shared" si="14"/>
        <v>38</v>
      </c>
      <c r="V14" s="8">
        <v>32976</v>
      </c>
      <c r="W14" s="8">
        <v>42604</v>
      </c>
      <c r="X14" s="9" t="str">
        <f t="shared" si="15"/>
        <v>Low Target</v>
      </c>
      <c r="Y14" s="9" t="str">
        <f t="shared" si="16"/>
        <v>Lower Target</v>
      </c>
      <c r="Z14" s="9" t="str" cm="1">
        <f t="array" ref="Z14">_xlfn.IFS(W14&lt;60000,"LOWERTarget",W14&lt;80000,"Medium Target",W14,"Highe Target")</f>
        <v>LOWERTarget</v>
      </c>
      <c r="AA14" s="8" t="s">
        <v>39</v>
      </c>
      <c r="AB14" s="5" t="str">
        <f t="shared" si="17"/>
        <v>DETAILED ANALYSIS</v>
      </c>
      <c r="AC14" s="5" t="str">
        <f t="shared" si="18"/>
        <v>detailed analysis</v>
      </c>
      <c r="AD14" s="5" t="str">
        <f t="shared" si="19"/>
        <v>Detailed Analysis</v>
      </c>
      <c r="AF14" s="6"/>
      <c r="AH14" t="s">
        <v>119</v>
      </c>
      <c r="AN14" t="s">
        <v>133</v>
      </c>
    </row>
    <row r="15" ht="14.25" customHeight="1" spans="1:51">
      <c r="A15" s="8" t="s">
        <v>134</v>
      </c>
      <c r="B15" s="8" t="s">
        <v>135</v>
      </c>
      <c r="C15" s="9">
        <f t="shared" si="0"/>
        <v>12</v>
      </c>
      <c r="D15" s="8" t="s">
        <v>60</v>
      </c>
      <c r="E15" s="8" t="str">
        <f t="shared" si="1"/>
        <v>Aakash Patel(E1276) - HR</v>
      </c>
      <c r="F15" s="9" t="str">
        <f t="shared" si="2"/>
        <v>Aakash Patel(E1276) -</v>
      </c>
      <c r="G15" s="9" t="str">
        <f t="shared" si="3"/>
        <v>HR</v>
      </c>
      <c r="H15" s="9">
        <f t="shared" si="4"/>
        <v>21</v>
      </c>
      <c r="I15" s="9">
        <f t="shared" si="5"/>
        <v>3</v>
      </c>
      <c r="J15" s="8" t="s">
        <v>45</v>
      </c>
      <c r="K15" s="9" t="str">
        <f t="shared" si="6"/>
        <v>B@ngalore</v>
      </c>
      <c r="L15" s="8" t="s">
        <v>136</v>
      </c>
      <c r="M15" s="8" t="str">
        <f t="shared" si="7"/>
        <v>Monday</v>
      </c>
      <c r="N15" s="8" t="str">
        <f t="shared" si="8"/>
        <v>Mon</v>
      </c>
      <c r="O15" s="8" t="str">
        <f t="shared" si="9"/>
        <v>day</v>
      </c>
      <c r="P15" s="8">
        <f t="shared" si="10"/>
        <v>11</v>
      </c>
      <c r="Q15" s="8">
        <f t="shared" si="11"/>
        <v>2024</v>
      </c>
      <c r="R15" s="8" t="s">
        <v>137</v>
      </c>
      <c r="S15" s="8">
        <f t="shared" si="12"/>
        <v>10</v>
      </c>
      <c r="T15" s="8">
        <f t="shared" si="13"/>
        <v>30</v>
      </c>
      <c r="U15" s="8">
        <f t="shared" si="14"/>
        <v>17</v>
      </c>
      <c r="V15" s="8">
        <v>32923</v>
      </c>
      <c r="W15" s="8">
        <v>43051</v>
      </c>
      <c r="X15" s="9" t="str">
        <f t="shared" si="15"/>
        <v>Low Target</v>
      </c>
      <c r="Y15" s="9" t="str">
        <f t="shared" si="16"/>
        <v>Lower Target</v>
      </c>
      <c r="Z15" s="9" t="str" cm="1">
        <f t="array" ref="Z15">_xlfn.IFS(W15&lt;60000,"LOWERTarget",W15&lt;80000,"Medium Target",W15,"Highe Target")</f>
        <v>LOWERTarget</v>
      </c>
      <c r="AA15" s="8" t="s">
        <v>138</v>
      </c>
      <c r="AB15" s="5" t="str">
        <f t="shared" si="17"/>
        <v>GOOD TEAMWORK</v>
      </c>
      <c r="AC15" s="5" t="str">
        <f t="shared" si="18"/>
        <v>good teamwork</v>
      </c>
      <c r="AD15" s="5" t="str">
        <f t="shared" si="19"/>
        <v>Good Teamwork</v>
      </c>
      <c r="AF15" s="6"/>
      <c r="AH15" s="12" t="s">
        <v>139</v>
      </c>
      <c r="AI15" s="12"/>
      <c r="AJ15" s="12"/>
      <c r="AN15" t="s">
        <v>140</v>
      </c>
    </row>
    <row r="16" ht="14.25" customHeight="1" spans="1:51">
      <c r="A16" s="8" t="s">
        <v>141</v>
      </c>
      <c r="B16" s="8" t="s">
        <v>142</v>
      </c>
      <c r="C16" s="9">
        <f t="shared" si="0"/>
        <v>10</v>
      </c>
      <c r="D16" s="8" t="s">
        <v>44</v>
      </c>
      <c r="E16" s="8" t="str">
        <f t="shared" si="1"/>
        <v>Komal Jain(E1179) - Marketing</v>
      </c>
      <c r="F16" s="9" t="str">
        <f t="shared" si="2"/>
        <v>Komal Jain(E1179) -</v>
      </c>
      <c r="G16" s="9" t="str">
        <f t="shared" si="3"/>
        <v>Marketing</v>
      </c>
      <c r="H16" s="9">
        <f t="shared" si="4"/>
        <v>19</v>
      </c>
      <c r="I16" s="9">
        <f t="shared" si="5"/>
        <v>10</v>
      </c>
      <c r="J16" s="8" t="s">
        <v>76</v>
      </c>
      <c r="K16" s="9" t="str">
        <f t="shared" si="6"/>
        <v>Pune</v>
      </c>
      <c r="L16" s="8" t="s">
        <v>143</v>
      </c>
      <c r="M16" s="8" t="str">
        <f t="shared" si="7"/>
        <v>Sunday</v>
      </c>
      <c r="N16" s="8" t="str">
        <f t="shared" si="8"/>
        <v>Sun</v>
      </c>
      <c r="O16" s="8" t="str">
        <f t="shared" si="9"/>
        <v>day</v>
      </c>
      <c r="P16" s="8">
        <f t="shared" si="10"/>
        <v>8</v>
      </c>
      <c r="Q16" s="8">
        <f t="shared" si="11"/>
        <v>2022</v>
      </c>
      <c r="R16" s="8" t="s">
        <v>144</v>
      </c>
      <c r="S16" s="8">
        <f t="shared" si="12"/>
        <v>8</v>
      </c>
      <c r="T16" s="8">
        <f t="shared" si="13"/>
        <v>19</v>
      </c>
      <c r="U16" s="8">
        <f t="shared" si="14"/>
        <v>7</v>
      </c>
      <c r="V16" s="8">
        <v>43755</v>
      </c>
      <c r="W16" s="8">
        <v>43129</v>
      </c>
      <c r="X16" s="9" t="str">
        <f t="shared" si="15"/>
        <v>Low Target</v>
      </c>
      <c r="Y16" s="9" t="str">
        <f t="shared" si="16"/>
        <v>Lower Target</v>
      </c>
      <c r="Z16" s="9" t="str" cm="1">
        <f t="array" ref="Z16">_xlfn.IFS(W16&lt;60000,"LOWERTarget",W16&lt;80000,"Medium Target",W16,"Highe Target")</f>
        <v>LOWERTarget</v>
      </c>
      <c r="AA16" s="8" t="s">
        <v>39</v>
      </c>
      <c r="AB16" s="5" t="str">
        <f t="shared" si="17"/>
        <v>DETAILED ANALYSIS</v>
      </c>
      <c r="AC16" s="5" t="str">
        <f t="shared" si="18"/>
        <v>detailed analysis</v>
      </c>
      <c r="AD16" s="5" t="str">
        <f t="shared" si="19"/>
        <v>Detailed Analysis</v>
      </c>
      <c r="AF16" s="6"/>
      <c r="AH16" t="s">
        <v>145</v>
      </c>
      <c r="AI16" s="13">
        <f ca="1">NOW()</f>
        <v>46246.5329050926</v>
      </c>
    </row>
    <row r="17" ht="14.25" customHeight="1" spans="1:35">
      <c r="A17" s="8" t="s">
        <v>146</v>
      </c>
      <c r="B17" s="8" t="s">
        <v>147</v>
      </c>
      <c r="C17" s="9">
        <f t="shared" si="0"/>
        <v>10</v>
      </c>
      <c r="D17" s="8" t="s">
        <v>44</v>
      </c>
      <c r="E17" s="8" t="str">
        <f t="shared" si="1"/>
        <v>Amit Verma(E1213) - Marketing</v>
      </c>
      <c r="F17" s="9" t="str">
        <f t="shared" si="2"/>
        <v>Amit Verma(E1213) -</v>
      </c>
      <c r="G17" s="9" t="str">
        <f t="shared" si="3"/>
        <v>Marketing</v>
      </c>
      <c r="H17" s="9">
        <f t="shared" si="4"/>
        <v>19</v>
      </c>
      <c r="I17" s="9">
        <f t="shared" si="5"/>
        <v>10</v>
      </c>
      <c r="J17" s="8" t="s">
        <v>36</v>
      </c>
      <c r="K17" s="9" t="str">
        <f t="shared" si="6"/>
        <v>Ahmed@bad</v>
      </c>
      <c r="L17" s="8" t="s">
        <v>148</v>
      </c>
      <c r="M17" s="8" t="str">
        <f t="shared" si="7"/>
        <v>Monday</v>
      </c>
      <c r="N17" s="8" t="str">
        <f t="shared" si="8"/>
        <v>Mon</v>
      </c>
      <c r="O17" s="8" t="str">
        <f t="shared" si="9"/>
        <v>day</v>
      </c>
      <c r="P17" s="8">
        <f t="shared" si="10"/>
        <v>5</v>
      </c>
      <c r="Q17" s="8">
        <f t="shared" si="11"/>
        <v>2022</v>
      </c>
      <c r="R17" s="8" t="s">
        <v>149</v>
      </c>
      <c r="S17" s="8">
        <f t="shared" si="12"/>
        <v>8</v>
      </c>
      <c r="T17" s="8">
        <f t="shared" si="13"/>
        <v>37</v>
      </c>
      <c r="U17" s="8">
        <f t="shared" si="14"/>
        <v>22</v>
      </c>
      <c r="V17" s="8">
        <v>31500</v>
      </c>
      <c r="W17" s="8">
        <v>43188</v>
      </c>
      <c r="X17" s="9" t="str">
        <f t="shared" si="15"/>
        <v>Low Target</v>
      </c>
      <c r="Y17" s="9" t="str">
        <f t="shared" si="16"/>
        <v>Lower Target</v>
      </c>
      <c r="Z17" s="9" t="str" cm="1">
        <f t="array" ref="Z17">_xlfn.IFS(W17&lt;60000,"LOWERTarget",W17&lt;80000,"Medium Target",W17,"Highe Target")</f>
        <v>LOWERTarget</v>
      </c>
      <c r="AA17" s="8" t="s">
        <v>64</v>
      </c>
      <c r="AB17" s="5" t="str">
        <f t="shared" si="17"/>
        <v>NEEDS IMPROVEMENT</v>
      </c>
      <c r="AC17" s="5" t="str">
        <f t="shared" si="18"/>
        <v>needs improvement</v>
      </c>
      <c r="AD17" s="5" t="str">
        <f t="shared" si="19"/>
        <v>Needs Improvement</v>
      </c>
      <c r="AF17" s="6"/>
      <c r="AH17" t="s">
        <v>150</v>
      </c>
      <c r="AI17" s="14">
        <f ca="1">TODAY()</f>
        <v>46246</v>
      </c>
    </row>
    <row r="18" ht="14.25" customHeight="1" spans="1:35">
      <c r="A18" s="8" t="s">
        <v>151</v>
      </c>
      <c r="B18" s="8" t="s">
        <v>152</v>
      </c>
      <c r="C18" s="9">
        <f t="shared" si="0"/>
        <v>10</v>
      </c>
      <c r="D18" s="8" t="s">
        <v>93</v>
      </c>
      <c r="E18" s="8" t="str">
        <f t="shared" si="1"/>
        <v>Komal Iyer(E1146) - Sales</v>
      </c>
      <c r="F18" s="9" t="str">
        <f t="shared" si="2"/>
        <v>Komal Iyer(E1146) -</v>
      </c>
      <c r="G18" s="9" t="str">
        <f t="shared" si="3"/>
        <v>Sales</v>
      </c>
      <c r="H18" s="9">
        <f t="shared" si="4"/>
        <v>19</v>
      </c>
      <c r="I18" s="9">
        <f t="shared" si="5"/>
        <v>6</v>
      </c>
      <c r="J18" s="8" t="s">
        <v>153</v>
      </c>
      <c r="K18" s="9" t="str">
        <f t="shared" si="6"/>
        <v>Mumb@i</v>
      </c>
      <c r="L18" s="8" t="s">
        <v>154</v>
      </c>
      <c r="M18" s="8" t="str">
        <f t="shared" si="7"/>
        <v>Monday</v>
      </c>
      <c r="N18" s="8" t="str">
        <f t="shared" si="8"/>
        <v>Mon</v>
      </c>
      <c r="O18" s="8" t="str">
        <f t="shared" si="9"/>
        <v>day</v>
      </c>
      <c r="P18" s="8">
        <f t="shared" si="10"/>
        <v>11</v>
      </c>
      <c r="Q18" s="8">
        <f t="shared" si="11"/>
        <v>2021</v>
      </c>
      <c r="R18" s="8" t="s">
        <v>155</v>
      </c>
      <c r="S18" s="8">
        <f t="shared" si="12"/>
        <v>8</v>
      </c>
      <c r="T18" s="8">
        <f t="shared" si="13"/>
        <v>48</v>
      </c>
      <c r="U18" s="8">
        <f t="shared" si="14"/>
        <v>39</v>
      </c>
      <c r="V18" s="8">
        <v>33607</v>
      </c>
      <c r="W18" s="8">
        <v>43261</v>
      </c>
      <c r="X18" s="9" t="str">
        <f t="shared" si="15"/>
        <v>Low Target</v>
      </c>
      <c r="Y18" s="9" t="str">
        <f t="shared" si="16"/>
        <v>Lower Target</v>
      </c>
      <c r="Z18" s="9" t="str" cm="1">
        <f t="array" ref="Z18">_xlfn.IFS(W18&lt;60000,"LOWERTarget",W18&lt;80000,"Medium Target",W18,"Highe Target")</f>
        <v>LOWERTarget</v>
      </c>
      <c r="AA18" s="8" t="s">
        <v>64</v>
      </c>
      <c r="AB18" s="5" t="str">
        <f t="shared" si="17"/>
        <v>NEEDS IMPROVEMENT</v>
      </c>
      <c r="AC18" s="5" t="str">
        <f t="shared" si="18"/>
        <v>needs improvement</v>
      </c>
      <c r="AD18" s="5" t="str">
        <f t="shared" si="19"/>
        <v>Needs Improvement</v>
      </c>
      <c r="AF18" s="6"/>
    </row>
    <row r="19" ht="14.25" customHeight="1" spans="1:35">
      <c r="A19" s="8" t="s">
        <v>156</v>
      </c>
      <c r="B19" s="8" t="s">
        <v>157</v>
      </c>
      <c r="C19" s="9">
        <f t="shared" si="0"/>
        <v>11</v>
      </c>
      <c r="D19" s="8" t="s">
        <v>60</v>
      </c>
      <c r="E19" s="8" t="str">
        <f t="shared" si="1"/>
        <v>Amit Mishra(E1021) - HR</v>
      </c>
      <c r="F19" s="9" t="str">
        <f t="shared" si="2"/>
        <v>Amit Mishra(E1021) -</v>
      </c>
      <c r="G19" s="9" t="str">
        <f t="shared" si="3"/>
        <v>HR</v>
      </c>
      <c r="H19" s="9">
        <f t="shared" si="4"/>
        <v>20</v>
      </c>
      <c r="I19" s="9">
        <f t="shared" si="5"/>
        <v>3</v>
      </c>
      <c r="J19" s="8" t="s">
        <v>45</v>
      </c>
      <c r="K19" s="9" t="str">
        <f t="shared" si="6"/>
        <v>B@ngalore</v>
      </c>
      <c r="L19" s="8" t="s">
        <v>158</v>
      </c>
      <c r="M19" s="8" t="str">
        <f t="shared" si="7"/>
        <v>Friday</v>
      </c>
      <c r="N19" s="8" t="str">
        <f t="shared" si="8"/>
        <v>Fri</v>
      </c>
      <c r="O19" s="8" t="str">
        <f t="shared" si="9"/>
        <v>day</v>
      </c>
      <c r="P19" s="8">
        <f t="shared" si="10"/>
        <v>1</v>
      </c>
      <c r="Q19" s="8">
        <f t="shared" si="11"/>
        <v>2021</v>
      </c>
      <c r="R19" s="8" t="s">
        <v>159</v>
      </c>
      <c r="S19" s="8">
        <f t="shared" si="12"/>
        <v>8</v>
      </c>
      <c r="T19" s="8">
        <f t="shared" si="13"/>
        <v>45</v>
      </c>
      <c r="U19" s="8">
        <f t="shared" si="14"/>
        <v>40</v>
      </c>
      <c r="V19" s="8">
        <v>43861</v>
      </c>
      <c r="W19" s="8">
        <v>43858</v>
      </c>
      <c r="X19" s="9" t="str">
        <f t="shared" si="15"/>
        <v>Low Target</v>
      </c>
      <c r="Y19" s="9" t="str">
        <f t="shared" si="16"/>
        <v>Lower Target</v>
      </c>
      <c r="Z19" s="9" t="str" cm="1">
        <f t="array" ref="Z19">_xlfn.IFS(W19&lt;60000,"LOWERTarget",W19&lt;80000,"Medium Target",W19,"Highe Target")</f>
        <v>LOWERTarget</v>
      </c>
      <c r="AA19" s="8" t="s">
        <v>160</v>
      </c>
      <c r="AB19" s="5" t="str">
        <f t="shared" si="17"/>
        <v>GOOD COMMUNICATION</v>
      </c>
      <c r="AC19" s="5" t="str">
        <f t="shared" si="18"/>
        <v>good communication</v>
      </c>
      <c r="AD19" s="5" t="str">
        <f t="shared" si="19"/>
        <v>Good Communication</v>
      </c>
      <c r="AF19" s="6"/>
    </row>
    <row r="20" ht="14.25" customHeight="1" spans="1:35">
      <c r="A20" s="8" t="s">
        <v>161</v>
      </c>
      <c r="B20" s="8" t="s">
        <v>162</v>
      </c>
      <c r="C20" s="9">
        <f t="shared" si="0"/>
        <v>12</v>
      </c>
      <c r="D20" s="8" t="s">
        <v>44</v>
      </c>
      <c r="E20" s="8" t="str">
        <f t="shared" si="1"/>
        <v>Yash Agarwal(E1232) - Marketing</v>
      </c>
      <c r="F20" s="9" t="str">
        <f t="shared" si="2"/>
        <v>Yash Agarwal(E1232) -</v>
      </c>
      <c r="G20" s="9" t="str">
        <f t="shared" si="3"/>
        <v>Marketing</v>
      </c>
      <c r="H20" s="9">
        <f t="shared" si="4"/>
        <v>21</v>
      </c>
      <c r="I20" s="9">
        <f t="shared" si="5"/>
        <v>10</v>
      </c>
      <c r="J20" s="8" t="s">
        <v>45</v>
      </c>
      <c r="K20" s="9" t="str">
        <f t="shared" si="6"/>
        <v>B@ngalore</v>
      </c>
      <c r="L20" s="8" t="s">
        <v>163</v>
      </c>
      <c r="M20" s="8" t="str">
        <f t="shared" si="7"/>
        <v>Friday</v>
      </c>
      <c r="N20" s="8" t="str">
        <f t="shared" si="8"/>
        <v>Fri</v>
      </c>
      <c r="O20" s="8" t="str">
        <f t="shared" si="9"/>
        <v>day</v>
      </c>
      <c r="P20" s="8">
        <f t="shared" si="10"/>
        <v>8</v>
      </c>
      <c r="Q20" s="8">
        <f t="shared" si="11"/>
        <v>2022</v>
      </c>
      <c r="R20" s="8" t="s">
        <v>164</v>
      </c>
      <c r="S20" s="8">
        <f t="shared" si="12"/>
        <v>9</v>
      </c>
      <c r="T20" s="8">
        <f t="shared" si="13"/>
        <v>18</v>
      </c>
      <c r="U20" s="8">
        <f t="shared" si="14"/>
        <v>41</v>
      </c>
      <c r="V20" s="8">
        <v>34739</v>
      </c>
      <c r="W20" s="8">
        <v>43877</v>
      </c>
      <c r="X20" s="9" t="str">
        <f t="shared" si="15"/>
        <v>Low Target</v>
      </c>
      <c r="Y20" s="9" t="str">
        <f t="shared" si="16"/>
        <v>Lower Target</v>
      </c>
      <c r="Z20" s="9" t="str" cm="1">
        <f t="array" ref="Z20">_xlfn.IFS(W20&lt;60000,"LOWERTarget",W20&lt;80000,"Medium Target",W20,"Highe Target")</f>
        <v>LOWERTarget</v>
      </c>
      <c r="AA20" s="8" t="s">
        <v>165</v>
      </c>
      <c r="AB20" s="5" t="str">
        <f t="shared" si="17"/>
        <v>   GOOD TEAMWORK   </v>
      </c>
      <c r="AC20" s="5" t="str">
        <f t="shared" si="18"/>
        <v>   good teamwork   </v>
      </c>
      <c r="AD20" s="5" t="str">
        <f t="shared" si="19"/>
        <v>   Good Teamwork   </v>
      </c>
      <c r="AF20" s="6"/>
    </row>
    <row r="21" ht="14.25" customHeight="1" spans="1:35">
      <c r="A21" s="8" t="s">
        <v>166</v>
      </c>
      <c r="B21" s="8" t="s">
        <v>167</v>
      </c>
      <c r="C21" s="9">
        <f t="shared" si="0"/>
        <v>12</v>
      </c>
      <c r="D21" s="8" t="s">
        <v>44</v>
      </c>
      <c r="E21" s="8" t="str">
        <f t="shared" si="1"/>
        <v>Nisha Chopra(E1024) - Marketing</v>
      </c>
      <c r="F21" s="9" t="str">
        <f t="shared" si="2"/>
        <v>Nisha Chopra(E1024) -</v>
      </c>
      <c r="G21" s="9" t="str">
        <f t="shared" si="3"/>
        <v>Marketing</v>
      </c>
      <c r="H21" s="9">
        <f t="shared" si="4"/>
        <v>21</v>
      </c>
      <c r="I21" s="9">
        <f t="shared" si="5"/>
        <v>10</v>
      </c>
      <c r="J21" s="8" t="s">
        <v>153</v>
      </c>
      <c r="K21" s="9" t="str">
        <f t="shared" si="6"/>
        <v>Mumb@i</v>
      </c>
      <c r="L21" s="8" t="s">
        <v>168</v>
      </c>
      <c r="M21" s="8" t="str">
        <f t="shared" si="7"/>
        <v>Friday</v>
      </c>
      <c r="N21" s="8" t="str">
        <f t="shared" si="8"/>
        <v>Fri</v>
      </c>
      <c r="O21" s="8" t="str">
        <f t="shared" si="9"/>
        <v>day</v>
      </c>
      <c r="P21" s="8">
        <f t="shared" si="10"/>
        <v>10</v>
      </c>
      <c r="Q21" s="8">
        <f t="shared" si="11"/>
        <v>2024</v>
      </c>
      <c r="R21" s="8" t="s">
        <v>169</v>
      </c>
      <c r="S21" s="8">
        <f t="shared" si="12"/>
        <v>10</v>
      </c>
      <c r="T21" s="8">
        <f t="shared" si="13"/>
        <v>41</v>
      </c>
      <c r="U21" s="8">
        <f t="shared" si="14"/>
        <v>6</v>
      </c>
      <c r="V21" s="8">
        <v>55358</v>
      </c>
      <c r="W21" s="8">
        <v>43972</v>
      </c>
      <c r="X21" s="9" t="str">
        <f t="shared" si="15"/>
        <v>Low Target</v>
      </c>
      <c r="Y21" s="9" t="str">
        <f t="shared" si="16"/>
        <v>Lower Target</v>
      </c>
      <c r="Z21" s="9" t="str" cm="1">
        <f t="array" ref="Z21">_xlfn.IFS(W21&lt;60000,"LOWERTarget",W21&lt;80000,"Medium Target",W21,"Highe Target")</f>
        <v>LOWERTarget</v>
      </c>
      <c r="AA21" s="8" t="s">
        <v>96</v>
      </c>
      <c r="AB21" s="5" t="str">
        <f t="shared" si="17"/>
        <v>FAST DELIVERY</v>
      </c>
      <c r="AC21" s="5" t="str">
        <f t="shared" si="18"/>
        <v>fast delivery</v>
      </c>
      <c r="AD21" s="5" t="str">
        <f t="shared" si="19"/>
        <v>Fast Delivery</v>
      </c>
      <c r="AF21" s="6"/>
    </row>
    <row r="22" ht="14.25" customHeight="1" spans="1:35">
      <c r="A22" s="8" t="s">
        <v>170</v>
      </c>
      <c r="B22" s="8" t="s">
        <v>171</v>
      </c>
      <c r="C22" s="9">
        <f t="shared" si="0"/>
        <v>14</v>
      </c>
      <c r="D22" s="8" t="s">
        <v>60</v>
      </c>
      <c r="E22" s="8" t="str">
        <f t="shared" si="1"/>
        <v>Madhuri Mishra(E1161) - HR</v>
      </c>
      <c r="F22" s="9" t="str">
        <f t="shared" si="2"/>
        <v>Madhuri Mishra(E1161) -</v>
      </c>
      <c r="G22" s="9" t="str">
        <f t="shared" si="3"/>
        <v>HR</v>
      </c>
      <c r="H22" s="9">
        <f t="shared" si="4"/>
        <v>23</v>
      </c>
      <c r="I22" s="9">
        <f t="shared" si="5"/>
        <v>3</v>
      </c>
      <c r="J22" s="8" t="s">
        <v>172</v>
      </c>
      <c r="K22" s="9" t="str">
        <f t="shared" si="6"/>
        <v>Hyder@bad</v>
      </c>
      <c r="L22" s="8" t="s">
        <v>173</v>
      </c>
      <c r="M22" s="8" t="str">
        <f t="shared" si="7"/>
        <v>Friday</v>
      </c>
      <c r="N22" s="8" t="str">
        <f t="shared" si="8"/>
        <v>Fri</v>
      </c>
      <c r="O22" s="8" t="str">
        <f t="shared" si="9"/>
        <v>day</v>
      </c>
      <c r="P22" s="8">
        <f t="shared" si="10"/>
        <v>5</v>
      </c>
      <c r="Q22" s="8">
        <f t="shared" si="11"/>
        <v>2024</v>
      </c>
      <c r="R22" s="8" t="s">
        <v>174</v>
      </c>
      <c r="S22" s="8">
        <f t="shared" si="12"/>
        <v>9</v>
      </c>
      <c r="T22" s="8">
        <f t="shared" si="13"/>
        <v>32</v>
      </c>
      <c r="U22" s="8">
        <f t="shared" si="14"/>
        <v>9</v>
      </c>
      <c r="V22" s="8">
        <v>58579</v>
      </c>
      <c r="W22" s="8">
        <v>44054</v>
      </c>
      <c r="X22" s="9" t="str">
        <f t="shared" si="15"/>
        <v>Low Target</v>
      </c>
      <c r="Y22" s="9" t="str">
        <f t="shared" si="16"/>
        <v>Lower Target</v>
      </c>
      <c r="Z22" s="9" t="str" cm="1">
        <f t="array" ref="Z22">_xlfn.IFS(W22&lt;60000,"LOWERTarget",W22&lt;80000,"Medium Target",W22,"Highe Target")</f>
        <v>LOWERTarget</v>
      </c>
      <c r="AA22" s="8" t="s">
        <v>160</v>
      </c>
      <c r="AB22" s="5" t="str">
        <f t="shared" si="17"/>
        <v>GOOD COMMUNICATION</v>
      </c>
      <c r="AC22" s="5" t="str">
        <f t="shared" si="18"/>
        <v>good communication</v>
      </c>
      <c r="AD22" s="5" t="str">
        <f t="shared" si="19"/>
        <v>Good Communication</v>
      </c>
      <c r="AF22" s="6"/>
    </row>
    <row r="23" ht="14.25" customHeight="1" spans="1:35">
      <c r="A23" s="8" t="s">
        <v>175</v>
      </c>
      <c r="B23" s="8" t="s">
        <v>176</v>
      </c>
      <c r="C23" s="9">
        <f t="shared" si="0"/>
        <v>13</v>
      </c>
      <c r="D23" s="8" t="s">
        <v>93</v>
      </c>
      <c r="E23" s="8" t="str">
        <f t="shared" si="1"/>
        <v>Manish Mishra(E1239) - Sales</v>
      </c>
      <c r="F23" s="9" t="str">
        <f t="shared" si="2"/>
        <v>Manish Mishra(E1239) -</v>
      </c>
      <c r="G23" s="9" t="str">
        <f t="shared" si="3"/>
        <v>Sales</v>
      </c>
      <c r="H23" s="9">
        <f t="shared" si="4"/>
        <v>22</v>
      </c>
      <c r="I23" s="9">
        <f t="shared" si="5"/>
        <v>6</v>
      </c>
      <c r="J23" s="8" t="s">
        <v>61</v>
      </c>
      <c r="K23" s="9" t="str">
        <f t="shared" si="6"/>
        <v>Chenn@i</v>
      </c>
      <c r="L23" s="8" t="s">
        <v>177</v>
      </c>
      <c r="M23" s="8" t="str">
        <f t="shared" si="7"/>
        <v>Saturday</v>
      </c>
      <c r="N23" s="8" t="str">
        <f t="shared" si="8"/>
        <v>Sat</v>
      </c>
      <c r="O23" s="8" t="str">
        <f t="shared" si="9"/>
        <v>day</v>
      </c>
      <c r="P23" s="8">
        <f t="shared" si="10"/>
        <v>8</v>
      </c>
      <c r="Q23" s="8">
        <f t="shared" si="11"/>
        <v>2024</v>
      </c>
      <c r="R23" s="8" t="s">
        <v>178</v>
      </c>
      <c r="S23" s="8">
        <f t="shared" si="12"/>
        <v>9</v>
      </c>
      <c r="T23" s="8">
        <f t="shared" si="13"/>
        <v>44</v>
      </c>
      <c r="U23" s="8">
        <f t="shared" si="14"/>
        <v>15</v>
      </c>
      <c r="V23" s="8">
        <v>36818</v>
      </c>
      <c r="W23" s="8">
        <v>44071</v>
      </c>
      <c r="X23" s="9" t="str">
        <f t="shared" si="15"/>
        <v>Low Target</v>
      </c>
      <c r="Y23" s="9" t="str">
        <f t="shared" si="16"/>
        <v>Lower Target</v>
      </c>
      <c r="Z23" s="9" t="str" cm="1">
        <f t="array" ref="Z23">_xlfn.IFS(W23&lt;60000,"LOWERTarget",W23&lt;80000,"Medium Target",W23,"Highe Target")</f>
        <v>LOWERTarget</v>
      </c>
      <c r="AA23" s="8" t="s">
        <v>179</v>
      </c>
      <c r="AB23" s="5" t="str">
        <f t="shared" si="17"/>
        <v>HELPFUL ATTITUDE</v>
      </c>
      <c r="AC23" s="5" t="str">
        <f t="shared" si="18"/>
        <v>helpful attitude</v>
      </c>
      <c r="AD23" s="5" t="str">
        <f t="shared" si="19"/>
        <v>Helpful Attitude</v>
      </c>
      <c r="AF23" s="6"/>
    </row>
    <row r="24" ht="14.25" customHeight="1" spans="1:35">
      <c r="A24" s="8" t="s">
        <v>180</v>
      </c>
      <c r="B24" s="8" t="s">
        <v>181</v>
      </c>
      <c r="C24" s="9">
        <f t="shared" si="0"/>
        <v>11</v>
      </c>
      <c r="D24" s="8" t="s">
        <v>44</v>
      </c>
      <c r="E24" s="8" t="str">
        <f t="shared" si="1"/>
        <v>Karan Verma(E1059) - Marketing</v>
      </c>
      <c r="F24" s="9" t="str">
        <f t="shared" si="2"/>
        <v>Karan Verma(E1059) -</v>
      </c>
      <c r="G24" s="9" t="str">
        <f t="shared" si="3"/>
        <v>Marketing</v>
      </c>
      <c r="H24" s="9">
        <f t="shared" si="4"/>
        <v>20</v>
      </c>
      <c r="I24" s="9">
        <f t="shared" si="5"/>
        <v>10</v>
      </c>
      <c r="J24" s="8" t="s">
        <v>182</v>
      </c>
      <c r="K24" s="9" t="str">
        <f t="shared" si="6"/>
        <v>Kolk@ta</v>
      </c>
      <c r="L24" s="8" t="s">
        <v>183</v>
      </c>
      <c r="M24" s="8" t="str">
        <f t="shared" si="7"/>
        <v>Wednesday</v>
      </c>
      <c r="N24" s="8" t="str">
        <f t="shared" si="8"/>
        <v>Wed</v>
      </c>
      <c r="O24" s="8" t="str">
        <f t="shared" si="9"/>
        <v>day</v>
      </c>
      <c r="P24" s="8">
        <f t="shared" si="10"/>
        <v>11</v>
      </c>
      <c r="Q24" s="8">
        <f t="shared" si="11"/>
        <v>2022</v>
      </c>
      <c r="R24" s="8" t="s">
        <v>184</v>
      </c>
      <c r="S24" s="8">
        <f t="shared" si="12"/>
        <v>10</v>
      </c>
      <c r="T24" s="8">
        <f t="shared" si="13"/>
        <v>29</v>
      </c>
      <c r="U24" s="8">
        <f t="shared" si="14"/>
        <v>26</v>
      </c>
      <c r="V24" s="8">
        <v>42635</v>
      </c>
      <c r="W24" s="8">
        <v>44080</v>
      </c>
      <c r="X24" s="9" t="str">
        <f t="shared" si="15"/>
        <v>Low Target</v>
      </c>
      <c r="Y24" s="9" t="str">
        <f t="shared" si="16"/>
        <v>Lower Target</v>
      </c>
      <c r="Z24" s="9" t="str" cm="1">
        <f t="array" ref="Z24">_xlfn.IFS(W24&lt;60000,"LOWERTarget",W24&lt;80000,"Medium Target",W24,"Highe Target")</f>
        <v>LOWERTarget</v>
      </c>
      <c r="AA24" s="8" t="s">
        <v>185</v>
      </c>
      <c r="AB24" s="5" t="str">
        <f t="shared" si="17"/>
        <v>   POSITIVE ATTITUDE   </v>
      </c>
      <c r="AC24" s="5" t="str">
        <f t="shared" si="18"/>
        <v>   positive attitude   </v>
      </c>
      <c r="AD24" s="5" t="str">
        <f t="shared" si="19"/>
        <v>   Positive Attitude   </v>
      </c>
      <c r="AF24" s="6"/>
    </row>
    <row r="25" ht="14.25" customHeight="1" spans="1:35">
      <c r="A25" s="8" t="s">
        <v>186</v>
      </c>
      <c r="B25" s="8" t="s">
        <v>187</v>
      </c>
      <c r="C25" s="9">
        <f t="shared" si="0"/>
        <v>11</v>
      </c>
      <c r="D25" s="8" t="s">
        <v>93</v>
      </c>
      <c r="E25" s="8" t="str">
        <f t="shared" si="1"/>
        <v>Rohan Reddy(E1144) - Sales</v>
      </c>
      <c r="F25" s="9" t="str">
        <f t="shared" si="2"/>
        <v>Rohan Reddy(E1144) -</v>
      </c>
      <c r="G25" s="9" t="str">
        <f t="shared" si="3"/>
        <v>Sales</v>
      </c>
      <c r="H25" s="9">
        <f t="shared" si="4"/>
        <v>20</v>
      </c>
      <c r="I25" s="9">
        <f t="shared" si="5"/>
        <v>6</v>
      </c>
      <c r="J25" s="8" t="s">
        <v>53</v>
      </c>
      <c r="K25" s="9" t="str">
        <f t="shared" si="6"/>
        <v>Delhi</v>
      </c>
      <c r="L25" s="8" t="s">
        <v>188</v>
      </c>
      <c r="M25" s="8" t="str">
        <f t="shared" si="7"/>
        <v>Thursday</v>
      </c>
      <c r="N25" s="8" t="str">
        <f t="shared" si="8"/>
        <v>Thu</v>
      </c>
      <c r="O25" s="8" t="str">
        <f t="shared" si="9"/>
        <v>day</v>
      </c>
      <c r="P25" s="8">
        <f t="shared" si="10"/>
        <v>10</v>
      </c>
      <c r="Q25" s="8">
        <f t="shared" si="11"/>
        <v>2021</v>
      </c>
      <c r="R25" s="8" t="s">
        <v>189</v>
      </c>
      <c r="S25" s="8">
        <f t="shared" si="12"/>
        <v>10</v>
      </c>
      <c r="T25" s="8">
        <f t="shared" si="13"/>
        <v>42</v>
      </c>
      <c r="U25" s="8">
        <f t="shared" si="14"/>
        <v>25</v>
      </c>
      <c r="V25" s="8">
        <v>38857</v>
      </c>
      <c r="W25" s="8">
        <v>44560</v>
      </c>
      <c r="X25" s="9" t="str">
        <f t="shared" si="15"/>
        <v>Low Target</v>
      </c>
      <c r="Y25" s="9" t="str">
        <f t="shared" si="16"/>
        <v>Lower Target</v>
      </c>
      <c r="Z25" s="9" t="str" cm="1">
        <f t="array" ref="Z25">_xlfn.IFS(W25&lt;60000,"LOWERTarget",W25&lt;80000,"Medium Target",W25,"Highe Target")</f>
        <v>LOWERTarget</v>
      </c>
      <c r="AA25" s="8" t="s">
        <v>96</v>
      </c>
      <c r="AB25" s="5" t="str">
        <f t="shared" si="17"/>
        <v>FAST DELIVERY</v>
      </c>
      <c r="AC25" s="5" t="str">
        <f t="shared" si="18"/>
        <v>fast delivery</v>
      </c>
      <c r="AD25" s="5" t="str">
        <f t="shared" si="19"/>
        <v>Fast Delivery</v>
      </c>
      <c r="AF25" s="6"/>
    </row>
    <row r="26" ht="14.25" customHeight="1" spans="1:35">
      <c r="A26" s="8" t="s">
        <v>190</v>
      </c>
      <c r="B26" s="8" t="s">
        <v>191</v>
      </c>
      <c r="C26" s="9">
        <f t="shared" si="0"/>
        <v>14</v>
      </c>
      <c r="D26" s="8" t="s">
        <v>60</v>
      </c>
      <c r="E26" s="8" t="str">
        <f t="shared" si="1"/>
        <v>Ritika Agarwal(E1268) - HR</v>
      </c>
      <c r="F26" s="9" t="str">
        <f t="shared" si="2"/>
        <v>Ritika Agarwal(E1268) -</v>
      </c>
      <c r="G26" s="9" t="str">
        <f t="shared" si="3"/>
        <v>HR</v>
      </c>
      <c r="H26" s="9">
        <f t="shared" si="4"/>
        <v>23</v>
      </c>
      <c r="I26" s="9">
        <f t="shared" si="5"/>
        <v>3</v>
      </c>
      <c r="J26" s="8" t="s">
        <v>153</v>
      </c>
      <c r="K26" s="9" t="str">
        <f t="shared" si="6"/>
        <v>Mumb@i</v>
      </c>
      <c r="L26" s="8" t="s">
        <v>192</v>
      </c>
      <c r="M26" s="8" t="str">
        <f t="shared" si="7"/>
        <v>Sunday</v>
      </c>
      <c r="N26" s="8" t="str">
        <f t="shared" si="8"/>
        <v>Sun</v>
      </c>
      <c r="O26" s="8" t="str">
        <f t="shared" si="9"/>
        <v>day</v>
      </c>
      <c r="P26" s="8">
        <f t="shared" si="10"/>
        <v>12</v>
      </c>
      <c r="Q26" s="8">
        <f t="shared" si="11"/>
        <v>2023</v>
      </c>
      <c r="R26" s="8" t="s">
        <v>193</v>
      </c>
      <c r="S26" s="8">
        <f t="shared" si="12"/>
        <v>8</v>
      </c>
      <c r="T26" s="8">
        <f t="shared" si="13"/>
        <v>53</v>
      </c>
      <c r="U26" s="8">
        <f t="shared" si="14"/>
        <v>54</v>
      </c>
      <c r="V26" s="8">
        <v>33050</v>
      </c>
      <c r="W26" s="8">
        <v>44871</v>
      </c>
      <c r="X26" s="9" t="str">
        <f t="shared" si="15"/>
        <v>Low Target</v>
      </c>
      <c r="Y26" s="9" t="str">
        <f t="shared" si="16"/>
        <v>Lower Target</v>
      </c>
      <c r="Z26" s="9" t="str" cm="1">
        <f t="array" ref="Z26">_xlfn.IFS(W26&lt;60000,"LOWERTarget",W26&lt;80000,"Medium Target",W26,"Highe Target")</f>
        <v>LOWERTarget</v>
      </c>
      <c r="AA26" s="8" t="s">
        <v>118</v>
      </c>
      <c r="AB26" s="5" t="str">
        <f t="shared" si="17"/>
        <v>CUSTOMER FOCUSED</v>
      </c>
      <c r="AC26" s="5" t="str">
        <f t="shared" si="18"/>
        <v>customer focused</v>
      </c>
      <c r="AD26" s="5" t="str">
        <f t="shared" si="19"/>
        <v>Customer Focused</v>
      </c>
      <c r="AF26" s="6"/>
    </row>
    <row r="27" ht="14.25" customHeight="1" spans="1:35">
      <c r="A27" s="8" t="s">
        <v>194</v>
      </c>
      <c r="B27" s="8" t="s">
        <v>195</v>
      </c>
      <c r="C27" s="9">
        <f t="shared" si="0"/>
        <v>12</v>
      </c>
      <c r="D27" s="8" t="s">
        <v>35</v>
      </c>
      <c r="E27" s="8" t="str">
        <f t="shared" si="1"/>
        <v>Rahul Bansal(E1154) - Finance</v>
      </c>
      <c r="F27" s="9" t="str">
        <f t="shared" si="2"/>
        <v>Rahul Bansal(E1154) -</v>
      </c>
      <c r="G27" s="9" t="str">
        <f t="shared" si="3"/>
        <v>Finance</v>
      </c>
      <c r="H27" s="9">
        <f t="shared" si="4"/>
        <v>21</v>
      </c>
      <c r="I27" s="9">
        <f t="shared" si="5"/>
        <v>8</v>
      </c>
      <c r="J27" s="8" t="s">
        <v>172</v>
      </c>
      <c r="K27" s="9" t="str">
        <f t="shared" si="6"/>
        <v>Hyder@bad</v>
      </c>
      <c r="L27" s="8" t="s">
        <v>196</v>
      </c>
      <c r="M27" s="8" t="str">
        <f t="shared" si="7"/>
        <v>Wednesday</v>
      </c>
      <c r="N27" s="8" t="str">
        <f t="shared" si="8"/>
        <v>Wed</v>
      </c>
      <c r="O27" s="8" t="str">
        <f t="shared" si="9"/>
        <v>day</v>
      </c>
      <c r="P27" s="8">
        <f t="shared" si="10"/>
        <v>3</v>
      </c>
      <c r="Q27" s="8">
        <f t="shared" si="11"/>
        <v>2022</v>
      </c>
      <c r="R27" s="8" t="s">
        <v>197</v>
      </c>
      <c r="S27" s="8">
        <f t="shared" si="12"/>
        <v>9</v>
      </c>
      <c r="T27" s="8">
        <f t="shared" si="13"/>
        <v>49</v>
      </c>
      <c r="U27" s="8">
        <f t="shared" si="14"/>
        <v>10</v>
      </c>
      <c r="V27" s="8">
        <v>63460</v>
      </c>
      <c r="W27" s="8">
        <v>45005</v>
      </c>
      <c r="X27" s="9" t="str">
        <f t="shared" si="15"/>
        <v>Low Target</v>
      </c>
      <c r="Y27" s="9" t="str">
        <f t="shared" si="16"/>
        <v>Lower Target</v>
      </c>
      <c r="Z27" s="9" t="str" cm="1">
        <f t="array" ref="Z27">_xlfn.IFS(W27&lt;60000,"LOWERTarget",W27&lt;80000,"Medium Target",W27,"Highe Target")</f>
        <v>LOWERTarget</v>
      </c>
      <c r="AA27" s="8" t="s">
        <v>165</v>
      </c>
      <c r="AB27" s="5" t="str">
        <f t="shared" si="17"/>
        <v>   GOOD TEAMWORK   </v>
      </c>
      <c r="AC27" s="5" t="str">
        <f t="shared" si="18"/>
        <v>   good teamwork   </v>
      </c>
      <c r="AD27" s="5" t="str">
        <f t="shared" si="19"/>
        <v>   Good Teamwork   </v>
      </c>
      <c r="AF27" s="6"/>
    </row>
    <row r="28" ht="14.25" customHeight="1" spans="1:35">
      <c r="A28" s="8" t="s">
        <v>198</v>
      </c>
      <c r="B28" s="8" t="s">
        <v>43</v>
      </c>
      <c r="C28" s="9">
        <f t="shared" si="0"/>
        <v>11</v>
      </c>
      <c r="D28" s="8" t="s">
        <v>35</v>
      </c>
      <c r="E28" s="8" t="str">
        <f t="shared" si="1"/>
        <v>Vikram Nair(E1057) - Finance</v>
      </c>
      <c r="F28" s="9" t="str">
        <f t="shared" si="2"/>
        <v>Vikram Nair(E1057) -</v>
      </c>
      <c r="G28" s="9" t="str">
        <f t="shared" si="3"/>
        <v>Finance</v>
      </c>
      <c r="H28" s="9">
        <f t="shared" si="4"/>
        <v>20</v>
      </c>
      <c r="I28" s="9">
        <f t="shared" si="5"/>
        <v>8</v>
      </c>
      <c r="J28" s="8" t="s">
        <v>36</v>
      </c>
      <c r="K28" s="9" t="str">
        <f t="shared" si="6"/>
        <v>Ahmed@bad</v>
      </c>
      <c r="L28" s="8" t="s">
        <v>199</v>
      </c>
      <c r="M28" s="8" t="str">
        <f t="shared" si="7"/>
        <v>Sunday</v>
      </c>
      <c r="N28" s="8" t="str">
        <f t="shared" si="8"/>
        <v>Sun</v>
      </c>
      <c r="O28" s="8" t="str">
        <f t="shared" si="9"/>
        <v>day</v>
      </c>
      <c r="P28" s="8">
        <f t="shared" si="10"/>
        <v>7</v>
      </c>
      <c r="Q28" s="8">
        <f t="shared" si="11"/>
        <v>2024</v>
      </c>
      <c r="R28" s="8" t="s">
        <v>200</v>
      </c>
      <c r="S28" s="8">
        <f t="shared" si="12"/>
        <v>8</v>
      </c>
      <c r="T28" s="8">
        <f t="shared" si="13"/>
        <v>17</v>
      </c>
      <c r="U28" s="8">
        <f t="shared" si="14"/>
        <v>28</v>
      </c>
      <c r="V28" s="8">
        <v>48802</v>
      </c>
      <c r="W28" s="8">
        <v>45077</v>
      </c>
      <c r="X28" s="9" t="str">
        <f t="shared" si="15"/>
        <v>Low Target</v>
      </c>
      <c r="Y28" s="9" t="str">
        <f t="shared" si="16"/>
        <v>Lower Target</v>
      </c>
      <c r="Z28" s="9" t="str" cm="1">
        <f t="array" ref="Z28">_xlfn.IFS(W28&lt;60000,"LOWERTarget",W28&lt;80000,"Medium Target",W28,"Highe Target")</f>
        <v>LOWERTarget</v>
      </c>
      <c r="AA28" s="8" t="s">
        <v>126</v>
      </c>
      <c r="AB28" s="5" t="str">
        <f t="shared" si="17"/>
        <v>ACCURATE REPORTS</v>
      </c>
      <c r="AC28" s="5" t="str">
        <f t="shared" si="18"/>
        <v>accurate reports</v>
      </c>
      <c r="AD28" s="5" t="str">
        <f t="shared" si="19"/>
        <v>Accurate Reports</v>
      </c>
      <c r="AF28" s="6"/>
    </row>
    <row r="29" ht="14.25" customHeight="1" spans="1:35">
      <c r="A29" s="8" t="s">
        <v>201</v>
      </c>
      <c r="B29" s="8" t="s">
        <v>202</v>
      </c>
      <c r="C29" s="9">
        <f t="shared" si="0"/>
        <v>11</v>
      </c>
      <c r="D29" s="8" t="s">
        <v>93</v>
      </c>
      <c r="E29" s="8" t="str">
        <f t="shared" si="1"/>
        <v>Varun Reddy(E1151) - Sales</v>
      </c>
      <c r="F29" s="9" t="str">
        <f t="shared" si="2"/>
        <v>Varun Reddy(E1151) -</v>
      </c>
      <c r="G29" s="9" t="str">
        <f t="shared" si="3"/>
        <v>Sales</v>
      </c>
      <c r="H29" s="9">
        <f t="shared" si="4"/>
        <v>20</v>
      </c>
      <c r="I29" s="9">
        <f t="shared" si="5"/>
        <v>6</v>
      </c>
      <c r="J29" s="8" t="s">
        <v>182</v>
      </c>
      <c r="K29" s="9" t="str">
        <f t="shared" si="6"/>
        <v>Kolk@ta</v>
      </c>
      <c r="L29" s="8" t="s">
        <v>203</v>
      </c>
      <c r="M29" s="8" t="str">
        <f t="shared" si="7"/>
        <v>Sunday</v>
      </c>
      <c r="N29" s="8" t="str">
        <f t="shared" si="8"/>
        <v>Sun</v>
      </c>
      <c r="O29" s="8" t="str">
        <f t="shared" si="9"/>
        <v>day</v>
      </c>
      <c r="P29" s="8">
        <f t="shared" si="10"/>
        <v>3</v>
      </c>
      <c r="Q29" s="8">
        <f t="shared" si="11"/>
        <v>2021</v>
      </c>
      <c r="R29" s="8" t="s">
        <v>204</v>
      </c>
      <c r="S29" s="8">
        <f t="shared" si="12"/>
        <v>9</v>
      </c>
      <c r="T29" s="8">
        <f t="shared" si="13"/>
        <v>1</v>
      </c>
      <c r="U29" s="8">
        <f t="shared" si="14"/>
        <v>29</v>
      </c>
      <c r="V29" s="8">
        <v>50618</v>
      </c>
      <c r="W29" s="8">
        <v>45102</v>
      </c>
      <c r="X29" s="9" t="str">
        <f t="shared" si="15"/>
        <v>Low Target</v>
      </c>
      <c r="Y29" s="9" t="str">
        <f t="shared" si="16"/>
        <v>Lower Target</v>
      </c>
      <c r="Z29" s="9" t="str" cm="1">
        <f t="array" ref="Z29">_xlfn.IFS(W29&lt;60000,"LOWERTarget",W29&lt;80000,"Medium Target",W29,"Highe Target")</f>
        <v>LOWERTarget</v>
      </c>
      <c r="AA29" s="8" t="s">
        <v>79</v>
      </c>
      <c r="AB29" s="5" t="str">
        <f t="shared" si="17"/>
        <v>EXCELLENT LEADERSHIP</v>
      </c>
      <c r="AC29" s="5" t="str">
        <f t="shared" si="18"/>
        <v>excellent leadership</v>
      </c>
      <c r="AD29" s="5" t="str">
        <f t="shared" si="19"/>
        <v>Excellent Leadership</v>
      </c>
      <c r="AF29" s="6"/>
      <c r="AI29" s="15" t="s">
        <v>205</v>
      </c>
    </row>
    <row r="30" ht="14.25" customHeight="1" spans="1:35">
      <c r="A30" s="8" t="s">
        <v>206</v>
      </c>
      <c r="B30" s="8" t="s">
        <v>191</v>
      </c>
      <c r="C30" s="9">
        <f t="shared" si="0"/>
        <v>14</v>
      </c>
      <c r="D30" s="8" t="s">
        <v>60</v>
      </c>
      <c r="E30" s="8" t="str">
        <f t="shared" si="1"/>
        <v>Ritika Agarwal(E1242) - HR</v>
      </c>
      <c r="F30" s="9" t="str">
        <f t="shared" si="2"/>
        <v>Ritika Agarwal(E1242) -</v>
      </c>
      <c r="G30" s="9" t="str">
        <f t="shared" si="3"/>
        <v>HR</v>
      </c>
      <c r="H30" s="9">
        <f t="shared" si="4"/>
        <v>23</v>
      </c>
      <c r="I30" s="9">
        <f t="shared" si="5"/>
        <v>3</v>
      </c>
      <c r="J30" s="8" t="s">
        <v>45</v>
      </c>
      <c r="K30" s="9" t="str">
        <f t="shared" si="6"/>
        <v>B@ngalore</v>
      </c>
      <c r="L30" s="8" t="s">
        <v>207</v>
      </c>
      <c r="M30" s="8" t="str">
        <f t="shared" si="7"/>
        <v>Friday</v>
      </c>
      <c r="N30" s="8" t="str">
        <f t="shared" si="8"/>
        <v>Fri</v>
      </c>
      <c r="O30" s="8" t="str">
        <f t="shared" si="9"/>
        <v>day</v>
      </c>
      <c r="P30" s="8">
        <f t="shared" si="10"/>
        <v>10</v>
      </c>
      <c r="Q30" s="8">
        <f t="shared" si="11"/>
        <v>2024</v>
      </c>
      <c r="R30" s="8" t="s">
        <v>208</v>
      </c>
      <c r="S30" s="8">
        <f t="shared" si="12"/>
        <v>10</v>
      </c>
      <c r="T30" s="8">
        <f t="shared" si="13"/>
        <v>55</v>
      </c>
      <c r="U30" s="8">
        <f t="shared" si="14"/>
        <v>50</v>
      </c>
      <c r="V30" s="8">
        <v>64804</v>
      </c>
      <c r="W30" s="8">
        <v>45365</v>
      </c>
      <c r="X30" s="9" t="str">
        <f t="shared" si="15"/>
        <v>Low Target</v>
      </c>
      <c r="Y30" s="9" t="str">
        <f t="shared" si="16"/>
        <v>Lower Target</v>
      </c>
      <c r="Z30" s="9" t="str" cm="1">
        <f t="array" ref="Z30">_xlfn.IFS(W30&lt;60000,"LOWERTarget",W30&lt;80000,"Medium Target",W30,"Highe Target")</f>
        <v>LOWERTarget</v>
      </c>
      <c r="AA30" s="8" t="s">
        <v>179</v>
      </c>
      <c r="AB30" s="5" t="str">
        <f t="shared" si="17"/>
        <v>HELPFUL ATTITUDE</v>
      </c>
      <c r="AC30" s="5" t="str">
        <f t="shared" si="18"/>
        <v>helpful attitude</v>
      </c>
      <c r="AD30" s="5" t="str">
        <f t="shared" si="19"/>
        <v>Helpful Attitude</v>
      </c>
      <c r="AF30" s="6"/>
      <c r="AI30" s="16">
        <f>SUM(V1:V301)</f>
        <v>21622710</v>
      </c>
    </row>
    <row r="31" ht="14.25" customHeight="1" spans="1:35">
      <c r="A31" s="8" t="s">
        <v>209</v>
      </c>
      <c r="B31" s="8" t="s">
        <v>210</v>
      </c>
      <c r="C31" s="9">
        <f t="shared" si="0"/>
        <v>11</v>
      </c>
      <c r="D31" s="8" t="s">
        <v>35</v>
      </c>
      <c r="E31" s="8" t="str">
        <f t="shared" si="1"/>
        <v>Meera Goyal(E1200) - Finance</v>
      </c>
      <c r="F31" s="9" t="str">
        <f t="shared" si="2"/>
        <v>Meera Goyal(E1200) -</v>
      </c>
      <c r="G31" s="9" t="str">
        <f t="shared" si="3"/>
        <v>Finance</v>
      </c>
      <c r="H31" s="9">
        <f t="shared" si="4"/>
        <v>20</v>
      </c>
      <c r="I31" s="9">
        <f t="shared" si="5"/>
        <v>8</v>
      </c>
      <c r="J31" s="8" t="s">
        <v>36</v>
      </c>
      <c r="K31" s="9" t="str">
        <f t="shared" si="6"/>
        <v>Ahmed@bad</v>
      </c>
      <c r="L31" s="8" t="s">
        <v>211</v>
      </c>
      <c r="M31" s="8" t="str">
        <f t="shared" si="7"/>
        <v>Sunday</v>
      </c>
      <c r="N31" s="8" t="str">
        <f t="shared" si="8"/>
        <v>Sun</v>
      </c>
      <c r="O31" s="8" t="str">
        <f t="shared" si="9"/>
        <v>day</v>
      </c>
      <c r="P31" s="8">
        <f t="shared" si="10"/>
        <v>2</v>
      </c>
      <c r="Q31" s="8">
        <f t="shared" si="11"/>
        <v>2024</v>
      </c>
      <c r="R31" s="8" t="s">
        <v>212</v>
      </c>
      <c r="S31" s="8">
        <f t="shared" si="12"/>
        <v>8</v>
      </c>
      <c r="T31" s="8">
        <f t="shared" si="13"/>
        <v>39</v>
      </c>
      <c r="U31" s="8">
        <f t="shared" si="14"/>
        <v>56</v>
      </c>
      <c r="V31" s="8">
        <v>34958</v>
      </c>
      <c r="W31" s="8">
        <v>45650</v>
      </c>
      <c r="X31" s="9" t="str">
        <f t="shared" si="15"/>
        <v>Low Target</v>
      </c>
      <c r="Y31" s="9" t="str">
        <f t="shared" si="16"/>
        <v>Lower Target</v>
      </c>
      <c r="Z31" s="9" t="str" cm="1">
        <f t="array" ref="Z31">_xlfn.IFS(W31&lt;60000,"LOWERTarget",W31&lt;80000,"Medium Target",W31,"Highe Target")</f>
        <v>LOWERTarget</v>
      </c>
      <c r="AA31" s="8" t="s">
        <v>64</v>
      </c>
      <c r="AB31" s="5" t="str">
        <f t="shared" si="17"/>
        <v>NEEDS IMPROVEMENT</v>
      </c>
      <c r="AC31" s="5" t="str">
        <f t="shared" si="18"/>
        <v>needs improvement</v>
      </c>
      <c r="AD31" s="5" t="str">
        <f t="shared" si="19"/>
        <v>Needs Improvement</v>
      </c>
      <c r="AF31" s="6"/>
      <c r="AI31" s="16"/>
    </row>
    <row r="32" ht="14.25" customHeight="1" spans="1:35">
      <c r="A32" s="8" t="s">
        <v>213</v>
      </c>
      <c r="B32" s="8" t="s">
        <v>214</v>
      </c>
      <c r="C32" s="9">
        <f t="shared" si="0"/>
        <v>13</v>
      </c>
      <c r="D32" s="8" t="s">
        <v>44</v>
      </c>
      <c r="E32" s="8" t="str">
        <f t="shared" si="1"/>
        <v>Manish Chopra(E1012) - Marketing</v>
      </c>
      <c r="F32" s="9" t="str">
        <f t="shared" si="2"/>
        <v>Manish Chopra(E1012) -</v>
      </c>
      <c r="G32" s="9" t="str">
        <f t="shared" si="3"/>
        <v>Marketing</v>
      </c>
      <c r="H32" s="9">
        <f t="shared" si="4"/>
        <v>22</v>
      </c>
      <c r="I32" s="9">
        <f t="shared" si="5"/>
        <v>10</v>
      </c>
      <c r="J32" s="8" t="s">
        <v>172</v>
      </c>
      <c r="K32" s="9" t="str">
        <f t="shared" si="6"/>
        <v>Hyder@bad</v>
      </c>
      <c r="L32" s="8" t="s">
        <v>102</v>
      </c>
      <c r="M32" s="8" t="str">
        <f t="shared" si="7"/>
        <v>Saturday</v>
      </c>
      <c r="N32" s="8" t="str">
        <f t="shared" si="8"/>
        <v>Sat</v>
      </c>
      <c r="O32" s="8" t="str">
        <f t="shared" si="9"/>
        <v>day</v>
      </c>
      <c r="P32" s="8">
        <f t="shared" si="10"/>
        <v>3</v>
      </c>
      <c r="Q32" s="8">
        <f t="shared" si="11"/>
        <v>2022</v>
      </c>
      <c r="R32" s="8" t="s">
        <v>215</v>
      </c>
      <c r="S32" s="8">
        <f t="shared" si="12"/>
        <v>8</v>
      </c>
      <c r="T32" s="8">
        <f t="shared" si="13"/>
        <v>32</v>
      </c>
      <c r="U32" s="8">
        <f t="shared" si="14"/>
        <v>31</v>
      </c>
      <c r="V32" s="8">
        <v>34044</v>
      </c>
      <c r="W32" s="8">
        <v>45957</v>
      </c>
      <c r="X32" s="9" t="str">
        <f t="shared" si="15"/>
        <v>Low Target</v>
      </c>
      <c r="Y32" s="9" t="str">
        <f t="shared" si="16"/>
        <v>Lower Target</v>
      </c>
      <c r="Z32" s="9" t="str" cm="1">
        <f t="array" ref="Z32">_xlfn.IFS(W32&lt;60000,"LOWERTarget",W32&lt;80000,"Medium Target",W32,"Highe Target")</f>
        <v>LOWERTarget</v>
      </c>
      <c r="AA32" s="8" t="s">
        <v>185</v>
      </c>
      <c r="AB32" s="5" t="str">
        <f t="shared" si="17"/>
        <v>   POSITIVE ATTITUDE   </v>
      </c>
      <c r="AC32" s="5" t="str">
        <f t="shared" si="18"/>
        <v>   positive attitude   </v>
      </c>
      <c r="AD32" s="5" t="str">
        <f t="shared" si="19"/>
        <v>   Positive Attitude   </v>
      </c>
      <c r="AF32" s="6"/>
      <c r="AI32" s="15" t="s">
        <v>22</v>
      </c>
    </row>
    <row r="33" ht="14.25" customHeight="1" spans="1:35">
      <c r="A33" s="8" t="s">
        <v>216</v>
      </c>
      <c r="B33" s="8" t="s">
        <v>217</v>
      </c>
      <c r="C33" s="9">
        <f t="shared" si="0"/>
        <v>12</v>
      </c>
      <c r="D33" s="8" t="s">
        <v>44</v>
      </c>
      <c r="E33" s="8" t="str">
        <f t="shared" si="1"/>
        <v>Arjun Mishra(E1023) - Marketing</v>
      </c>
      <c r="F33" s="9" t="str">
        <f t="shared" si="2"/>
        <v>Arjun Mishra(E1023) -</v>
      </c>
      <c r="G33" s="9" t="str">
        <f t="shared" si="3"/>
        <v>Marketing</v>
      </c>
      <c r="H33" s="9">
        <f t="shared" si="4"/>
        <v>21</v>
      </c>
      <c r="I33" s="9">
        <f t="shared" si="5"/>
        <v>10</v>
      </c>
      <c r="J33" s="8" t="s">
        <v>45</v>
      </c>
      <c r="K33" s="9" t="str">
        <f t="shared" si="6"/>
        <v>B@ngalore</v>
      </c>
      <c r="L33" s="8" t="s">
        <v>218</v>
      </c>
      <c r="M33" s="8" t="str">
        <f t="shared" si="7"/>
        <v>Sunday</v>
      </c>
      <c r="N33" s="8" t="str">
        <f t="shared" si="8"/>
        <v>Sun</v>
      </c>
      <c r="O33" s="8" t="str">
        <f t="shared" si="9"/>
        <v>day</v>
      </c>
      <c r="P33" s="8">
        <f t="shared" si="10"/>
        <v>8</v>
      </c>
      <c r="Q33" s="8">
        <f t="shared" si="11"/>
        <v>2023</v>
      </c>
      <c r="R33" s="8" t="s">
        <v>219</v>
      </c>
      <c r="S33" s="8">
        <f t="shared" si="12"/>
        <v>9</v>
      </c>
      <c r="T33" s="8">
        <f t="shared" si="13"/>
        <v>12</v>
      </c>
      <c r="U33" s="8">
        <f t="shared" si="14"/>
        <v>6</v>
      </c>
      <c r="V33" s="8">
        <v>59601</v>
      </c>
      <c r="W33" s="8">
        <v>46352</v>
      </c>
      <c r="X33" s="9" t="str">
        <f t="shared" si="15"/>
        <v>Low Target</v>
      </c>
      <c r="Y33" s="9" t="str">
        <f t="shared" si="16"/>
        <v>Lower Target</v>
      </c>
      <c r="Z33" s="9" t="str" cm="1">
        <f t="array" ref="Z33">_xlfn.IFS(W33&lt;60000,"LOWERTarget",W33&lt;80000,"Medium Target",W33,"Highe Target")</f>
        <v>LOWERTarget</v>
      </c>
      <c r="AA33" s="8" t="s">
        <v>220</v>
      </c>
      <c r="AB33" s="5" t="str">
        <f t="shared" si="17"/>
        <v>   CREATIVE IDEAS   </v>
      </c>
      <c r="AC33" s="5" t="str">
        <f t="shared" si="18"/>
        <v>   creative ideas   </v>
      </c>
      <c r="AD33" s="5" t="str">
        <f t="shared" si="19"/>
        <v>   Creative Ideas   </v>
      </c>
      <c r="AF33" s="6"/>
      <c r="AI33" s="16">
        <f>SUM(W2:W301)</f>
        <v>21015519</v>
      </c>
    </row>
    <row r="34" ht="14.25" customHeight="1" spans="1:35">
      <c r="A34" s="8" t="s">
        <v>221</v>
      </c>
      <c r="B34" s="8" t="s">
        <v>222</v>
      </c>
      <c r="C34" s="9">
        <f t="shared" si="0"/>
        <v>11</v>
      </c>
      <c r="D34" s="8" t="s">
        <v>44</v>
      </c>
      <c r="E34" s="8" t="str">
        <f t="shared" si="1"/>
        <v>Anjali Iyer(E1300) - Marketing</v>
      </c>
      <c r="F34" s="9" t="str">
        <f t="shared" si="2"/>
        <v>Anjali Iyer(E1300) -</v>
      </c>
      <c r="G34" s="9" t="str">
        <f t="shared" si="3"/>
        <v>Marketing</v>
      </c>
      <c r="H34" s="9">
        <f t="shared" si="4"/>
        <v>20</v>
      </c>
      <c r="I34" s="9">
        <f t="shared" si="5"/>
        <v>10</v>
      </c>
      <c r="J34" s="8" t="s">
        <v>45</v>
      </c>
      <c r="K34" s="9" t="str">
        <f t="shared" si="6"/>
        <v>B@ngalore</v>
      </c>
      <c r="L34" s="8" t="s">
        <v>223</v>
      </c>
      <c r="M34" s="8" t="str">
        <f t="shared" si="7"/>
        <v>Monday</v>
      </c>
      <c r="N34" s="8" t="str">
        <f t="shared" si="8"/>
        <v>Mon</v>
      </c>
      <c r="O34" s="8" t="str">
        <f t="shared" si="9"/>
        <v>day</v>
      </c>
      <c r="P34" s="8">
        <f t="shared" si="10"/>
        <v>12</v>
      </c>
      <c r="Q34" s="8">
        <f t="shared" si="11"/>
        <v>2023</v>
      </c>
      <c r="R34" s="8" t="s">
        <v>224</v>
      </c>
      <c r="S34" s="8">
        <f t="shared" si="12"/>
        <v>9</v>
      </c>
      <c r="T34" s="8">
        <f t="shared" si="13"/>
        <v>22</v>
      </c>
      <c r="U34" s="8">
        <f t="shared" si="14"/>
        <v>30</v>
      </c>
      <c r="V34" s="8">
        <v>60112</v>
      </c>
      <c r="W34" s="8">
        <v>46397</v>
      </c>
      <c r="X34" s="9" t="str">
        <f t="shared" si="15"/>
        <v>Low Target</v>
      </c>
      <c r="Y34" s="9" t="str">
        <f t="shared" si="16"/>
        <v>Lower Target</v>
      </c>
      <c r="Z34" s="9" t="str" cm="1">
        <f t="array" ref="Z34">_xlfn.IFS(W34&lt;60000,"LOWERTarget",W34&lt;80000,"Medium Target",W34,"Highe Target")</f>
        <v>LOWERTarget</v>
      </c>
      <c r="AA34" s="8" t="s">
        <v>96</v>
      </c>
      <c r="AB34" s="5" t="str">
        <f t="shared" si="17"/>
        <v>FAST DELIVERY</v>
      </c>
      <c r="AC34" s="5" t="str">
        <f t="shared" si="18"/>
        <v>fast delivery</v>
      </c>
      <c r="AD34" s="5" t="str">
        <f t="shared" si="19"/>
        <v>Fast Delivery</v>
      </c>
      <c r="AF34" s="6"/>
      <c r="AI34" s="16"/>
    </row>
    <row r="35" ht="14.25" customHeight="1" spans="1:35">
      <c r="A35" s="8" t="s">
        <v>225</v>
      </c>
      <c r="B35" s="8" t="s">
        <v>226</v>
      </c>
      <c r="C35" s="9">
        <f t="shared" si="0"/>
        <v>11</v>
      </c>
      <c r="D35" s="8" t="s">
        <v>60</v>
      </c>
      <c r="E35" s="8" t="str">
        <f t="shared" si="1"/>
        <v>Priya Reddy(E1127) - HR</v>
      </c>
      <c r="F35" s="9" t="str">
        <f t="shared" si="2"/>
        <v>Priya Reddy(E1127) -</v>
      </c>
      <c r="G35" s="9" t="str">
        <f t="shared" si="3"/>
        <v>HR</v>
      </c>
      <c r="H35" s="9">
        <f t="shared" si="4"/>
        <v>20</v>
      </c>
      <c r="I35" s="9">
        <f t="shared" si="5"/>
        <v>3</v>
      </c>
      <c r="J35" s="8" t="s">
        <v>36</v>
      </c>
      <c r="K35" s="9" t="str">
        <f t="shared" si="6"/>
        <v>Ahmed@bad</v>
      </c>
      <c r="L35" s="8" t="s">
        <v>227</v>
      </c>
      <c r="M35" s="8" t="str">
        <f t="shared" si="7"/>
        <v>Friday</v>
      </c>
      <c r="N35" s="8" t="str">
        <f t="shared" si="8"/>
        <v>Fri</v>
      </c>
      <c r="O35" s="8" t="str">
        <f t="shared" si="9"/>
        <v>day</v>
      </c>
      <c r="P35" s="8">
        <f t="shared" si="10"/>
        <v>6</v>
      </c>
      <c r="Q35" s="8">
        <f t="shared" si="11"/>
        <v>2023</v>
      </c>
      <c r="R35" s="8" t="s">
        <v>228</v>
      </c>
      <c r="S35" s="8">
        <f t="shared" si="12"/>
        <v>8</v>
      </c>
      <c r="T35" s="8">
        <f t="shared" si="13"/>
        <v>54</v>
      </c>
      <c r="U35" s="8">
        <f t="shared" si="14"/>
        <v>23</v>
      </c>
      <c r="V35" s="8">
        <v>55584</v>
      </c>
      <c r="W35" s="8">
        <v>46511</v>
      </c>
      <c r="X35" s="9" t="str">
        <f t="shared" si="15"/>
        <v>Low Target</v>
      </c>
      <c r="Y35" s="9" t="str">
        <f t="shared" si="16"/>
        <v>Lower Target</v>
      </c>
      <c r="Z35" s="9" t="str" cm="1">
        <f t="array" ref="Z35">_xlfn.IFS(W35&lt;60000,"LOWERTarget",W35&lt;80000,"Medium Target",W35,"Highe Target")</f>
        <v>LOWERTarget</v>
      </c>
      <c r="AA35" s="8" t="s">
        <v>229</v>
      </c>
      <c r="AB35" s="5" t="str">
        <f t="shared" si="17"/>
        <v>STRONG PRESENTATION</v>
      </c>
      <c r="AC35" s="5" t="str">
        <f t="shared" si="18"/>
        <v>strong presentation</v>
      </c>
      <c r="AD35" s="5" t="str">
        <f t="shared" si="19"/>
        <v>Strong Presentation</v>
      </c>
      <c r="AF35" s="6"/>
      <c r="AI35" s="17" t="s">
        <v>230</v>
      </c>
    </row>
    <row r="36" ht="14.25" customHeight="1" spans="1:35">
      <c r="A36" s="8" t="s">
        <v>231</v>
      </c>
      <c r="B36" s="8" t="s">
        <v>232</v>
      </c>
      <c r="C36" s="9">
        <f t="shared" si="0"/>
        <v>10</v>
      </c>
      <c r="D36" s="8" t="s">
        <v>93</v>
      </c>
      <c r="E36" s="8" t="str">
        <f t="shared" si="1"/>
        <v>Yash Singh(E1001) - Sales</v>
      </c>
      <c r="F36" s="9" t="str">
        <f t="shared" si="2"/>
        <v>Yash Singh(E1001) -</v>
      </c>
      <c r="G36" s="9" t="str">
        <f t="shared" si="3"/>
        <v>Sales</v>
      </c>
      <c r="H36" s="9">
        <f t="shared" si="4"/>
        <v>19</v>
      </c>
      <c r="I36" s="9">
        <f t="shared" si="5"/>
        <v>6</v>
      </c>
      <c r="J36" s="8" t="s">
        <v>61</v>
      </c>
      <c r="K36" s="9" t="str">
        <f t="shared" si="6"/>
        <v>Chenn@i</v>
      </c>
      <c r="L36" s="8" t="s">
        <v>233</v>
      </c>
      <c r="M36" s="8" t="str">
        <f t="shared" si="7"/>
        <v>Tuesday</v>
      </c>
      <c r="N36" s="8" t="str">
        <f t="shared" si="8"/>
        <v>Tue</v>
      </c>
      <c r="O36" s="8" t="str">
        <f t="shared" si="9"/>
        <v>day</v>
      </c>
      <c r="P36" s="8">
        <f t="shared" si="10"/>
        <v>5</v>
      </c>
      <c r="Q36" s="8">
        <f t="shared" si="11"/>
        <v>2022</v>
      </c>
      <c r="R36" s="8" t="s">
        <v>234</v>
      </c>
      <c r="S36" s="8">
        <f t="shared" si="12"/>
        <v>8</v>
      </c>
      <c r="T36" s="8">
        <f t="shared" si="13"/>
        <v>8</v>
      </c>
      <c r="U36" s="8">
        <f t="shared" si="14"/>
        <v>47</v>
      </c>
      <c r="V36" s="8">
        <v>37414</v>
      </c>
      <c r="W36" s="8">
        <v>46717</v>
      </c>
      <c r="X36" s="9" t="str">
        <f t="shared" si="15"/>
        <v>Low Target</v>
      </c>
      <c r="Y36" s="9" t="str">
        <f t="shared" si="16"/>
        <v>Lower Target</v>
      </c>
      <c r="Z36" s="9" t="str" cm="1">
        <f t="array" ref="Z36">_xlfn.IFS(W36&lt;60000,"LOWERTarget",W36&lt;80000,"Medium Target",W36,"Highe Target")</f>
        <v>LOWERTarget</v>
      </c>
      <c r="AA36" s="8" t="s">
        <v>79</v>
      </c>
      <c r="AB36" s="5" t="str">
        <f t="shared" si="17"/>
        <v>EXCELLENT LEADERSHIP</v>
      </c>
      <c r="AC36" s="5" t="str">
        <f t="shared" si="18"/>
        <v>excellent leadership</v>
      </c>
      <c r="AD36" s="5" t="str">
        <f t="shared" si="19"/>
        <v>Excellent Leadership</v>
      </c>
      <c r="AF36" s="6"/>
      <c r="AI36" s="16">
        <v>15060705</v>
      </c>
    </row>
    <row r="37" ht="14.25" customHeight="1" spans="1:35">
      <c r="A37" s="8" t="s">
        <v>235</v>
      </c>
      <c r="B37" s="8" t="s">
        <v>236</v>
      </c>
      <c r="C37" s="9">
        <f t="shared" si="0"/>
        <v>12</v>
      </c>
      <c r="D37" s="8" t="s">
        <v>35</v>
      </c>
      <c r="E37" s="8" t="str">
        <f t="shared" si="1"/>
        <v>Kavita Joshi(E1234) - Finance</v>
      </c>
      <c r="F37" s="9" t="str">
        <f t="shared" si="2"/>
        <v>Kavita Joshi(E1234) -</v>
      </c>
      <c r="G37" s="9" t="str">
        <f t="shared" si="3"/>
        <v>Finance</v>
      </c>
      <c r="H37" s="9">
        <f t="shared" si="4"/>
        <v>21</v>
      </c>
      <c r="I37" s="9">
        <f t="shared" si="5"/>
        <v>8</v>
      </c>
      <c r="J37" s="8" t="s">
        <v>153</v>
      </c>
      <c r="K37" s="9" t="str">
        <f t="shared" si="6"/>
        <v>Mumb@i</v>
      </c>
      <c r="L37" s="8" t="s">
        <v>237</v>
      </c>
      <c r="M37" s="8" t="str">
        <f t="shared" si="7"/>
        <v>Tuesday</v>
      </c>
      <c r="N37" s="8" t="str">
        <f t="shared" si="8"/>
        <v>Tue</v>
      </c>
      <c r="O37" s="8" t="str">
        <f t="shared" si="9"/>
        <v>day</v>
      </c>
      <c r="P37" s="8">
        <f t="shared" si="10"/>
        <v>1</v>
      </c>
      <c r="Q37" s="8">
        <f t="shared" si="11"/>
        <v>2021</v>
      </c>
      <c r="R37" s="8" t="s">
        <v>238</v>
      </c>
      <c r="S37" s="8">
        <f t="shared" si="12"/>
        <v>9</v>
      </c>
      <c r="T37" s="8">
        <f t="shared" si="13"/>
        <v>36</v>
      </c>
      <c r="U37" s="8">
        <f t="shared" si="14"/>
        <v>38</v>
      </c>
      <c r="V37" s="8">
        <v>53989</v>
      </c>
      <c r="W37" s="8">
        <v>47032</v>
      </c>
      <c r="X37" s="9" t="str">
        <f t="shared" si="15"/>
        <v>Low Target</v>
      </c>
      <c r="Y37" s="9" t="str">
        <f t="shared" si="16"/>
        <v>Lower Target</v>
      </c>
      <c r="Z37" s="9" t="str" cm="1">
        <f t="array" ref="Z37">_xlfn.IFS(W37&lt;60000,"LOWERTarget",W37&lt;80000,"Medium Target",W37,"Highe Target")</f>
        <v>LOWERTarget</v>
      </c>
      <c r="AA37" s="8" t="s">
        <v>64</v>
      </c>
      <c r="AB37" s="5" t="str">
        <f t="shared" si="17"/>
        <v>NEEDS IMPROVEMENT</v>
      </c>
      <c r="AC37" s="5" t="str">
        <f t="shared" si="18"/>
        <v>needs improvement</v>
      </c>
      <c r="AD37" s="5" t="str">
        <f t="shared" si="19"/>
        <v>Needs Improvement</v>
      </c>
      <c r="AF37" s="6"/>
    </row>
    <row r="38" ht="14.25" customHeight="1" spans="1:35">
      <c r="A38" s="8" t="s">
        <v>239</v>
      </c>
      <c r="B38" s="8" t="s">
        <v>240</v>
      </c>
      <c r="C38" s="9">
        <f t="shared" si="0"/>
        <v>10</v>
      </c>
      <c r="D38" s="8" t="s">
        <v>44</v>
      </c>
      <c r="E38" s="8" t="str">
        <f t="shared" si="1"/>
        <v>Sneha Iyer(E1042) - Marketing</v>
      </c>
      <c r="F38" s="9" t="str">
        <f t="shared" si="2"/>
        <v>Sneha Iyer(E1042) -</v>
      </c>
      <c r="G38" s="9" t="str">
        <f t="shared" si="3"/>
        <v>Marketing</v>
      </c>
      <c r="H38" s="9">
        <f t="shared" si="4"/>
        <v>19</v>
      </c>
      <c r="I38" s="9">
        <f t="shared" si="5"/>
        <v>10</v>
      </c>
      <c r="J38" s="8" t="s">
        <v>45</v>
      </c>
      <c r="K38" s="9" t="str">
        <f t="shared" si="6"/>
        <v>B@ngalore</v>
      </c>
      <c r="L38" s="8" t="s">
        <v>241</v>
      </c>
      <c r="M38" s="8" t="str">
        <f t="shared" si="7"/>
        <v>Friday</v>
      </c>
      <c r="N38" s="8" t="str">
        <f t="shared" si="8"/>
        <v>Fri</v>
      </c>
      <c r="O38" s="8" t="str">
        <f t="shared" si="9"/>
        <v>day</v>
      </c>
      <c r="P38" s="8">
        <f t="shared" si="10"/>
        <v>7</v>
      </c>
      <c r="Q38" s="8">
        <f t="shared" si="11"/>
        <v>2022</v>
      </c>
      <c r="R38" s="8" t="s">
        <v>242</v>
      </c>
      <c r="S38" s="8">
        <f t="shared" si="12"/>
        <v>8</v>
      </c>
      <c r="T38" s="8">
        <f t="shared" si="13"/>
        <v>50</v>
      </c>
      <c r="U38" s="8">
        <f t="shared" si="14"/>
        <v>44</v>
      </c>
      <c r="V38" s="8">
        <v>57154</v>
      </c>
      <c r="W38" s="8">
        <v>47084</v>
      </c>
      <c r="X38" s="9" t="str">
        <f t="shared" si="15"/>
        <v>Low Target</v>
      </c>
      <c r="Y38" s="9" t="str">
        <f t="shared" si="16"/>
        <v>Lower Target</v>
      </c>
      <c r="Z38" s="9" t="str" cm="1">
        <f t="array" ref="Z38">_xlfn.IFS(W38&lt;60000,"LOWERTarget",W38&lt;80000,"Medium Target",W38,"Highe Target")</f>
        <v>LOWERTarget</v>
      </c>
      <c r="AA38" s="8" t="s">
        <v>243</v>
      </c>
      <c r="AB38" s="5" t="str">
        <f t="shared" si="17"/>
        <v>POSITIVE ATTITUDE</v>
      </c>
      <c r="AC38" s="5" t="str">
        <f t="shared" si="18"/>
        <v>positive attitude</v>
      </c>
      <c r="AD38" s="5" t="str">
        <f t="shared" si="19"/>
        <v>Positive Attitude</v>
      </c>
      <c r="AF38" s="6"/>
    </row>
    <row r="39" ht="14.25" customHeight="1" spans="1:35">
      <c r="A39" s="8" t="s">
        <v>244</v>
      </c>
      <c r="B39" s="8" t="s">
        <v>245</v>
      </c>
      <c r="C39" s="9">
        <f t="shared" si="0"/>
        <v>12</v>
      </c>
      <c r="D39" s="8" t="s">
        <v>35</v>
      </c>
      <c r="E39" s="8" t="str">
        <f t="shared" si="1"/>
        <v>Arjun Saxena(E1195) - Finance</v>
      </c>
      <c r="F39" s="9" t="str">
        <f t="shared" si="2"/>
        <v>Arjun Saxena(E1195) -</v>
      </c>
      <c r="G39" s="9" t="str">
        <f t="shared" si="3"/>
        <v>Finance</v>
      </c>
      <c r="H39" s="9">
        <f t="shared" si="4"/>
        <v>21</v>
      </c>
      <c r="I39" s="9">
        <f t="shared" si="5"/>
        <v>8</v>
      </c>
      <c r="J39" s="8" t="s">
        <v>182</v>
      </c>
      <c r="K39" s="9" t="str">
        <f t="shared" si="6"/>
        <v>Kolk@ta</v>
      </c>
      <c r="L39" s="8" t="s">
        <v>246</v>
      </c>
      <c r="M39" s="8" t="str">
        <f t="shared" si="7"/>
        <v>Thursday</v>
      </c>
      <c r="N39" s="8" t="str">
        <f t="shared" si="8"/>
        <v>Thu</v>
      </c>
      <c r="O39" s="8" t="str">
        <f t="shared" si="9"/>
        <v>day</v>
      </c>
      <c r="P39" s="8">
        <f t="shared" si="10"/>
        <v>10</v>
      </c>
      <c r="Q39" s="8">
        <f t="shared" si="11"/>
        <v>2022</v>
      </c>
      <c r="R39" s="8" t="s">
        <v>247</v>
      </c>
      <c r="S39" s="8">
        <f t="shared" si="12"/>
        <v>10</v>
      </c>
      <c r="T39" s="8">
        <f t="shared" si="13"/>
        <v>17</v>
      </c>
      <c r="U39" s="8">
        <f t="shared" si="14"/>
        <v>15</v>
      </c>
      <c r="V39" s="8">
        <v>34132</v>
      </c>
      <c r="W39" s="8">
        <v>47434</v>
      </c>
      <c r="X39" s="9" t="str">
        <f t="shared" si="15"/>
        <v>Low Target</v>
      </c>
      <c r="Y39" s="9" t="str">
        <f t="shared" si="16"/>
        <v>Lower Target</v>
      </c>
      <c r="Z39" s="9" t="str" cm="1">
        <f t="array" ref="Z39">_xlfn.IFS(W39&lt;60000,"LOWERTarget",W39&lt;80000,"Medium Target",W39,"Highe Target")</f>
        <v>LOWERTarget</v>
      </c>
      <c r="AA39" s="8" t="s">
        <v>96</v>
      </c>
      <c r="AB39" s="5" t="str">
        <f t="shared" si="17"/>
        <v>FAST DELIVERY</v>
      </c>
      <c r="AC39" s="5" t="str">
        <f t="shared" si="18"/>
        <v>fast delivery</v>
      </c>
      <c r="AD39" s="5" t="str">
        <f t="shared" si="19"/>
        <v>Fast Delivery</v>
      </c>
      <c r="AF39" s="6"/>
      <c r="AI39" s="18" t="s">
        <v>248</v>
      </c>
    </row>
    <row r="40" ht="14.25" customHeight="1" spans="1:35">
      <c r="A40" s="8" t="s">
        <v>249</v>
      </c>
      <c r="B40" s="8" t="s">
        <v>250</v>
      </c>
      <c r="C40" s="9">
        <f t="shared" si="0"/>
        <v>15</v>
      </c>
      <c r="D40" s="8" t="s">
        <v>35</v>
      </c>
      <c r="E40" s="8" t="str">
        <f t="shared" si="1"/>
        <v>Kavita Malhotra(E1083) - Finance</v>
      </c>
      <c r="F40" s="9" t="str">
        <f t="shared" si="2"/>
        <v>Kavita Malhotra(E1083) -</v>
      </c>
      <c r="G40" s="9" t="str">
        <f t="shared" si="3"/>
        <v>Finance</v>
      </c>
      <c r="H40" s="9">
        <f t="shared" si="4"/>
        <v>24</v>
      </c>
      <c r="I40" s="9">
        <f t="shared" si="5"/>
        <v>8</v>
      </c>
      <c r="J40" s="8" t="s">
        <v>53</v>
      </c>
      <c r="K40" s="9" t="str">
        <f t="shared" si="6"/>
        <v>Delhi</v>
      </c>
      <c r="L40" s="8" t="s">
        <v>251</v>
      </c>
      <c r="M40" s="8" t="str">
        <f t="shared" si="7"/>
        <v>Friday</v>
      </c>
      <c r="N40" s="8" t="str">
        <f t="shared" si="8"/>
        <v>Fri</v>
      </c>
      <c r="O40" s="8" t="str">
        <f t="shared" si="9"/>
        <v>day</v>
      </c>
      <c r="P40" s="8">
        <f t="shared" si="10"/>
        <v>4</v>
      </c>
      <c r="Q40" s="8">
        <f t="shared" si="11"/>
        <v>2021</v>
      </c>
      <c r="R40" s="8" t="s">
        <v>252</v>
      </c>
      <c r="S40" s="8">
        <f t="shared" si="12"/>
        <v>9</v>
      </c>
      <c r="T40" s="8">
        <f t="shared" si="13"/>
        <v>55</v>
      </c>
      <c r="U40" s="8">
        <f t="shared" si="14"/>
        <v>30</v>
      </c>
      <c r="V40" s="8">
        <v>36758</v>
      </c>
      <c r="W40" s="8">
        <v>47476</v>
      </c>
      <c r="X40" s="9" t="str">
        <f t="shared" si="15"/>
        <v>Low Target</v>
      </c>
      <c r="Y40" s="9" t="str">
        <f t="shared" si="16"/>
        <v>Lower Target</v>
      </c>
      <c r="Z40" s="9" t="str" cm="1">
        <f t="array" ref="Z40">_xlfn.IFS(W40&lt;60000,"LOWERTarget",W40&lt;80000,"Medium Target",W40,"Highe Target")</f>
        <v>LOWERTarget</v>
      </c>
      <c r="AA40" s="8" t="s">
        <v>39</v>
      </c>
      <c r="AB40" s="5" t="str">
        <f t="shared" si="17"/>
        <v>DETAILED ANALYSIS</v>
      </c>
      <c r="AC40" s="5" t="str">
        <f t="shared" si="18"/>
        <v>detailed analysis</v>
      </c>
      <c r="AD40" s="5" t="str">
        <f t="shared" si="19"/>
        <v>Detailed Analysis</v>
      </c>
      <c r="AF40" s="6"/>
    </row>
    <row r="41" ht="14.25" customHeight="1" spans="1:35">
      <c r="A41" s="8" t="s">
        <v>253</v>
      </c>
      <c r="B41" s="8" t="s">
        <v>254</v>
      </c>
      <c r="C41" s="9">
        <f t="shared" si="0"/>
        <v>12</v>
      </c>
      <c r="D41" s="8" t="s">
        <v>44</v>
      </c>
      <c r="E41" s="8" t="str">
        <f t="shared" si="1"/>
        <v>Meera Sharma(E1299) - Marketing</v>
      </c>
      <c r="F41" s="9" t="str">
        <f t="shared" si="2"/>
        <v>Meera Sharma(E1299) -</v>
      </c>
      <c r="G41" s="9" t="str">
        <f t="shared" si="3"/>
        <v>Marketing</v>
      </c>
      <c r="H41" s="9">
        <f t="shared" si="4"/>
        <v>21</v>
      </c>
      <c r="I41" s="9">
        <f t="shared" si="5"/>
        <v>10</v>
      </c>
      <c r="J41" s="8" t="s">
        <v>76</v>
      </c>
      <c r="K41" s="9" t="str">
        <f t="shared" si="6"/>
        <v>Pune</v>
      </c>
      <c r="L41" s="8" t="s">
        <v>255</v>
      </c>
      <c r="M41" s="8" t="str">
        <f t="shared" si="7"/>
        <v>Monday</v>
      </c>
      <c r="N41" s="8" t="str">
        <f t="shared" si="8"/>
        <v>Mon</v>
      </c>
      <c r="O41" s="8" t="str">
        <f t="shared" si="9"/>
        <v>day</v>
      </c>
      <c r="P41" s="8">
        <f t="shared" si="10"/>
        <v>8</v>
      </c>
      <c r="Q41" s="8">
        <f t="shared" si="11"/>
        <v>2022</v>
      </c>
      <c r="R41" s="8" t="s">
        <v>256</v>
      </c>
      <c r="S41" s="8">
        <f t="shared" si="12"/>
        <v>9</v>
      </c>
      <c r="T41" s="8">
        <f t="shared" si="13"/>
        <v>58</v>
      </c>
      <c r="U41" s="8">
        <f t="shared" si="14"/>
        <v>5</v>
      </c>
      <c r="V41" s="8">
        <v>41890</v>
      </c>
      <c r="W41" s="8">
        <v>47606</v>
      </c>
      <c r="X41" s="9" t="str">
        <f t="shared" si="15"/>
        <v>Low Target</v>
      </c>
      <c r="Y41" s="9" t="str">
        <f t="shared" si="16"/>
        <v>Lower Target</v>
      </c>
      <c r="Z41" s="9" t="str" cm="1">
        <f t="array" ref="Z41">_xlfn.IFS(W41&lt;60000,"LOWERTarget",W41&lt;80000,"Medium Target",W41,"Highe Target")</f>
        <v>LOWERTarget</v>
      </c>
      <c r="AA41" s="8" t="s">
        <v>48</v>
      </c>
      <c r="AB41" s="5" t="str">
        <f t="shared" si="17"/>
        <v>CREATIVE IDEAS</v>
      </c>
      <c r="AC41" s="5" t="str">
        <f t="shared" si="18"/>
        <v>creative ideas</v>
      </c>
      <c r="AD41" s="5" t="str">
        <f t="shared" si="19"/>
        <v>Creative Ideas</v>
      </c>
      <c r="AF41" s="6"/>
    </row>
    <row r="42" ht="14.25" customHeight="1" spans="1:35">
      <c r="A42" s="8" t="s">
        <v>257</v>
      </c>
      <c r="B42" s="8" t="s">
        <v>258</v>
      </c>
      <c r="C42" s="9">
        <f t="shared" si="0"/>
        <v>11</v>
      </c>
      <c r="D42" s="8" t="s">
        <v>93</v>
      </c>
      <c r="E42" s="8" t="str">
        <f t="shared" si="1"/>
        <v>Shreya Nair(E1124) - Sales</v>
      </c>
      <c r="F42" s="9" t="str">
        <f t="shared" si="2"/>
        <v>Shreya Nair(E1124) -</v>
      </c>
      <c r="G42" s="9" t="str">
        <f t="shared" si="3"/>
        <v>Sales</v>
      </c>
      <c r="H42" s="9">
        <f t="shared" si="4"/>
        <v>20</v>
      </c>
      <c r="I42" s="9">
        <f t="shared" si="5"/>
        <v>6</v>
      </c>
      <c r="J42" s="8" t="s">
        <v>36</v>
      </c>
      <c r="K42" s="9" t="str">
        <f t="shared" si="6"/>
        <v>Ahmed@bad</v>
      </c>
      <c r="L42" s="8" t="s">
        <v>259</v>
      </c>
      <c r="M42" s="8" t="str">
        <f t="shared" si="7"/>
        <v>Friday</v>
      </c>
      <c r="N42" s="8" t="str">
        <f t="shared" si="8"/>
        <v>Fri</v>
      </c>
      <c r="O42" s="8" t="str">
        <f t="shared" si="9"/>
        <v>day</v>
      </c>
      <c r="P42" s="8">
        <f t="shared" si="10"/>
        <v>12</v>
      </c>
      <c r="Q42" s="8">
        <f t="shared" si="11"/>
        <v>2024</v>
      </c>
      <c r="R42" s="8" t="s">
        <v>260</v>
      </c>
      <c r="S42" s="8">
        <f t="shared" si="12"/>
        <v>9</v>
      </c>
      <c r="T42" s="8">
        <f t="shared" si="13"/>
        <v>41</v>
      </c>
      <c r="U42" s="8">
        <f t="shared" si="14"/>
        <v>26</v>
      </c>
      <c r="V42" s="8">
        <v>41806</v>
      </c>
      <c r="W42" s="8">
        <v>47646</v>
      </c>
      <c r="X42" s="9" t="str">
        <f t="shared" si="15"/>
        <v>Low Target</v>
      </c>
      <c r="Y42" s="9" t="str">
        <f t="shared" si="16"/>
        <v>Lower Target</v>
      </c>
      <c r="Z42" s="9" t="str" cm="1">
        <f t="array" ref="Z42">_xlfn.IFS(W42&lt;60000,"LOWERTarget",W42&lt;80000,"Medium Target",W42,"Highe Target")</f>
        <v>LOWERTarget</v>
      </c>
      <c r="AA42" s="8" t="s">
        <v>87</v>
      </c>
      <c r="AB42" s="5" t="str">
        <f t="shared" si="17"/>
        <v>EXCELLENT SERVICE</v>
      </c>
      <c r="AC42" s="5" t="str">
        <f t="shared" si="18"/>
        <v>excellent service</v>
      </c>
      <c r="AD42" s="5" t="str">
        <f t="shared" si="19"/>
        <v>Excellent Service</v>
      </c>
      <c r="AF42" s="6"/>
    </row>
    <row r="43" ht="14.25" customHeight="1" spans="1:35">
      <c r="A43" s="8" t="s">
        <v>261</v>
      </c>
      <c r="B43" s="8" t="s">
        <v>262</v>
      </c>
      <c r="C43" s="9">
        <f t="shared" si="0"/>
        <v>11</v>
      </c>
      <c r="D43" s="8" t="s">
        <v>35</v>
      </c>
      <c r="E43" s="8" t="str">
        <f t="shared" si="1"/>
        <v>Priya Mehta(E1187) - Finance</v>
      </c>
      <c r="F43" s="9" t="str">
        <f t="shared" si="2"/>
        <v>Priya Mehta(E1187) -</v>
      </c>
      <c r="G43" s="9" t="str">
        <f t="shared" si="3"/>
        <v>Finance</v>
      </c>
      <c r="H43" s="9">
        <f t="shared" si="4"/>
        <v>20</v>
      </c>
      <c r="I43" s="9">
        <f t="shared" si="5"/>
        <v>8</v>
      </c>
      <c r="J43" s="8" t="s">
        <v>172</v>
      </c>
      <c r="K43" s="9" t="str">
        <f t="shared" si="6"/>
        <v>Hyder@bad</v>
      </c>
      <c r="L43" s="8" t="s">
        <v>263</v>
      </c>
      <c r="M43" s="8" t="str">
        <f t="shared" si="7"/>
        <v>Thursday</v>
      </c>
      <c r="N43" s="8" t="str">
        <f t="shared" si="8"/>
        <v>Thu</v>
      </c>
      <c r="O43" s="8" t="str">
        <f t="shared" si="9"/>
        <v>day</v>
      </c>
      <c r="P43" s="8">
        <f t="shared" si="10"/>
        <v>4</v>
      </c>
      <c r="Q43" s="8">
        <f t="shared" si="11"/>
        <v>2021</v>
      </c>
      <c r="R43" s="8" t="s">
        <v>264</v>
      </c>
      <c r="S43" s="8">
        <f t="shared" si="12"/>
        <v>10</v>
      </c>
      <c r="T43" s="8">
        <f t="shared" si="13"/>
        <v>21</v>
      </c>
      <c r="U43" s="8">
        <f t="shared" si="14"/>
        <v>17</v>
      </c>
      <c r="V43" s="8">
        <v>57275</v>
      </c>
      <c r="W43" s="8">
        <v>48157</v>
      </c>
      <c r="X43" s="9" t="str">
        <f t="shared" si="15"/>
        <v>Low Target</v>
      </c>
      <c r="Y43" s="9" t="str">
        <f t="shared" si="16"/>
        <v>Lower Target</v>
      </c>
      <c r="Z43" s="9" t="str" cm="1">
        <f t="array" ref="Z43">_xlfn.IFS(W43&lt;60000,"LOWERTarget",W43&lt;80000,"Medium Target",W43,"Highe Target")</f>
        <v>LOWERTarget</v>
      </c>
      <c r="AA43" s="8" t="s">
        <v>39</v>
      </c>
      <c r="AB43" s="5" t="str">
        <f t="shared" si="17"/>
        <v>DETAILED ANALYSIS</v>
      </c>
      <c r="AC43" s="5" t="str">
        <f t="shared" si="18"/>
        <v>detailed analysis</v>
      </c>
      <c r="AD43" s="5" t="str">
        <f t="shared" si="19"/>
        <v>Detailed Analysis</v>
      </c>
      <c r="AF43" s="6"/>
    </row>
    <row r="44" ht="14.25" customHeight="1" spans="1:35">
      <c r="A44" s="8" t="s">
        <v>265</v>
      </c>
      <c r="B44" s="8" t="s">
        <v>266</v>
      </c>
      <c r="C44" s="9">
        <f t="shared" si="0"/>
        <v>12</v>
      </c>
      <c r="D44" s="8" t="s">
        <v>93</v>
      </c>
      <c r="E44" s="8" t="str">
        <f t="shared" si="1"/>
        <v>Aakash Gupta(E1204) - Sales</v>
      </c>
      <c r="F44" s="9" t="str">
        <f t="shared" si="2"/>
        <v>Aakash Gupta(E1204) -</v>
      </c>
      <c r="G44" s="9" t="str">
        <f t="shared" si="3"/>
        <v>Sales</v>
      </c>
      <c r="H44" s="9">
        <f t="shared" si="4"/>
        <v>21</v>
      </c>
      <c r="I44" s="9">
        <f t="shared" si="5"/>
        <v>6</v>
      </c>
      <c r="J44" s="8" t="s">
        <v>61</v>
      </c>
      <c r="K44" s="9" t="str">
        <f t="shared" si="6"/>
        <v>Chenn@i</v>
      </c>
      <c r="L44" s="8" t="s">
        <v>267</v>
      </c>
      <c r="M44" s="8" t="str">
        <f t="shared" si="7"/>
        <v>Monday</v>
      </c>
      <c r="N44" s="8" t="str">
        <f t="shared" si="8"/>
        <v>Mon</v>
      </c>
      <c r="O44" s="8" t="str">
        <f t="shared" si="9"/>
        <v>day</v>
      </c>
      <c r="P44" s="8">
        <f t="shared" si="10"/>
        <v>2</v>
      </c>
      <c r="Q44" s="8">
        <f t="shared" si="11"/>
        <v>2022</v>
      </c>
      <c r="R44" s="8" t="s">
        <v>268</v>
      </c>
      <c r="S44" s="8">
        <f t="shared" si="12"/>
        <v>10</v>
      </c>
      <c r="T44" s="8">
        <f t="shared" si="13"/>
        <v>35</v>
      </c>
      <c r="U44" s="8">
        <f t="shared" si="14"/>
        <v>17</v>
      </c>
      <c r="V44" s="8">
        <v>53048</v>
      </c>
      <c r="W44" s="8">
        <v>48203</v>
      </c>
      <c r="X44" s="9" t="str">
        <f t="shared" si="15"/>
        <v>Low Target</v>
      </c>
      <c r="Y44" s="9" t="str">
        <f t="shared" si="16"/>
        <v>Lower Target</v>
      </c>
      <c r="Z44" s="9" t="str" cm="1">
        <f t="array" ref="Z44">_xlfn.IFS(W44&lt;60000,"LOWERTarget",W44&lt;80000,"Medium Target",W44,"Highe Target")</f>
        <v>LOWERTarget</v>
      </c>
      <c r="AA44" s="8" t="s">
        <v>79</v>
      </c>
      <c r="AB44" s="5" t="str">
        <f t="shared" si="17"/>
        <v>EXCELLENT LEADERSHIP</v>
      </c>
      <c r="AC44" s="5" t="str">
        <f t="shared" si="18"/>
        <v>excellent leadership</v>
      </c>
      <c r="AD44" s="5" t="str">
        <f t="shared" si="19"/>
        <v>Excellent Leadership</v>
      </c>
      <c r="AF44" s="6"/>
    </row>
    <row r="45" ht="14.25" customHeight="1" spans="1:35">
      <c r="A45" s="8" t="s">
        <v>269</v>
      </c>
      <c r="B45" s="8" t="s">
        <v>270</v>
      </c>
      <c r="C45" s="9">
        <f t="shared" si="0"/>
        <v>11</v>
      </c>
      <c r="D45" s="8" t="s">
        <v>44</v>
      </c>
      <c r="E45" s="8" t="str">
        <f t="shared" si="1"/>
        <v>Priya Gupta(E1125) - Marketing</v>
      </c>
      <c r="F45" s="9" t="str">
        <f t="shared" si="2"/>
        <v>Priya Gupta(E1125) -</v>
      </c>
      <c r="G45" s="9" t="str">
        <f t="shared" si="3"/>
        <v>Marketing</v>
      </c>
      <c r="H45" s="9">
        <f t="shared" si="4"/>
        <v>20</v>
      </c>
      <c r="I45" s="9">
        <f t="shared" si="5"/>
        <v>10</v>
      </c>
      <c r="J45" s="8" t="s">
        <v>76</v>
      </c>
      <c r="K45" s="9" t="str">
        <f t="shared" si="6"/>
        <v>Pune</v>
      </c>
      <c r="L45" s="8" t="s">
        <v>271</v>
      </c>
      <c r="M45" s="8" t="str">
        <f t="shared" si="7"/>
        <v>Monday</v>
      </c>
      <c r="N45" s="8" t="str">
        <f t="shared" si="8"/>
        <v>Mon</v>
      </c>
      <c r="O45" s="8" t="str">
        <f t="shared" si="9"/>
        <v>day</v>
      </c>
      <c r="P45" s="8">
        <f t="shared" si="10"/>
        <v>7</v>
      </c>
      <c r="Q45" s="8">
        <f t="shared" si="11"/>
        <v>2021</v>
      </c>
      <c r="R45" s="8" t="s">
        <v>272</v>
      </c>
      <c r="S45" s="8">
        <f t="shared" si="12"/>
        <v>8</v>
      </c>
      <c r="T45" s="8">
        <f t="shared" si="13"/>
        <v>56</v>
      </c>
      <c r="U45" s="8">
        <f t="shared" si="14"/>
        <v>34</v>
      </c>
      <c r="V45" s="8">
        <v>59360</v>
      </c>
      <c r="W45" s="8">
        <v>48890</v>
      </c>
      <c r="X45" s="9" t="str">
        <f t="shared" si="15"/>
        <v>Low Target</v>
      </c>
      <c r="Y45" s="9" t="str">
        <f t="shared" si="16"/>
        <v>Lower Target</v>
      </c>
      <c r="Z45" s="9" t="str" cm="1">
        <f t="array" ref="Z45">_xlfn.IFS(W45&lt;60000,"LOWERTarget",W45&lt;80000,"Medium Target",W45,"Highe Target")</f>
        <v>LOWERTarget</v>
      </c>
      <c r="AA45" s="8" t="s">
        <v>56</v>
      </c>
      <c r="AB45" s="5" t="str">
        <f t="shared" si="17"/>
        <v>   HELPFUL ATTITUDE   </v>
      </c>
      <c r="AC45" s="5" t="str">
        <f t="shared" si="18"/>
        <v>   helpful attitude   </v>
      </c>
      <c r="AD45" s="5" t="str">
        <f t="shared" si="19"/>
        <v>   Helpful Attitude   </v>
      </c>
      <c r="AF45" s="6"/>
    </row>
    <row r="46" ht="14.25" customHeight="1" spans="1:35">
      <c r="A46" s="8" t="s">
        <v>273</v>
      </c>
      <c r="B46" s="8" t="s">
        <v>274</v>
      </c>
      <c r="C46" s="9">
        <f t="shared" si="0"/>
        <v>12</v>
      </c>
      <c r="D46" s="8" t="s">
        <v>93</v>
      </c>
      <c r="E46" s="8" t="str">
        <f t="shared" si="1"/>
        <v>Madhuri Shah(E1277) - Sales</v>
      </c>
      <c r="F46" s="9" t="str">
        <f t="shared" si="2"/>
        <v>Madhuri Shah(E1277) -</v>
      </c>
      <c r="G46" s="9" t="str">
        <f t="shared" si="3"/>
        <v>Sales</v>
      </c>
      <c r="H46" s="9">
        <f t="shared" si="4"/>
        <v>21</v>
      </c>
      <c r="I46" s="9">
        <f t="shared" si="5"/>
        <v>6</v>
      </c>
      <c r="J46" s="8" t="s">
        <v>53</v>
      </c>
      <c r="K46" s="9" t="str">
        <f t="shared" si="6"/>
        <v>Delhi</v>
      </c>
      <c r="L46" s="8" t="s">
        <v>275</v>
      </c>
      <c r="M46" s="8" t="str">
        <f t="shared" si="7"/>
        <v>Friday</v>
      </c>
      <c r="N46" s="8" t="str">
        <f t="shared" si="8"/>
        <v>Fri</v>
      </c>
      <c r="O46" s="8" t="str">
        <f t="shared" si="9"/>
        <v>day</v>
      </c>
      <c r="P46" s="8">
        <f t="shared" si="10"/>
        <v>10</v>
      </c>
      <c r="Q46" s="8">
        <f t="shared" si="11"/>
        <v>2022</v>
      </c>
      <c r="R46" s="8" t="s">
        <v>276</v>
      </c>
      <c r="S46" s="8">
        <f t="shared" si="12"/>
        <v>8</v>
      </c>
      <c r="T46" s="8">
        <f t="shared" si="13"/>
        <v>13</v>
      </c>
      <c r="U46" s="8">
        <f t="shared" si="14"/>
        <v>37</v>
      </c>
      <c r="V46" s="8">
        <v>60551</v>
      </c>
      <c r="W46" s="8">
        <v>49449</v>
      </c>
      <c r="X46" s="9" t="str">
        <f t="shared" si="15"/>
        <v>Low Target</v>
      </c>
      <c r="Y46" s="9" t="str">
        <f t="shared" si="16"/>
        <v>Lower Target</v>
      </c>
      <c r="Z46" s="9" t="str" cm="1">
        <f t="array" ref="Z46">_xlfn.IFS(W46&lt;60000,"LOWERTarget",W46&lt;80000,"Medium Target",W46,"Highe Target")</f>
        <v>LOWERTarget</v>
      </c>
      <c r="AA46" s="8" t="s">
        <v>71</v>
      </c>
      <c r="AB46" s="5" t="str">
        <f t="shared" si="17"/>
        <v>GREAT SUPPORT</v>
      </c>
      <c r="AC46" s="5" t="str">
        <f t="shared" si="18"/>
        <v>great support</v>
      </c>
      <c r="AD46" s="5" t="str">
        <f t="shared" si="19"/>
        <v>Great Support</v>
      </c>
      <c r="AF46" s="6"/>
    </row>
    <row r="47" ht="14.25" customHeight="1" spans="1:35">
      <c r="A47" s="8" t="s">
        <v>277</v>
      </c>
      <c r="B47" s="8" t="s">
        <v>278</v>
      </c>
      <c r="C47" s="9">
        <f t="shared" si="0"/>
        <v>14</v>
      </c>
      <c r="D47" s="8" t="s">
        <v>44</v>
      </c>
      <c r="E47" s="8" t="str">
        <f t="shared" si="1"/>
        <v>Siddharth Shah(E1101) - Marketing</v>
      </c>
      <c r="F47" s="9" t="str">
        <f t="shared" si="2"/>
        <v>Siddharth Shah(E1101) -</v>
      </c>
      <c r="G47" s="9" t="str">
        <f t="shared" si="3"/>
        <v>Marketing</v>
      </c>
      <c r="H47" s="9">
        <f t="shared" si="4"/>
        <v>23</v>
      </c>
      <c r="I47" s="9">
        <f t="shared" si="5"/>
        <v>10</v>
      </c>
      <c r="J47" s="8" t="s">
        <v>36</v>
      </c>
      <c r="K47" s="9" t="str">
        <f t="shared" si="6"/>
        <v>Ahmed@bad</v>
      </c>
      <c r="L47" s="8" t="s">
        <v>279</v>
      </c>
      <c r="M47" s="8" t="str">
        <f t="shared" si="7"/>
        <v>Saturday</v>
      </c>
      <c r="N47" s="8" t="str">
        <f t="shared" si="8"/>
        <v>Sat</v>
      </c>
      <c r="O47" s="8" t="str">
        <f t="shared" si="9"/>
        <v>day</v>
      </c>
      <c r="P47" s="8">
        <f t="shared" si="10"/>
        <v>8</v>
      </c>
      <c r="Q47" s="8">
        <f t="shared" si="11"/>
        <v>2023</v>
      </c>
      <c r="R47" s="8" t="s">
        <v>280</v>
      </c>
      <c r="S47" s="8">
        <f t="shared" si="12"/>
        <v>8</v>
      </c>
      <c r="T47" s="8">
        <f t="shared" si="13"/>
        <v>29</v>
      </c>
      <c r="U47" s="8">
        <f t="shared" si="14"/>
        <v>35</v>
      </c>
      <c r="V47" s="8">
        <v>59617</v>
      </c>
      <c r="W47" s="8">
        <v>49479</v>
      </c>
      <c r="X47" s="9" t="str">
        <f t="shared" si="15"/>
        <v>Low Target</v>
      </c>
      <c r="Y47" s="9" t="str">
        <f t="shared" si="16"/>
        <v>Lower Target</v>
      </c>
      <c r="Z47" s="9" t="str" cm="1">
        <f t="array" ref="Z47">_xlfn.IFS(W47&lt;60000,"LOWERTarget",W47&lt;80000,"Medium Target",W47,"Highe Target")</f>
        <v>LOWERTarget</v>
      </c>
      <c r="AA47" s="8" t="s">
        <v>126</v>
      </c>
      <c r="AB47" s="5" t="str">
        <f t="shared" si="17"/>
        <v>ACCURATE REPORTS</v>
      </c>
      <c r="AC47" s="5" t="str">
        <f t="shared" si="18"/>
        <v>accurate reports</v>
      </c>
      <c r="AD47" s="5" t="str">
        <f t="shared" si="19"/>
        <v>Accurate Reports</v>
      </c>
      <c r="AF47" s="6"/>
    </row>
    <row r="48" ht="14.25" customHeight="1" spans="1:35">
      <c r="A48" s="8" t="s">
        <v>281</v>
      </c>
      <c r="B48" s="8" t="s">
        <v>282</v>
      </c>
      <c r="C48" s="9">
        <f t="shared" si="0"/>
        <v>11</v>
      </c>
      <c r="D48" s="8" t="s">
        <v>44</v>
      </c>
      <c r="E48" s="8" t="str">
        <f t="shared" si="1"/>
        <v>Nidhi Singh(E1135) - Marketing</v>
      </c>
      <c r="F48" s="9" t="str">
        <f t="shared" si="2"/>
        <v>Nidhi Singh(E1135) -</v>
      </c>
      <c r="G48" s="9" t="str">
        <f t="shared" si="3"/>
        <v>Marketing</v>
      </c>
      <c r="H48" s="9">
        <f t="shared" si="4"/>
        <v>20</v>
      </c>
      <c r="I48" s="9">
        <f t="shared" si="5"/>
        <v>10</v>
      </c>
      <c r="J48" s="8" t="s">
        <v>36</v>
      </c>
      <c r="K48" s="9" t="str">
        <f t="shared" si="6"/>
        <v>Ahmed@bad</v>
      </c>
      <c r="L48" s="8" t="s">
        <v>283</v>
      </c>
      <c r="M48" s="8" t="str">
        <f t="shared" si="7"/>
        <v>Monday</v>
      </c>
      <c r="N48" s="8" t="str">
        <f t="shared" si="8"/>
        <v>Mon</v>
      </c>
      <c r="O48" s="8" t="str">
        <f t="shared" si="9"/>
        <v>day</v>
      </c>
      <c r="P48" s="8">
        <f t="shared" si="10"/>
        <v>5</v>
      </c>
      <c r="Q48" s="8">
        <f t="shared" si="11"/>
        <v>2021</v>
      </c>
      <c r="R48" s="8" t="s">
        <v>284</v>
      </c>
      <c r="S48" s="8">
        <f t="shared" si="12"/>
        <v>8</v>
      </c>
      <c r="T48" s="8">
        <f t="shared" si="13"/>
        <v>20</v>
      </c>
      <c r="U48" s="8">
        <f t="shared" si="14"/>
        <v>38</v>
      </c>
      <c r="V48" s="8">
        <v>39025</v>
      </c>
      <c r="W48" s="8">
        <v>49721</v>
      </c>
      <c r="X48" s="9" t="str">
        <f t="shared" si="15"/>
        <v>Low Target</v>
      </c>
      <c r="Y48" s="9" t="str">
        <f t="shared" si="16"/>
        <v>Lower Target</v>
      </c>
      <c r="Z48" s="9" t="str" cm="1">
        <f t="array" ref="Z48">_xlfn.IFS(W48&lt;60000,"LOWERTarget",W48&lt;80000,"Medium Target",W48,"Highe Target")</f>
        <v>LOWERTarget</v>
      </c>
      <c r="AA48" s="8" t="s">
        <v>285</v>
      </c>
      <c r="AB48" s="5" t="str">
        <f t="shared" si="17"/>
        <v>QUICK RESPONSE</v>
      </c>
      <c r="AC48" s="5" t="str">
        <f t="shared" si="18"/>
        <v>quick response</v>
      </c>
      <c r="AD48" s="5" t="str">
        <f t="shared" si="19"/>
        <v>Quick Response</v>
      </c>
      <c r="AF48" s="6"/>
    </row>
    <row r="49" ht="14.25" customHeight="1" spans="1:32">
      <c r="A49" s="8" t="s">
        <v>286</v>
      </c>
      <c r="B49" s="8" t="s">
        <v>68</v>
      </c>
      <c r="C49" s="9">
        <f t="shared" si="0"/>
        <v>12</v>
      </c>
      <c r="D49" s="8" t="s">
        <v>60</v>
      </c>
      <c r="E49" s="8" t="str">
        <f t="shared" si="1"/>
        <v>Tanya Mishra(E1089) - HR</v>
      </c>
      <c r="F49" s="9" t="str">
        <f t="shared" si="2"/>
        <v>Tanya Mishra(E1089) -</v>
      </c>
      <c r="G49" s="9" t="str">
        <f t="shared" si="3"/>
        <v>HR</v>
      </c>
      <c r="H49" s="9">
        <f t="shared" si="4"/>
        <v>21</v>
      </c>
      <c r="I49" s="9">
        <f t="shared" si="5"/>
        <v>3</v>
      </c>
      <c r="J49" s="8" t="s">
        <v>182</v>
      </c>
      <c r="K49" s="9" t="str">
        <f t="shared" si="6"/>
        <v>Kolk@ta</v>
      </c>
      <c r="L49" s="8" t="s">
        <v>287</v>
      </c>
      <c r="M49" s="8" t="str">
        <f t="shared" si="7"/>
        <v>Tuesday</v>
      </c>
      <c r="N49" s="8" t="str">
        <f t="shared" si="8"/>
        <v>Tue</v>
      </c>
      <c r="O49" s="8" t="str">
        <f t="shared" si="9"/>
        <v>day</v>
      </c>
      <c r="P49" s="8">
        <f t="shared" si="10"/>
        <v>8</v>
      </c>
      <c r="Q49" s="8">
        <f t="shared" si="11"/>
        <v>2021</v>
      </c>
      <c r="R49" s="8" t="s">
        <v>288</v>
      </c>
      <c r="S49" s="8">
        <f t="shared" si="12"/>
        <v>10</v>
      </c>
      <c r="T49" s="8">
        <f t="shared" si="13"/>
        <v>14</v>
      </c>
      <c r="U49" s="8">
        <f t="shared" si="14"/>
        <v>41</v>
      </c>
      <c r="V49" s="8">
        <v>52172</v>
      </c>
      <c r="W49" s="8">
        <v>49764</v>
      </c>
      <c r="X49" s="9" t="str">
        <f t="shared" si="15"/>
        <v>Low Target</v>
      </c>
      <c r="Y49" s="9" t="str">
        <f t="shared" si="16"/>
        <v>Lower Target</v>
      </c>
      <c r="Z49" s="9" t="str" cm="1">
        <f t="array" ref="Z49">_xlfn.IFS(W49&lt;60000,"LOWERTarget",W49&lt;80000,"Medium Target",W49,"Highe Target")</f>
        <v>LOWERTarget</v>
      </c>
      <c r="AA49" s="8" t="s">
        <v>243</v>
      </c>
      <c r="AB49" s="5" t="str">
        <f t="shared" si="17"/>
        <v>POSITIVE ATTITUDE</v>
      </c>
      <c r="AC49" s="5" t="str">
        <f t="shared" si="18"/>
        <v>positive attitude</v>
      </c>
      <c r="AD49" s="5" t="str">
        <f t="shared" si="19"/>
        <v>Positive Attitude</v>
      </c>
      <c r="AF49" s="6"/>
    </row>
    <row r="50" ht="14.25" customHeight="1" spans="1:32">
      <c r="A50" s="8" t="s">
        <v>289</v>
      </c>
      <c r="B50" s="8" t="s">
        <v>290</v>
      </c>
      <c r="C50" s="9">
        <f t="shared" si="0"/>
        <v>11</v>
      </c>
      <c r="D50" s="8" t="s">
        <v>35</v>
      </c>
      <c r="E50" s="8" t="str">
        <f t="shared" si="1"/>
        <v>Nisha Singh(E1138) - Finance</v>
      </c>
      <c r="F50" s="9" t="str">
        <f t="shared" si="2"/>
        <v>Nisha Singh(E1138) -</v>
      </c>
      <c r="G50" s="9" t="str">
        <f t="shared" si="3"/>
        <v>Finance</v>
      </c>
      <c r="H50" s="9">
        <f t="shared" si="4"/>
        <v>20</v>
      </c>
      <c r="I50" s="9">
        <f t="shared" si="5"/>
        <v>8</v>
      </c>
      <c r="J50" s="8" t="s">
        <v>182</v>
      </c>
      <c r="K50" s="9" t="str">
        <f t="shared" si="6"/>
        <v>Kolk@ta</v>
      </c>
      <c r="L50" s="8" t="s">
        <v>291</v>
      </c>
      <c r="M50" s="8" t="str">
        <f t="shared" si="7"/>
        <v>Monday</v>
      </c>
      <c r="N50" s="8" t="str">
        <f t="shared" si="8"/>
        <v>Mon</v>
      </c>
      <c r="O50" s="8" t="str">
        <f t="shared" si="9"/>
        <v>day</v>
      </c>
      <c r="P50" s="8">
        <f t="shared" si="10"/>
        <v>10</v>
      </c>
      <c r="Q50" s="8">
        <f t="shared" si="11"/>
        <v>2022</v>
      </c>
      <c r="R50" s="8" t="s">
        <v>292</v>
      </c>
      <c r="S50" s="8">
        <f t="shared" si="12"/>
        <v>10</v>
      </c>
      <c r="T50" s="8">
        <f t="shared" si="13"/>
        <v>16</v>
      </c>
      <c r="U50" s="8">
        <f t="shared" si="14"/>
        <v>23</v>
      </c>
      <c r="V50" s="8">
        <v>66084</v>
      </c>
      <c r="W50" s="8">
        <v>50003</v>
      </c>
      <c r="X50" s="9" t="str">
        <f t="shared" si="15"/>
        <v>Highe Target</v>
      </c>
      <c r="Y50" s="9" t="str">
        <f t="shared" si="16"/>
        <v>Highe target</v>
      </c>
      <c r="Z50" s="9" t="str" cm="1">
        <f t="array" ref="Z50">_xlfn.IFS(W50&lt;60000,"LOWERTarget",W50&lt;80000,"Medium Target",W50,"Highe Target")</f>
        <v>LOWERTarget</v>
      </c>
      <c r="AA50" s="8" t="s">
        <v>160</v>
      </c>
      <c r="AB50" s="5" t="str">
        <f t="shared" si="17"/>
        <v>GOOD COMMUNICATION</v>
      </c>
      <c r="AC50" s="5" t="str">
        <f t="shared" si="18"/>
        <v>good communication</v>
      </c>
      <c r="AD50" s="5" t="str">
        <f t="shared" si="19"/>
        <v>Good Communication</v>
      </c>
      <c r="AF50" s="6"/>
    </row>
    <row r="51" ht="14.25" customHeight="1" spans="1:32">
      <c r="A51" s="8" t="s">
        <v>293</v>
      </c>
      <c r="B51" s="8" t="s">
        <v>294</v>
      </c>
      <c r="C51" s="9">
        <f t="shared" si="0"/>
        <v>12</v>
      </c>
      <c r="D51" s="8" t="s">
        <v>93</v>
      </c>
      <c r="E51" s="8" t="str">
        <f t="shared" si="1"/>
        <v>Sneha Saxena(E1016) - Sales</v>
      </c>
      <c r="F51" s="9" t="str">
        <f t="shared" si="2"/>
        <v>Sneha Saxena(E1016) -</v>
      </c>
      <c r="G51" s="9" t="str">
        <f t="shared" si="3"/>
        <v>Sales</v>
      </c>
      <c r="H51" s="9">
        <f t="shared" si="4"/>
        <v>21</v>
      </c>
      <c r="I51" s="9">
        <f t="shared" si="5"/>
        <v>6</v>
      </c>
      <c r="J51" s="8" t="s">
        <v>61</v>
      </c>
      <c r="K51" s="9" t="str">
        <f t="shared" si="6"/>
        <v>Chenn@i</v>
      </c>
      <c r="L51" s="8" t="s">
        <v>295</v>
      </c>
      <c r="M51" s="8" t="str">
        <f t="shared" si="7"/>
        <v>Thursday</v>
      </c>
      <c r="N51" s="8" t="str">
        <f t="shared" si="8"/>
        <v>Thu</v>
      </c>
      <c r="O51" s="8" t="str">
        <f t="shared" si="9"/>
        <v>day</v>
      </c>
      <c r="P51" s="8">
        <f t="shared" si="10"/>
        <v>8</v>
      </c>
      <c r="Q51" s="8">
        <f t="shared" si="11"/>
        <v>2024</v>
      </c>
      <c r="R51" s="8" t="s">
        <v>296</v>
      </c>
      <c r="S51" s="8">
        <f t="shared" si="12"/>
        <v>10</v>
      </c>
      <c r="T51" s="8">
        <f t="shared" si="13"/>
        <v>38</v>
      </c>
      <c r="U51" s="8">
        <f t="shared" si="14"/>
        <v>12</v>
      </c>
      <c r="V51" s="8">
        <v>59520</v>
      </c>
      <c r="W51" s="8">
        <v>50016</v>
      </c>
      <c r="X51" s="9" t="str">
        <f t="shared" si="15"/>
        <v>Highe Target</v>
      </c>
      <c r="Y51" s="9" t="str">
        <f t="shared" si="16"/>
        <v>Highe target</v>
      </c>
      <c r="Z51" s="9" t="str" cm="1">
        <f t="array" ref="Z51">_xlfn.IFS(W51&lt;60000,"LOWERTarget",W51&lt;80000,"Medium Target",W51,"Highe Target")</f>
        <v>LOWERTarget</v>
      </c>
      <c r="AA51" s="8" t="s">
        <v>118</v>
      </c>
      <c r="AB51" s="5" t="str">
        <f t="shared" si="17"/>
        <v>CUSTOMER FOCUSED</v>
      </c>
      <c r="AC51" s="5" t="str">
        <f t="shared" si="18"/>
        <v>customer focused</v>
      </c>
      <c r="AD51" s="5" t="str">
        <f t="shared" si="19"/>
        <v>Customer Focused</v>
      </c>
      <c r="AF51" s="6"/>
    </row>
    <row r="52" ht="14.25" customHeight="1" spans="1:32">
      <c r="A52" s="8" t="s">
        <v>297</v>
      </c>
      <c r="B52" s="8" t="s">
        <v>298</v>
      </c>
      <c r="C52" s="9">
        <f t="shared" si="0"/>
        <v>11</v>
      </c>
      <c r="D52" s="8" t="s">
        <v>93</v>
      </c>
      <c r="E52" s="8" t="str">
        <f t="shared" si="1"/>
        <v>Harsh Goyal(E1169) - Sales</v>
      </c>
      <c r="F52" s="9" t="str">
        <f t="shared" si="2"/>
        <v>Harsh Goyal(E1169) -</v>
      </c>
      <c r="G52" s="9" t="str">
        <f t="shared" si="3"/>
        <v>Sales</v>
      </c>
      <c r="H52" s="9">
        <f t="shared" si="4"/>
        <v>20</v>
      </c>
      <c r="I52" s="9">
        <f t="shared" si="5"/>
        <v>6</v>
      </c>
      <c r="J52" s="8" t="s">
        <v>172</v>
      </c>
      <c r="K52" s="9" t="str">
        <f t="shared" si="6"/>
        <v>Hyder@bad</v>
      </c>
      <c r="L52" s="8" t="s">
        <v>299</v>
      </c>
      <c r="M52" s="8" t="str">
        <f t="shared" si="7"/>
        <v>Wednesday</v>
      </c>
      <c r="N52" s="8" t="str">
        <f t="shared" si="8"/>
        <v>Wed</v>
      </c>
      <c r="O52" s="8" t="str">
        <f t="shared" si="9"/>
        <v>day</v>
      </c>
      <c r="P52" s="8">
        <f t="shared" si="10"/>
        <v>6</v>
      </c>
      <c r="Q52" s="8">
        <f t="shared" si="11"/>
        <v>2024</v>
      </c>
      <c r="R52" s="8" t="s">
        <v>300</v>
      </c>
      <c r="S52" s="8">
        <f t="shared" si="12"/>
        <v>8</v>
      </c>
      <c r="T52" s="8">
        <f t="shared" si="13"/>
        <v>38</v>
      </c>
      <c r="U52" s="8">
        <f t="shared" si="14"/>
        <v>24</v>
      </c>
      <c r="V52" s="8">
        <v>45742</v>
      </c>
      <c r="W52" s="8">
        <v>50109</v>
      </c>
      <c r="X52" s="9" t="str">
        <f t="shared" si="15"/>
        <v>Highe Target</v>
      </c>
      <c r="Y52" s="9" t="str">
        <f t="shared" si="16"/>
        <v>Highe target</v>
      </c>
      <c r="Z52" s="9" t="str" cm="1">
        <f t="array" ref="Z52">_xlfn.IFS(W52&lt;60000,"LOWERTarget",W52&lt;80000,"Medium Target",W52,"Highe Target")</f>
        <v>LOWERTarget</v>
      </c>
      <c r="AA52" s="8" t="s">
        <v>285</v>
      </c>
      <c r="AB52" s="5" t="str">
        <f t="shared" si="17"/>
        <v>QUICK RESPONSE</v>
      </c>
      <c r="AC52" s="5" t="str">
        <f t="shared" si="18"/>
        <v>quick response</v>
      </c>
      <c r="AD52" s="5" t="str">
        <f t="shared" si="19"/>
        <v>Quick Response</v>
      </c>
      <c r="AF52" s="6"/>
    </row>
    <row r="53" ht="14.25" customHeight="1" spans="1:32">
      <c r="A53" s="8" t="s">
        <v>301</v>
      </c>
      <c r="B53" s="8" t="s">
        <v>302</v>
      </c>
      <c r="C53" s="9">
        <f t="shared" si="0"/>
        <v>11</v>
      </c>
      <c r="D53" s="8" t="s">
        <v>93</v>
      </c>
      <c r="E53" s="8" t="str">
        <f t="shared" si="1"/>
        <v>Yash Sharma(E1145) - Sales</v>
      </c>
      <c r="F53" s="9" t="str">
        <f t="shared" si="2"/>
        <v>Yash Sharma(E1145) -</v>
      </c>
      <c r="G53" s="9" t="str">
        <f t="shared" si="3"/>
        <v>Sales</v>
      </c>
      <c r="H53" s="9">
        <f t="shared" si="4"/>
        <v>20</v>
      </c>
      <c r="I53" s="9">
        <f t="shared" si="5"/>
        <v>6</v>
      </c>
      <c r="J53" s="8" t="s">
        <v>45</v>
      </c>
      <c r="K53" s="9" t="str">
        <f t="shared" si="6"/>
        <v>B@ngalore</v>
      </c>
      <c r="L53" s="8" t="s">
        <v>303</v>
      </c>
      <c r="M53" s="8" t="str">
        <f t="shared" si="7"/>
        <v>Friday</v>
      </c>
      <c r="N53" s="8" t="str">
        <f t="shared" si="8"/>
        <v>Fri</v>
      </c>
      <c r="O53" s="8" t="str">
        <f t="shared" si="9"/>
        <v>day</v>
      </c>
      <c r="P53" s="8">
        <f t="shared" si="10"/>
        <v>2</v>
      </c>
      <c r="Q53" s="8">
        <f t="shared" si="11"/>
        <v>2023</v>
      </c>
      <c r="R53" s="8" t="s">
        <v>304</v>
      </c>
      <c r="S53" s="8">
        <f t="shared" si="12"/>
        <v>9</v>
      </c>
      <c r="T53" s="8">
        <f t="shared" si="13"/>
        <v>29</v>
      </c>
      <c r="U53" s="8">
        <f t="shared" si="14"/>
        <v>21</v>
      </c>
      <c r="V53" s="8">
        <v>59566</v>
      </c>
      <c r="W53" s="8">
        <v>50315</v>
      </c>
      <c r="X53" s="9" t="str">
        <f t="shared" si="15"/>
        <v>Highe Target</v>
      </c>
      <c r="Y53" s="9" t="str">
        <f t="shared" si="16"/>
        <v>Highe target</v>
      </c>
      <c r="Z53" s="9" t="str" cm="1">
        <f t="array" ref="Z53">_xlfn.IFS(W53&lt;60000,"LOWERTarget",W53&lt;80000,"Medium Target",W53,"Highe Target")</f>
        <v>LOWERTarget</v>
      </c>
      <c r="AA53" s="8" t="s">
        <v>64</v>
      </c>
      <c r="AB53" s="5" t="str">
        <f t="shared" si="17"/>
        <v>NEEDS IMPROVEMENT</v>
      </c>
      <c r="AC53" s="5" t="str">
        <f t="shared" si="18"/>
        <v>needs improvement</v>
      </c>
      <c r="AD53" s="5" t="str">
        <f t="shared" si="19"/>
        <v>Needs Improvement</v>
      </c>
      <c r="AF53" s="6"/>
    </row>
    <row r="54" ht="14.25" customHeight="1" spans="1:32">
      <c r="A54" s="8" t="s">
        <v>305</v>
      </c>
      <c r="B54" s="8" t="s">
        <v>306</v>
      </c>
      <c r="C54" s="9">
        <f t="shared" si="0"/>
        <v>13</v>
      </c>
      <c r="D54" s="8" t="s">
        <v>44</v>
      </c>
      <c r="E54" s="8" t="str">
        <f t="shared" si="1"/>
        <v>Harsh Agarwal(E1267) - Marketing</v>
      </c>
      <c r="F54" s="9" t="str">
        <f t="shared" si="2"/>
        <v>Harsh Agarwal(E1267) -</v>
      </c>
      <c r="G54" s="9" t="str">
        <f t="shared" si="3"/>
        <v>Marketing</v>
      </c>
      <c r="H54" s="9">
        <f t="shared" si="4"/>
        <v>22</v>
      </c>
      <c r="I54" s="9">
        <f t="shared" si="5"/>
        <v>10</v>
      </c>
      <c r="J54" s="8" t="s">
        <v>36</v>
      </c>
      <c r="K54" s="9" t="str">
        <f t="shared" si="6"/>
        <v>Ahmed@bad</v>
      </c>
      <c r="L54" s="8" t="s">
        <v>307</v>
      </c>
      <c r="M54" s="8" t="str">
        <f t="shared" si="7"/>
        <v>Saturday</v>
      </c>
      <c r="N54" s="8" t="str">
        <f t="shared" si="8"/>
        <v>Sat</v>
      </c>
      <c r="O54" s="8" t="str">
        <f t="shared" si="9"/>
        <v>day</v>
      </c>
      <c r="P54" s="8">
        <f t="shared" si="10"/>
        <v>12</v>
      </c>
      <c r="Q54" s="8">
        <f t="shared" si="11"/>
        <v>2021</v>
      </c>
      <c r="R54" s="8" t="s">
        <v>308</v>
      </c>
      <c r="S54" s="8">
        <f t="shared" si="12"/>
        <v>10</v>
      </c>
      <c r="T54" s="8">
        <f t="shared" si="13"/>
        <v>50</v>
      </c>
      <c r="U54" s="8">
        <f t="shared" si="14"/>
        <v>22</v>
      </c>
      <c r="V54" s="8">
        <v>45264</v>
      </c>
      <c r="W54" s="8">
        <v>51092</v>
      </c>
      <c r="X54" s="9" t="str">
        <f t="shared" si="15"/>
        <v>Highe Target</v>
      </c>
      <c r="Y54" s="9" t="str">
        <f t="shared" si="16"/>
        <v>Highe target</v>
      </c>
      <c r="Z54" s="9" t="str" cm="1">
        <f t="array" ref="Z54">_xlfn.IFS(W54&lt;60000,"LOWERTarget",W54&lt;80000,"Medium Target",W54,"Highe Target")</f>
        <v>LOWERTarget</v>
      </c>
      <c r="AA54" s="8" t="s">
        <v>96</v>
      </c>
      <c r="AB54" s="5" t="str">
        <f t="shared" si="17"/>
        <v>FAST DELIVERY</v>
      </c>
      <c r="AC54" s="5" t="str">
        <f t="shared" si="18"/>
        <v>fast delivery</v>
      </c>
      <c r="AD54" s="5" t="str">
        <f t="shared" si="19"/>
        <v>Fast Delivery</v>
      </c>
      <c r="AF54" s="6"/>
    </row>
    <row r="55" ht="14.25" customHeight="1" spans="1:32">
      <c r="A55" s="8" t="s">
        <v>309</v>
      </c>
      <c r="B55" s="8" t="s">
        <v>298</v>
      </c>
      <c r="C55" s="9">
        <f t="shared" si="0"/>
        <v>11</v>
      </c>
      <c r="D55" s="8" t="s">
        <v>44</v>
      </c>
      <c r="E55" s="8" t="str">
        <f t="shared" si="1"/>
        <v>Harsh Goyal(E1041) - Marketing</v>
      </c>
      <c r="F55" s="9" t="str">
        <f t="shared" si="2"/>
        <v>Harsh Goyal(E1041) -</v>
      </c>
      <c r="G55" s="9" t="str">
        <f t="shared" si="3"/>
        <v>Marketing</v>
      </c>
      <c r="H55" s="9">
        <f t="shared" si="4"/>
        <v>20</v>
      </c>
      <c r="I55" s="9">
        <f t="shared" si="5"/>
        <v>10</v>
      </c>
      <c r="J55" s="8" t="s">
        <v>53</v>
      </c>
      <c r="K55" s="9" t="str">
        <f t="shared" si="6"/>
        <v>Delhi</v>
      </c>
      <c r="L55" s="8" t="s">
        <v>310</v>
      </c>
      <c r="M55" s="8" t="str">
        <f t="shared" si="7"/>
        <v>Saturday</v>
      </c>
      <c r="N55" s="8" t="str">
        <f t="shared" si="8"/>
        <v>Sat</v>
      </c>
      <c r="O55" s="8" t="str">
        <f t="shared" si="9"/>
        <v>day</v>
      </c>
      <c r="P55" s="8">
        <f t="shared" si="10"/>
        <v>4</v>
      </c>
      <c r="Q55" s="8">
        <f t="shared" si="11"/>
        <v>2022</v>
      </c>
      <c r="R55" s="8" t="s">
        <v>311</v>
      </c>
      <c r="S55" s="8">
        <f t="shared" si="12"/>
        <v>8</v>
      </c>
      <c r="T55" s="8">
        <f t="shared" si="13"/>
        <v>51</v>
      </c>
      <c r="U55" s="8">
        <f t="shared" si="14"/>
        <v>51</v>
      </c>
      <c r="V55" s="8">
        <v>63623</v>
      </c>
      <c r="W55" s="8">
        <v>51603</v>
      </c>
      <c r="X55" s="9" t="str">
        <f t="shared" si="15"/>
        <v>Highe Target</v>
      </c>
      <c r="Y55" s="9" t="str">
        <f t="shared" si="16"/>
        <v>Highe target</v>
      </c>
      <c r="Z55" s="9" t="str" cm="1">
        <f t="array" ref="Z55">_xlfn.IFS(W55&lt;60000,"LOWERTarget",W55&lt;80000,"Medium Target",W55,"Highe Target")</f>
        <v>LOWERTarget</v>
      </c>
      <c r="AA55" s="8" t="s">
        <v>87</v>
      </c>
      <c r="AB55" s="5" t="str">
        <f t="shared" si="17"/>
        <v>EXCELLENT SERVICE</v>
      </c>
      <c r="AC55" s="5" t="str">
        <f t="shared" si="18"/>
        <v>excellent service</v>
      </c>
      <c r="AD55" s="5" t="str">
        <f t="shared" si="19"/>
        <v>Excellent Service</v>
      </c>
      <c r="AF55" s="6"/>
    </row>
    <row r="56" ht="14.25" customHeight="1" spans="1:32">
      <c r="A56" s="8" t="s">
        <v>312</v>
      </c>
      <c r="B56" s="8" t="s">
        <v>313</v>
      </c>
      <c r="C56" s="9">
        <f t="shared" si="0"/>
        <v>13</v>
      </c>
      <c r="D56" s="8" t="s">
        <v>44</v>
      </c>
      <c r="E56" s="8" t="str">
        <f t="shared" si="1"/>
        <v>Deepak Mishra(E1074) - Marketing</v>
      </c>
      <c r="F56" s="9" t="str">
        <f t="shared" si="2"/>
        <v>Deepak Mishra(E1074) -</v>
      </c>
      <c r="G56" s="9" t="str">
        <f t="shared" si="3"/>
        <v>Marketing</v>
      </c>
      <c r="H56" s="9">
        <f t="shared" si="4"/>
        <v>22</v>
      </c>
      <c r="I56" s="9">
        <f t="shared" si="5"/>
        <v>10</v>
      </c>
      <c r="J56" s="8" t="s">
        <v>172</v>
      </c>
      <c r="K56" s="9" t="str">
        <f t="shared" si="6"/>
        <v>Hyder@bad</v>
      </c>
      <c r="L56" s="8" t="s">
        <v>314</v>
      </c>
      <c r="M56" s="8" t="str">
        <f t="shared" si="7"/>
        <v>Sunday</v>
      </c>
      <c r="N56" s="8" t="str">
        <f t="shared" si="8"/>
        <v>Sun</v>
      </c>
      <c r="O56" s="8" t="str">
        <f t="shared" si="9"/>
        <v>day</v>
      </c>
      <c r="P56" s="8">
        <f t="shared" si="10"/>
        <v>2</v>
      </c>
      <c r="Q56" s="8">
        <f t="shared" si="11"/>
        <v>2021</v>
      </c>
      <c r="R56" s="8" t="s">
        <v>315</v>
      </c>
      <c r="S56" s="8">
        <f t="shared" si="12"/>
        <v>9</v>
      </c>
      <c r="T56" s="8">
        <f t="shared" si="13"/>
        <v>54</v>
      </c>
      <c r="U56" s="8">
        <f t="shared" si="14"/>
        <v>20</v>
      </c>
      <c r="V56" s="8">
        <v>68869</v>
      </c>
      <c r="W56" s="8">
        <v>51917</v>
      </c>
      <c r="X56" s="9" t="str">
        <f t="shared" si="15"/>
        <v>Highe Target</v>
      </c>
      <c r="Y56" s="9" t="str">
        <f t="shared" si="16"/>
        <v>Highe target</v>
      </c>
      <c r="Z56" s="9" t="str" cm="1">
        <f t="array" ref="Z56">_xlfn.IFS(W56&lt;60000,"LOWERTarget",W56&lt;80000,"Medium Target",W56,"Highe Target")</f>
        <v>LOWERTarget</v>
      </c>
      <c r="AA56" s="8" t="s">
        <v>126</v>
      </c>
      <c r="AB56" s="5" t="str">
        <f t="shared" si="17"/>
        <v>ACCURATE REPORTS</v>
      </c>
      <c r="AC56" s="5" t="str">
        <f t="shared" si="18"/>
        <v>accurate reports</v>
      </c>
      <c r="AD56" s="5" t="str">
        <f t="shared" si="19"/>
        <v>Accurate Reports</v>
      </c>
      <c r="AF56" s="6"/>
    </row>
    <row r="57" ht="14.25" customHeight="1" spans="1:32">
      <c r="A57" s="8" t="s">
        <v>316</v>
      </c>
      <c r="B57" s="8" t="s">
        <v>317</v>
      </c>
      <c r="C57" s="9">
        <f t="shared" si="0"/>
        <v>13</v>
      </c>
      <c r="D57" s="8" t="s">
        <v>44</v>
      </c>
      <c r="E57" s="8" t="str">
        <f t="shared" si="1"/>
        <v>Shreya Bansal(E1237) - Marketing</v>
      </c>
      <c r="F57" s="9" t="str">
        <f t="shared" si="2"/>
        <v>Shreya Bansal(E1237) -</v>
      </c>
      <c r="G57" s="9" t="str">
        <f t="shared" si="3"/>
        <v>Marketing</v>
      </c>
      <c r="H57" s="9">
        <f t="shared" si="4"/>
        <v>22</v>
      </c>
      <c r="I57" s="9">
        <f t="shared" si="5"/>
        <v>10</v>
      </c>
      <c r="J57" s="8" t="s">
        <v>172</v>
      </c>
      <c r="K57" s="9" t="str">
        <f t="shared" si="6"/>
        <v>Hyder@bad</v>
      </c>
      <c r="L57" s="8" t="s">
        <v>318</v>
      </c>
      <c r="M57" s="8" t="str">
        <f t="shared" si="7"/>
        <v>Sunday</v>
      </c>
      <c r="N57" s="8" t="str">
        <f t="shared" si="8"/>
        <v>Sun</v>
      </c>
      <c r="O57" s="8" t="str">
        <f t="shared" si="9"/>
        <v>day</v>
      </c>
      <c r="P57" s="8">
        <f t="shared" si="10"/>
        <v>6</v>
      </c>
      <c r="Q57" s="8">
        <f t="shared" si="11"/>
        <v>2021</v>
      </c>
      <c r="R57" s="8" t="s">
        <v>319</v>
      </c>
      <c r="S57" s="8">
        <f t="shared" si="12"/>
        <v>9</v>
      </c>
      <c r="T57" s="8">
        <f t="shared" si="13"/>
        <v>42</v>
      </c>
      <c r="U57" s="8">
        <f t="shared" si="14"/>
        <v>6</v>
      </c>
      <c r="V57" s="8">
        <v>46324</v>
      </c>
      <c r="W57" s="8">
        <v>52109</v>
      </c>
      <c r="X57" s="9" t="str">
        <f t="shared" si="15"/>
        <v>Highe Target</v>
      </c>
      <c r="Y57" s="9" t="str">
        <f t="shared" si="16"/>
        <v>Highe target</v>
      </c>
      <c r="Z57" s="9" t="str" cm="1">
        <f t="array" ref="Z57">_xlfn.IFS(W57&lt;60000,"LOWERTarget",W57&lt;80000,"Medium Target",W57,"Highe Target")</f>
        <v>LOWERTarget</v>
      </c>
      <c r="AA57" s="8" t="s">
        <v>56</v>
      </c>
      <c r="AB57" s="5" t="str">
        <f t="shared" si="17"/>
        <v>   HELPFUL ATTITUDE   </v>
      </c>
      <c r="AC57" s="5" t="str">
        <f t="shared" si="18"/>
        <v>   helpful attitude   </v>
      </c>
      <c r="AD57" s="5" t="str">
        <f t="shared" si="19"/>
        <v>   Helpful Attitude   </v>
      </c>
      <c r="AF57" s="6"/>
    </row>
    <row r="58" ht="14.25" customHeight="1" spans="1:32">
      <c r="A58" s="8" t="s">
        <v>320</v>
      </c>
      <c r="B58" s="8" t="s">
        <v>321</v>
      </c>
      <c r="C58" s="9">
        <f t="shared" si="0"/>
        <v>12</v>
      </c>
      <c r="D58" s="8" t="s">
        <v>44</v>
      </c>
      <c r="E58" s="8" t="str">
        <f t="shared" si="1"/>
        <v>Priya Mishra(E1030) - Marketing</v>
      </c>
      <c r="F58" s="9" t="str">
        <f t="shared" si="2"/>
        <v>Priya Mishra(E1030) -</v>
      </c>
      <c r="G58" s="9" t="str">
        <f t="shared" si="3"/>
        <v>Marketing</v>
      </c>
      <c r="H58" s="9">
        <f t="shared" si="4"/>
        <v>21</v>
      </c>
      <c r="I58" s="9">
        <f t="shared" si="5"/>
        <v>10</v>
      </c>
      <c r="J58" s="8" t="s">
        <v>53</v>
      </c>
      <c r="K58" s="9" t="str">
        <f t="shared" si="6"/>
        <v>Delhi</v>
      </c>
      <c r="L58" s="8" t="s">
        <v>322</v>
      </c>
      <c r="M58" s="8" t="str">
        <f t="shared" si="7"/>
        <v>Tuesday</v>
      </c>
      <c r="N58" s="8" t="str">
        <f t="shared" si="8"/>
        <v>Tue</v>
      </c>
      <c r="O58" s="8" t="str">
        <f t="shared" si="9"/>
        <v>day</v>
      </c>
      <c r="P58" s="8">
        <f t="shared" si="10"/>
        <v>4</v>
      </c>
      <c r="Q58" s="8">
        <f t="shared" si="11"/>
        <v>2021</v>
      </c>
      <c r="R58" s="8" t="s">
        <v>323</v>
      </c>
      <c r="S58" s="8">
        <f t="shared" si="12"/>
        <v>10</v>
      </c>
      <c r="T58" s="8">
        <f t="shared" si="13"/>
        <v>5</v>
      </c>
      <c r="U58" s="8">
        <f t="shared" si="14"/>
        <v>54</v>
      </c>
      <c r="V58" s="8">
        <v>41668</v>
      </c>
      <c r="W58" s="8">
        <v>52178</v>
      </c>
      <c r="X58" s="9" t="str">
        <f t="shared" si="15"/>
        <v>Highe Target</v>
      </c>
      <c r="Y58" s="9" t="str">
        <f t="shared" si="16"/>
        <v>Highe target</v>
      </c>
      <c r="Z58" s="9" t="str" cm="1">
        <f t="array" ref="Z58">_xlfn.IFS(W58&lt;60000,"LOWERTarget",W58&lt;80000,"Medium Target",W58,"Highe Target")</f>
        <v>LOWERTarget</v>
      </c>
      <c r="AA58" s="8" t="s">
        <v>79</v>
      </c>
      <c r="AB58" s="5" t="str">
        <f t="shared" si="17"/>
        <v>EXCELLENT LEADERSHIP</v>
      </c>
      <c r="AC58" s="5" t="str">
        <f t="shared" si="18"/>
        <v>excellent leadership</v>
      </c>
      <c r="AD58" s="5" t="str">
        <f t="shared" si="19"/>
        <v>Excellent Leadership</v>
      </c>
      <c r="AF58" s="6"/>
    </row>
    <row r="59" ht="14.25" customHeight="1" spans="1:32">
      <c r="A59" s="8" t="s">
        <v>324</v>
      </c>
      <c r="B59" s="8" t="s">
        <v>325</v>
      </c>
      <c r="C59" s="9">
        <f t="shared" si="0"/>
        <v>14</v>
      </c>
      <c r="D59" s="8" t="s">
        <v>35</v>
      </c>
      <c r="E59" s="8" t="str">
        <f t="shared" si="1"/>
        <v>Shreya Agarwal(E1117) - Finance</v>
      </c>
      <c r="F59" s="9" t="str">
        <f t="shared" si="2"/>
        <v>Shreya Agarwal(E1117) -</v>
      </c>
      <c r="G59" s="9" t="str">
        <f t="shared" si="3"/>
        <v>Finance</v>
      </c>
      <c r="H59" s="9">
        <f t="shared" si="4"/>
        <v>23</v>
      </c>
      <c r="I59" s="9">
        <f t="shared" si="5"/>
        <v>8</v>
      </c>
      <c r="J59" s="8" t="s">
        <v>45</v>
      </c>
      <c r="K59" s="9" t="str">
        <f t="shared" si="6"/>
        <v>B@ngalore</v>
      </c>
      <c r="L59" s="8" t="s">
        <v>326</v>
      </c>
      <c r="M59" s="8" t="str">
        <f t="shared" si="7"/>
        <v>Tuesday</v>
      </c>
      <c r="N59" s="8" t="str">
        <f t="shared" si="8"/>
        <v>Tue</v>
      </c>
      <c r="O59" s="8" t="str">
        <f t="shared" si="9"/>
        <v>day</v>
      </c>
      <c r="P59" s="8">
        <f t="shared" si="10"/>
        <v>5</v>
      </c>
      <c r="Q59" s="8">
        <f t="shared" si="11"/>
        <v>2024</v>
      </c>
      <c r="R59" s="8" t="s">
        <v>327</v>
      </c>
      <c r="S59" s="8">
        <f t="shared" si="12"/>
        <v>9</v>
      </c>
      <c r="T59" s="8">
        <f t="shared" si="13"/>
        <v>14</v>
      </c>
      <c r="U59" s="8">
        <f t="shared" si="14"/>
        <v>40</v>
      </c>
      <c r="V59" s="8">
        <v>53885</v>
      </c>
      <c r="W59" s="8">
        <v>52460</v>
      </c>
      <c r="X59" s="9" t="str">
        <f t="shared" si="15"/>
        <v>Highe Target</v>
      </c>
      <c r="Y59" s="9" t="str">
        <f t="shared" si="16"/>
        <v>Highe target</v>
      </c>
      <c r="Z59" s="9" t="str" cm="1">
        <f t="array" ref="Z59">_xlfn.IFS(W59&lt;60000,"LOWERTarget",W59&lt;80000,"Medium Target",W59,"Highe Target")</f>
        <v>LOWERTarget</v>
      </c>
      <c r="AA59" s="8" t="s">
        <v>138</v>
      </c>
      <c r="AB59" s="5" t="str">
        <f t="shared" si="17"/>
        <v>GOOD TEAMWORK</v>
      </c>
      <c r="AC59" s="5" t="str">
        <f t="shared" si="18"/>
        <v>good teamwork</v>
      </c>
      <c r="AD59" s="5" t="str">
        <f t="shared" si="19"/>
        <v>Good Teamwork</v>
      </c>
      <c r="AF59" s="6"/>
    </row>
    <row r="60" ht="14.25" customHeight="1" spans="1:32">
      <c r="A60" s="8" t="s">
        <v>328</v>
      </c>
      <c r="B60" s="8" t="s">
        <v>329</v>
      </c>
      <c r="C60" s="9">
        <f t="shared" si="0"/>
        <v>18</v>
      </c>
      <c r="D60" s="8" t="s">
        <v>35</v>
      </c>
      <c r="E60" s="8" t="str">
        <f t="shared" si="1"/>
        <v>Siddharth Malhotra(E1079) - Finance</v>
      </c>
      <c r="F60" s="9" t="str">
        <f t="shared" si="2"/>
        <v>Siddharth Malhotra(E1079) -</v>
      </c>
      <c r="G60" s="9" t="str">
        <f t="shared" si="3"/>
        <v>Finance</v>
      </c>
      <c r="H60" s="9">
        <f t="shared" si="4"/>
        <v>27</v>
      </c>
      <c r="I60" s="9">
        <f t="shared" si="5"/>
        <v>8</v>
      </c>
      <c r="J60" s="8" t="s">
        <v>61</v>
      </c>
      <c r="K60" s="9" t="str">
        <f t="shared" si="6"/>
        <v>Chenn@i</v>
      </c>
      <c r="L60" s="8" t="s">
        <v>330</v>
      </c>
      <c r="M60" s="8" t="str">
        <f t="shared" si="7"/>
        <v>Monday</v>
      </c>
      <c r="N60" s="8" t="str">
        <f t="shared" si="8"/>
        <v>Mon</v>
      </c>
      <c r="O60" s="8" t="str">
        <f t="shared" si="9"/>
        <v>day</v>
      </c>
      <c r="P60" s="8">
        <f t="shared" si="10"/>
        <v>5</v>
      </c>
      <c r="Q60" s="8">
        <f t="shared" si="11"/>
        <v>2022</v>
      </c>
      <c r="R60" s="8" t="s">
        <v>331</v>
      </c>
      <c r="S60" s="8">
        <f t="shared" si="12"/>
        <v>8</v>
      </c>
      <c r="T60" s="8">
        <f t="shared" si="13"/>
        <v>7</v>
      </c>
      <c r="U60" s="8">
        <f t="shared" si="14"/>
        <v>46</v>
      </c>
      <c r="V60" s="8">
        <v>58300</v>
      </c>
      <c r="W60" s="8">
        <v>52621</v>
      </c>
      <c r="X60" s="9" t="str">
        <f t="shared" si="15"/>
        <v>Highe Target</v>
      </c>
      <c r="Y60" s="9" t="str">
        <f t="shared" si="16"/>
        <v>Highe target</v>
      </c>
      <c r="Z60" s="9" t="str" cm="1">
        <f t="array" ref="Z60">_xlfn.IFS(W60&lt;60000,"LOWERTarget",W60&lt;80000,"Medium Target",W60,"Highe Target")</f>
        <v>LOWERTarget</v>
      </c>
      <c r="AA60" s="8" t="s">
        <v>160</v>
      </c>
      <c r="AB60" s="5" t="str">
        <f t="shared" si="17"/>
        <v>GOOD COMMUNICATION</v>
      </c>
      <c r="AC60" s="5" t="str">
        <f t="shared" si="18"/>
        <v>good communication</v>
      </c>
      <c r="AD60" s="5" t="str">
        <f t="shared" si="19"/>
        <v>Good Communication</v>
      </c>
      <c r="AF60" s="6"/>
    </row>
    <row r="61" ht="14.25" customHeight="1" spans="1:32">
      <c r="A61" s="8" t="s">
        <v>332</v>
      </c>
      <c r="B61" s="8" t="s">
        <v>333</v>
      </c>
      <c r="C61" s="9">
        <f t="shared" si="0"/>
        <v>11</v>
      </c>
      <c r="D61" s="8" t="s">
        <v>35</v>
      </c>
      <c r="E61" s="8" t="str">
        <f t="shared" si="1"/>
        <v>Neha Bansal(E1217) - Finance</v>
      </c>
      <c r="F61" s="9" t="str">
        <f t="shared" si="2"/>
        <v>Neha Bansal(E1217) -</v>
      </c>
      <c r="G61" s="9" t="str">
        <f t="shared" si="3"/>
        <v>Finance</v>
      </c>
      <c r="H61" s="9">
        <f t="shared" si="4"/>
        <v>20</v>
      </c>
      <c r="I61" s="9">
        <f t="shared" si="5"/>
        <v>8</v>
      </c>
      <c r="J61" s="8" t="s">
        <v>172</v>
      </c>
      <c r="K61" s="9" t="str">
        <f t="shared" si="6"/>
        <v>Hyder@bad</v>
      </c>
      <c r="L61" s="8" t="s">
        <v>334</v>
      </c>
      <c r="M61" s="8" t="str">
        <f t="shared" si="7"/>
        <v>Saturday</v>
      </c>
      <c r="N61" s="8" t="str">
        <f t="shared" si="8"/>
        <v>Sat</v>
      </c>
      <c r="O61" s="8" t="str">
        <f t="shared" si="9"/>
        <v>day</v>
      </c>
      <c r="P61" s="8">
        <f t="shared" si="10"/>
        <v>2</v>
      </c>
      <c r="Q61" s="8">
        <f t="shared" si="11"/>
        <v>2024</v>
      </c>
      <c r="R61" s="8" t="s">
        <v>335</v>
      </c>
      <c r="S61" s="8">
        <f t="shared" si="12"/>
        <v>9</v>
      </c>
      <c r="T61" s="8">
        <f t="shared" si="13"/>
        <v>48</v>
      </c>
      <c r="U61" s="8">
        <f t="shared" si="14"/>
        <v>9</v>
      </c>
      <c r="V61" s="8">
        <v>71410</v>
      </c>
      <c r="W61" s="8">
        <v>53045</v>
      </c>
      <c r="X61" s="9" t="str">
        <f t="shared" si="15"/>
        <v>Highe Target</v>
      </c>
      <c r="Y61" s="9" t="str">
        <f t="shared" si="16"/>
        <v>Highe target</v>
      </c>
      <c r="Z61" s="9" t="str" cm="1">
        <f t="array" ref="Z61">_xlfn.IFS(W61&lt;60000,"LOWERTarget",W61&lt;80000,"Medium Target",W61,"Highe Target")</f>
        <v>LOWERTarget</v>
      </c>
      <c r="AA61" s="8" t="s">
        <v>39</v>
      </c>
      <c r="AB61" s="5" t="str">
        <f t="shared" si="17"/>
        <v>DETAILED ANALYSIS</v>
      </c>
      <c r="AC61" s="5" t="str">
        <f t="shared" si="18"/>
        <v>detailed analysis</v>
      </c>
      <c r="AD61" s="5" t="str">
        <f t="shared" si="19"/>
        <v>Detailed Analysis</v>
      </c>
      <c r="AF61" s="6"/>
    </row>
    <row r="62" ht="14.25" customHeight="1" spans="1:32">
      <c r="A62" s="8" t="s">
        <v>336</v>
      </c>
      <c r="B62" s="8" t="s">
        <v>337</v>
      </c>
      <c r="C62" s="9">
        <f t="shared" si="0"/>
        <v>12</v>
      </c>
      <c r="D62" s="8" t="s">
        <v>93</v>
      </c>
      <c r="E62" s="8" t="str">
        <f t="shared" si="1"/>
        <v>Aakash Reddy(E1243) - Sales</v>
      </c>
      <c r="F62" s="9" t="str">
        <f t="shared" si="2"/>
        <v>Aakash Reddy(E1243) -</v>
      </c>
      <c r="G62" s="9" t="str">
        <f t="shared" si="3"/>
        <v>Sales</v>
      </c>
      <c r="H62" s="9">
        <f t="shared" si="4"/>
        <v>21</v>
      </c>
      <c r="I62" s="9">
        <f t="shared" si="5"/>
        <v>6</v>
      </c>
      <c r="J62" s="8" t="s">
        <v>76</v>
      </c>
      <c r="K62" s="9" t="str">
        <f t="shared" si="6"/>
        <v>Pune</v>
      </c>
      <c r="L62" s="8" t="s">
        <v>338</v>
      </c>
      <c r="M62" s="8" t="str">
        <f t="shared" si="7"/>
        <v>Friday</v>
      </c>
      <c r="N62" s="8" t="str">
        <f t="shared" si="8"/>
        <v>Fri</v>
      </c>
      <c r="O62" s="8" t="str">
        <f t="shared" si="9"/>
        <v>day</v>
      </c>
      <c r="P62" s="8">
        <f t="shared" si="10"/>
        <v>5</v>
      </c>
      <c r="Q62" s="8">
        <f t="shared" si="11"/>
        <v>2021</v>
      </c>
      <c r="R62" s="8" t="s">
        <v>339</v>
      </c>
      <c r="S62" s="8">
        <f t="shared" si="12"/>
        <v>10</v>
      </c>
      <c r="T62" s="8">
        <f t="shared" si="13"/>
        <v>57</v>
      </c>
      <c r="U62" s="8">
        <f t="shared" si="14"/>
        <v>32</v>
      </c>
      <c r="V62" s="8">
        <v>48068</v>
      </c>
      <c r="W62" s="8">
        <v>53248</v>
      </c>
      <c r="X62" s="9" t="str">
        <f t="shared" si="15"/>
        <v>Highe Target</v>
      </c>
      <c r="Y62" s="9" t="str">
        <f t="shared" si="16"/>
        <v>Highe target</v>
      </c>
      <c r="Z62" s="9" t="str" cm="1">
        <f t="array" ref="Z62">_xlfn.IFS(W62&lt;60000,"LOWERTarget",W62&lt;80000,"Medium Target",W62,"Highe Target")</f>
        <v>LOWERTarget</v>
      </c>
      <c r="AA62" s="8" t="s">
        <v>285</v>
      </c>
      <c r="AB62" s="5" t="str">
        <f t="shared" si="17"/>
        <v>QUICK RESPONSE</v>
      </c>
      <c r="AC62" s="5" t="str">
        <f t="shared" si="18"/>
        <v>quick response</v>
      </c>
      <c r="AD62" s="5" t="str">
        <f t="shared" si="19"/>
        <v>Quick Response</v>
      </c>
      <c r="AF62" s="6"/>
    </row>
    <row r="63" ht="14.25" customHeight="1" spans="1:32">
      <c r="A63" s="8" t="s">
        <v>340</v>
      </c>
      <c r="B63" s="8" t="s">
        <v>341</v>
      </c>
      <c r="C63" s="9">
        <f t="shared" si="0"/>
        <v>15</v>
      </c>
      <c r="D63" s="8" t="s">
        <v>44</v>
      </c>
      <c r="E63" s="8" t="str">
        <f t="shared" si="1"/>
        <v>Siddharth Mehta(E1224) - Marketing</v>
      </c>
      <c r="F63" s="9" t="str">
        <f t="shared" si="2"/>
        <v>Siddharth Mehta(E1224) -</v>
      </c>
      <c r="G63" s="9" t="str">
        <f t="shared" si="3"/>
        <v>Marketing</v>
      </c>
      <c r="H63" s="9">
        <f t="shared" si="4"/>
        <v>24</v>
      </c>
      <c r="I63" s="9">
        <f t="shared" si="5"/>
        <v>10</v>
      </c>
      <c r="J63" s="8" t="s">
        <v>36</v>
      </c>
      <c r="K63" s="9" t="str">
        <f t="shared" si="6"/>
        <v>Ahmed@bad</v>
      </c>
      <c r="L63" s="8" t="s">
        <v>342</v>
      </c>
      <c r="M63" s="8" t="str">
        <f t="shared" si="7"/>
        <v>Saturday</v>
      </c>
      <c r="N63" s="8" t="str">
        <f t="shared" si="8"/>
        <v>Sat</v>
      </c>
      <c r="O63" s="8" t="str">
        <f t="shared" si="9"/>
        <v>day</v>
      </c>
      <c r="P63" s="8">
        <f t="shared" si="10"/>
        <v>5</v>
      </c>
      <c r="Q63" s="8">
        <f t="shared" si="11"/>
        <v>2021</v>
      </c>
      <c r="R63" s="8" t="s">
        <v>343</v>
      </c>
      <c r="S63" s="8">
        <f t="shared" si="12"/>
        <v>10</v>
      </c>
      <c r="T63" s="8">
        <f t="shared" si="13"/>
        <v>8</v>
      </c>
      <c r="U63" s="8">
        <f t="shared" si="14"/>
        <v>33</v>
      </c>
      <c r="V63" s="8">
        <v>59890</v>
      </c>
      <c r="W63" s="8">
        <v>53588</v>
      </c>
      <c r="X63" s="9" t="str">
        <f t="shared" si="15"/>
        <v>Highe Target</v>
      </c>
      <c r="Y63" s="9" t="str">
        <f t="shared" si="16"/>
        <v>Highe target</v>
      </c>
      <c r="Z63" s="9" t="str" cm="1">
        <f t="array" ref="Z63">_xlfn.IFS(W63&lt;60000,"LOWERTarget",W63&lt;80000,"Medium Target",W63,"Highe Target")</f>
        <v>LOWERTarget</v>
      </c>
      <c r="AA63" s="8" t="s">
        <v>138</v>
      </c>
      <c r="AB63" s="5" t="str">
        <f t="shared" si="17"/>
        <v>GOOD TEAMWORK</v>
      </c>
      <c r="AC63" s="5" t="str">
        <f t="shared" si="18"/>
        <v>good teamwork</v>
      </c>
      <c r="AD63" s="5" t="str">
        <f t="shared" si="19"/>
        <v>Good Teamwork</v>
      </c>
      <c r="AF63" s="6"/>
    </row>
    <row r="64" ht="14.25" customHeight="1" spans="1:32">
      <c r="A64" s="8" t="s">
        <v>344</v>
      </c>
      <c r="B64" s="8" t="s">
        <v>345</v>
      </c>
      <c r="C64" s="9">
        <f t="shared" si="0"/>
        <v>11</v>
      </c>
      <c r="D64" s="8" t="s">
        <v>60</v>
      </c>
      <c r="E64" s="8" t="str">
        <f t="shared" si="1"/>
        <v>Rohan Patel(E1010) - HR</v>
      </c>
      <c r="F64" s="9" t="str">
        <f t="shared" si="2"/>
        <v>Rohan Patel(E1010) -</v>
      </c>
      <c r="G64" s="9" t="str">
        <f t="shared" si="3"/>
        <v>HR</v>
      </c>
      <c r="H64" s="9">
        <f t="shared" si="4"/>
        <v>20</v>
      </c>
      <c r="I64" s="9">
        <f t="shared" si="5"/>
        <v>3</v>
      </c>
      <c r="J64" s="8" t="s">
        <v>153</v>
      </c>
      <c r="K64" s="9" t="str">
        <f t="shared" si="6"/>
        <v>Mumb@i</v>
      </c>
      <c r="L64" s="8" t="s">
        <v>346</v>
      </c>
      <c r="M64" s="8" t="str">
        <f t="shared" si="7"/>
        <v>Sunday</v>
      </c>
      <c r="N64" s="8" t="str">
        <f t="shared" si="8"/>
        <v>Sun</v>
      </c>
      <c r="O64" s="8" t="str">
        <f t="shared" si="9"/>
        <v>day</v>
      </c>
      <c r="P64" s="8">
        <f t="shared" si="10"/>
        <v>10</v>
      </c>
      <c r="Q64" s="8">
        <f t="shared" si="11"/>
        <v>2022</v>
      </c>
      <c r="R64" s="8" t="s">
        <v>347</v>
      </c>
      <c r="S64" s="8">
        <f t="shared" si="12"/>
        <v>9</v>
      </c>
      <c r="T64" s="8">
        <f t="shared" si="13"/>
        <v>17</v>
      </c>
      <c r="U64" s="8">
        <f t="shared" si="14"/>
        <v>4</v>
      </c>
      <c r="V64" s="8">
        <v>59448</v>
      </c>
      <c r="W64" s="8">
        <v>53826</v>
      </c>
      <c r="X64" s="9" t="str">
        <f t="shared" si="15"/>
        <v>Highe Target</v>
      </c>
      <c r="Y64" s="9" t="str">
        <f t="shared" si="16"/>
        <v>Highe target</v>
      </c>
      <c r="Z64" s="9" t="str" cm="1">
        <f t="array" ref="Z64">_xlfn.IFS(W64&lt;60000,"LOWERTarget",W64&lt;80000,"Medium Target",W64,"Highe Target")</f>
        <v>LOWERTarget</v>
      </c>
      <c r="AA64" s="8" t="s">
        <v>126</v>
      </c>
      <c r="AB64" s="5" t="str">
        <f t="shared" si="17"/>
        <v>ACCURATE REPORTS</v>
      </c>
      <c r="AC64" s="5" t="str">
        <f t="shared" si="18"/>
        <v>accurate reports</v>
      </c>
      <c r="AD64" s="5" t="str">
        <f t="shared" si="19"/>
        <v>Accurate Reports</v>
      </c>
      <c r="AF64" s="6"/>
    </row>
    <row r="65" ht="14.25" customHeight="1" spans="1:32">
      <c r="A65" s="8" t="s">
        <v>348</v>
      </c>
      <c r="B65" s="8" t="s">
        <v>349</v>
      </c>
      <c r="C65" s="9">
        <f t="shared" si="0"/>
        <v>13</v>
      </c>
      <c r="D65" s="8" t="s">
        <v>35</v>
      </c>
      <c r="E65" s="8" t="str">
        <f t="shared" si="1"/>
        <v>Madhuri Patel(E1141) - Finance</v>
      </c>
      <c r="F65" s="9" t="str">
        <f t="shared" si="2"/>
        <v>Madhuri Patel(E1141) -</v>
      </c>
      <c r="G65" s="9" t="str">
        <f t="shared" si="3"/>
        <v>Finance</v>
      </c>
      <c r="H65" s="9">
        <f t="shared" si="4"/>
        <v>22</v>
      </c>
      <c r="I65" s="9">
        <f t="shared" si="5"/>
        <v>8</v>
      </c>
      <c r="J65" s="8" t="s">
        <v>61</v>
      </c>
      <c r="K65" s="9" t="str">
        <f t="shared" si="6"/>
        <v>Chenn@i</v>
      </c>
      <c r="L65" s="8" t="s">
        <v>350</v>
      </c>
      <c r="M65" s="8" t="str">
        <f t="shared" si="7"/>
        <v>Thursday</v>
      </c>
      <c r="N65" s="8" t="str">
        <f t="shared" si="8"/>
        <v>Thu</v>
      </c>
      <c r="O65" s="8" t="str">
        <f t="shared" si="9"/>
        <v>day</v>
      </c>
      <c r="P65" s="8">
        <f t="shared" si="10"/>
        <v>12</v>
      </c>
      <c r="Q65" s="8">
        <f t="shared" si="11"/>
        <v>2022</v>
      </c>
      <c r="R65" s="8" t="s">
        <v>351</v>
      </c>
      <c r="S65" s="8">
        <f t="shared" si="12"/>
        <v>8</v>
      </c>
      <c r="T65" s="8">
        <f t="shared" si="13"/>
        <v>36</v>
      </c>
      <c r="U65" s="8">
        <f t="shared" si="14"/>
        <v>32</v>
      </c>
      <c r="V65" s="8">
        <v>49082</v>
      </c>
      <c r="W65" s="8">
        <v>53942</v>
      </c>
      <c r="X65" s="9" t="str">
        <f t="shared" si="15"/>
        <v>Highe Target</v>
      </c>
      <c r="Y65" s="9" t="str">
        <f t="shared" si="16"/>
        <v>Highe target</v>
      </c>
      <c r="Z65" s="9" t="str" cm="1">
        <f t="array" ref="Z65">_xlfn.IFS(W65&lt;60000,"LOWERTarget",W65&lt;80000,"Medium Target",W65,"Highe Target")</f>
        <v>LOWERTarget</v>
      </c>
      <c r="AA65" s="8" t="s">
        <v>138</v>
      </c>
      <c r="AB65" s="5" t="str">
        <f t="shared" si="17"/>
        <v>GOOD TEAMWORK</v>
      </c>
      <c r="AC65" s="5" t="str">
        <f t="shared" si="18"/>
        <v>good teamwork</v>
      </c>
      <c r="AD65" s="5" t="str">
        <f t="shared" si="19"/>
        <v>Good Teamwork</v>
      </c>
      <c r="AF65" s="6"/>
    </row>
    <row r="66" ht="14.25" customHeight="1" spans="1:32">
      <c r="A66" s="8" t="s">
        <v>352</v>
      </c>
      <c r="B66" s="8" t="s">
        <v>353</v>
      </c>
      <c r="C66" s="9">
        <f t="shared" ref="C66:C129" si="20">LEN(B66)</f>
        <v>13</v>
      </c>
      <c r="D66" s="8" t="s">
        <v>44</v>
      </c>
      <c r="E66" s="8" t="str">
        <f t="shared" ref="E66:E129" si="21">_xlfn.CONCAT(B66,"(",A66,")"," - ",D66)</f>
        <v>Sneha Agarwal(E1196) - Marketing</v>
      </c>
      <c r="F66" s="9" t="str">
        <f t="shared" ref="F66:F129" si="22">LEFT(E66,FIND("-",E66))</f>
        <v>Sneha Agarwal(E1196) -</v>
      </c>
      <c r="G66" s="9" t="str">
        <f t="shared" ref="G66:G129" si="23">RIGHT(E66,LEN(E66)-FIND("-",E66)-1)</f>
        <v>Marketing</v>
      </c>
      <c r="H66" s="9">
        <f t="shared" ref="H66:H129" si="24">FIND("-",E66)</f>
        <v>22</v>
      </c>
      <c r="I66" s="9">
        <f t="shared" ref="I66:I129" si="25">LEN(E66)-FIND("-",E66)</f>
        <v>10</v>
      </c>
      <c r="J66" s="8" t="s">
        <v>76</v>
      </c>
      <c r="K66" s="9" t="str">
        <f t="shared" ref="K66:K129" si="26">SUBSTITUTE(J66,"a","@",1)</f>
        <v>Pune</v>
      </c>
      <c r="L66" s="8" t="s">
        <v>354</v>
      </c>
      <c r="M66" s="8" t="str">
        <f t="shared" ref="M66:M129" si="27">TEXT(L66,"dddd")</f>
        <v>Tuesday</v>
      </c>
      <c r="N66" s="8" t="str">
        <f t="shared" ref="N66:N129" si="28">LEFT(M66,3)</f>
        <v>Tue</v>
      </c>
      <c r="O66" s="8" t="str">
        <f t="shared" ref="O66:O129" si="29">RIGHT(M66,3)</f>
        <v>day</v>
      </c>
      <c r="P66" s="8">
        <f t="shared" ref="P66:P129" si="30">MONTH(L66)</f>
        <v>6</v>
      </c>
      <c r="Q66" s="8">
        <f t="shared" ref="Q66:Q129" si="31">YEAR(L66)</f>
        <v>2022</v>
      </c>
      <c r="R66" s="8" t="s">
        <v>355</v>
      </c>
      <c r="S66" s="8">
        <f t="shared" ref="S66:S129" si="32">HOUR(R66)</f>
        <v>9</v>
      </c>
      <c r="T66" s="8">
        <f t="shared" ref="T66:T129" si="33">MINUTE(R66)</f>
        <v>45</v>
      </c>
      <c r="U66" s="8">
        <f t="shared" ref="U66:U129" si="34">SECOND(R66)</f>
        <v>28</v>
      </c>
      <c r="V66" s="8">
        <v>57777</v>
      </c>
      <c r="W66" s="8">
        <v>54062</v>
      </c>
      <c r="X66" s="9" t="str">
        <f t="shared" ref="X66:X129" si="35">IF(W66&gt;50000,"Highe Target","Low Target")</f>
        <v>Highe Target</v>
      </c>
      <c r="Y66" s="9" t="str">
        <f t="shared" ref="Y66:Y129" si="36">IF(NOT(W66&lt;50000),"Highe target","Lower Target")</f>
        <v>Highe target</v>
      </c>
      <c r="Z66" s="9" t="str" cm="1">
        <f t="array" ref="Z66">_xlfn.IFS(W66&lt;60000,"LOWERTarget",W66&lt;80000,"Medium Target",W66,"Highe Target")</f>
        <v>LOWERTarget</v>
      </c>
      <c r="AA66" s="8" t="s">
        <v>96</v>
      </c>
      <c r="AB66" s="5" t="str">
        <f t="shared" ref="AB66:AB129" si="37">UPPER(AA66)</f>
        <v>FAST DELIVERY</v>
      </c>
      <c r="AC66" s="5" t="str">
        <f t="shared" ref="AC66:AC129" si="38">LOWER(AA66)</f>
        <v>fast delivery</v>
      </c>
      <c r="AD66" s="5" t="str">
        <f t="shared" ref="AD66:AD129" si="39">PROPER(AA66)</f>
        <v>Fast Delivery</v>
      </c>
      <c r="AF66" s="6"/>
    </row>
    <row r="67" ht="14.25" customHeight="1" spans="1:32">
      <c r="A67" s="8" t="s">
        <v>356</v>
      </c>
      <c r="B67" s="8" t="s">
        <v>357</v>
      </c>
      <c r="C67" s="9">
        <f t="shared" si="20"/>
        <v>11</v>
      </c>
      <c r="D67" s="8" t="s">
        <v>60</v>
      </c>
      <c r="E67" s="8" t="str">
        <f t="shared" si="21"/>
        <v>Nidhi Patel(E1253) - HR</v>
      </c>
      <c r="F67" s="9" t="str">
        <f t="shared" si="22"/>
        <v>Nidhi Patel(E1253) -</v>
      </c>
      <c r="G67" s="9" t="str">
        <f t="shared" si="23"/>
        <v>HR</v>
      </c>
      <c r="H67" s="9">
        <f t="shared" si="24"/>
        <v>20</v>
      </c>
      <c r="I67" s="9">
        <f t="shared" si="25"/>
        <v>3</v>
      </c>
      <c r="J67" s="8" t="s">
        <v>153</v>
      </c>
      <c r="K67" s="9" t="str">
        <f t="shared" si="26"/>
        <v>Mumb@i</v>
      </c>
      <c r="L67" s="8" t="s">
        <v>358</v>
      </c>
      <c r="M67" s="8" t="str">
        <f t="shared" si="27"/>
        <v>Tuesday</v>
      </c>
      <c r="N67" s="8" t="str">
        <f t="shared" si="28"/>
        <v>Tue</v>
      </c>
      <c r="O67" s="8" t="str">
        <f t="shared" si="29"/>
        <v>day</v>
      </c>
      <c r="P67" s="8">
        <f t="shared" si="30"/>
        <v>4</v>
      </c>
      <c r="Q67" s="8">
        <f t="shared" si="31"/>
        <v>2023</v>
      </c>
      <c r="R67" s="8" t="s">
        <v>359</v>
      </c>
      <c r="S67" s="8">
        <f t="shared" si="32"/>
        <v>9</v>
      </c>
      <c r="T67" s="8">
        <f t="shared" si="33"/>
        <v>14</v>
      </c>
      <c r="U67" s="8">
        <f t="shared" si="34"/>
        <v>34</v>
      </c>
      <c r="V67" s="8">
        <v>42937</v>
      </c>
      <c r="W67" s="8">
        <v>54238</v>
      </c>
      <c r="X67" s="9" t="str">
        <f t="shared" si="35"/>
        <v>Highe Target</v>
      </c>
      <c r="Y67" s="9" t="str">
        <f t="shared" si="36"/>
        <v>Highe target</v>
      </c>
      <c r="Z67" s="9" t="str" cm="1">
        <f t="array" ref="Z67">_xlfn.IFS(W67&lt;60000,"LOWERTarget",W67&lt;80000,"Medium Target",W67,"Highe Target")</f>
        <v>LOWERTarget</v>
      </c>
      <c r="AA67" s="8" t="s">
        <v>285</v>
      </c>
      <c r="AB67" s="5" t="str">
        <f t="shared" si="37"/>
        <v>QUICK RESPONSE</v>
      </c>
      <c r="AC67" s="5" t="str">
        <f t="shared" si="38"/>
        <v>quick response</v>
      </c>
      <c r="AD67" s="5" t="str">
        <f t="shared" si="39"/>
        <v>Quick Response</v>
      </c>
      <c r="AF67" s="6"/>
    </row>
    <row r="68" ht="14.25" customHeight="1" spans="1:32">
      <c r="A68" s="8" t="s">
        <v>360</v>
      </c>
      <c r="B68" s="8" t="s">
        <v>361</v>
      </c>
      <c r="C68" s="9">
        <f t="shared" si="20"/>
        <v>11</v>
      </c>
      <c r="D68" s="8" t="s">
        <v>60</v>
      </c>
      <c r="E68" s="8" t="str">
        <f t="shared" si="21"/>
        <v>Amit Chopra(E1269) - HR</v>
      </c>
      <c r="F68" s="9" t="str">
        <f t="shared" si="22"/>
        <v>Amit Chopra(E1269) -</v>
      </c>
      <c r="G68" s="9" t="str">
        <f t="shared" si="23"/>
        <v>HR</v>
      </c>
      <c r="H68" s="9">
        <f t="shared" si="24"/>
        <v>20</v>
      </c>
      <c r="I68" s="9">
        <f t="shared" si="25"/>
        <v>3</v>
      </c>
      <c r="J68" s="8" t="s">
        <v>45</v>
      </c>
      <c r="K68" s="9" t="str">
        <f t="shared" si="26"/>
        <v>B@ngalore</v>
      </c>
      <c r="L68" s="8" t="s">
        <v>362</v>
      </c>
      <c r="M68" s="8" t="str">
        <f t="shared" si="27"/>
        <v>Thursday</v>
      </c>
      <c r="N68" s="8" t="str">
        <f t="shared" si="28"/>
        <v>Thu</v>
      </c>
      <c r="O68" s="8" t="str">
        <f t="shared" si="29"/>
        <v>day</v>
      </c>
      <c r="P68" s="8">
        <f t="shared" si="30"/>
        <v>5</v>
      </c>
      <c r="Q68" s="8">
        <f t="shared" si="31"/>
        <v>2021</v>
      </c>
      <c r="R68" s="8" t="s">
        <v>363</v>
      </c>
      <c r="S68" s="8">
        <f t="shared" si="32"/>
        <v>10</v>
      </c>
      <c r="T68" s="8">
        <f t="shared" si="33"/>
        <v>9</v>
      </c>
      <c r="U68" s="8">
        <f t="shared" si="34"/>
        <v>0</v>
      </c>
      <c r="V68" s="8">
        <v>72477</v>
      </c>
      <c r="W68" s="8">
        <v>54334</v>
      </c>
      <c r="X68" s="9" t="str">
        <f t="shared" si="35"/>
        <v>Highe Target</v>
      </c>
      <c r="Y68" s="9" t="str">
        <f t="shared" si="36"/>
        <v>Highe target</v>
      </c>
      <c r="Z68" s="9" t="str" cm="1">
        <f t="array" ref="Z68">_xlfn.IFS(W68&lt;60000,"LOWERTarget",W68&lt;80000,"Medium Target",W68,"Highe Target")</f>
        <v>LOWERTarget</v>
      </c>
      <c r="AA68" s="8" t="s">
        <v>179</v>
      </c>
      <c r="AB68" s="5" t="str">
        <f t="shared" si="37"/>
        <v>HELPFUL ATTITUDE</v>
      </c>
      <c r="AC68" s="5" t="str">
        <f t="shared" si="38"/>
        <v>helpful attitude</v>
      </c>
      <c r="AD68" s="5" t="str">
        <f t="shared" si="39"/>
        <v>Helpful Attitude</v>
      </c>
      <c r="AF68" s="6"/>
    </row>
    <row r="69" ht="14.25" customHeight="1" spans="1:32">
      <c r="A69" s="8" t="s">
        <v>364</v>
      </c>
      <c r="B69" s="8" t="s">
        <v>290</v>
      </c>
      <c r="C69" s="9">
        <f t="shared" si="20"/>
        <v>11</v>
      </c>
      <c r="D69" s="8" t="s">
        <v>35</v>
      </c>
      <c r="E69" s="8" t="str">
        <f t="shared" si="21"/>
        <v>Nisha Singh(E1148) - Finance</v>
      </c>
      <c r="F69" s="9" t="str">
        <f t="shared" si="22"/>
        <v>Nisha Singh(E1148) -</v>
      </c>
      <c r="G69" s="9" t="str">
        <f t="shared" si="23"/>
        <v>Finance</v>
      </c>
      <c r="H69" s="9">
        <f t="shared" si="24"/>
        <v>20</v>
      </c>
      <c r="I69" s="9">
        <f t="shared" si="25"/>
        <v>8</v>
      </c>
      <c r="J69" s="8" t="s">
        <v>36</v>
      </c>
      <c r="K69" s="9" t="str">
        <f t="shared" si="26"/>
        <v>Ahmed@bad</v>
      </c>
      <c r="L69" s="8" t="s">
        <v>365</v>
      </c>
      <c r="M69" s="8" t="str">
        <f t="shared" si="27"/>
        <v>Saturday</v>
      </c>
      <c r="N69" s="8" t="str">
        <f t="shared" si="28"/>
        <v>Sat</v>
      </c>
      <c r="O69" s="8" t="str">
        <f t="shared" si="29"/>
        <v>day</v>
      </c>
      <c r="P69" s="8">
        <f t="shared" si="30"/>
        <v>12</v>
      </c>
      <c r="Q69" s="8">
        <f t="shared" si="31"/>
        <v>2023</v>
      </c>
      <c r="R69" s="8" t="s">
        <v>366</v>
      </c>
      <c r="S69" s="8">
        <f t="shared" si="32"/>
        <v>10</v>
      </c>
      <c r="T69" s="8">
        <f t="shared" si="33"/>
        <v>19</v>
      </c>
      <c r="U69" s="8">
        <f t="shared" si="34"/>
        <v>2</v>
      </c>
      <c r="V69" s="8">
        <v>65354</v>
      </c>
      <c r="W69" s="8">
        <v>54451</v>
      </c>
      <c r="X69" s="9" t="str">
        <f t="shared" si="35"/>
        <v>Highe Target</v>
      </c>
      <c r="Y69" s="9" t="str">
        <f t="shared" si="36"/>
        <v>Highe target</v>
      </c>
      <c r="Z69" s="9" t="str" cm="1">
        <f t="array" ref="Z69">_xlfn.IFS(W69&lt;60000,"LOWERTarget",W69&lt;80000,"Medium Target",W69,"Highe Target")</f>
        <v>LOWERTarget</v>
      </c>
      <c r="AA69" s="8" t="s">
        <v>79</v>
      </c>
      <c r="AB69" s="5" t="str">
        <f t="shared" si="37"/>
        <v>EXCELLENT LEADERSHIP</v>
      </c>
      <c r="AC69" s="5" t="str">
        <f t="shared" si="38"/>
        <v>excellent leadership</v>
      </c>
      <c r="AD69" s="5" t="str">
        <f t="shared" si="39"/>
        <v>Excellent Leadership</v>
      </c>
      <c r="AF69" s="6"/>
    </row>
    <row r="70" ht="14.25" customHeight="1" spans="1:32">
      <c r="A70" s="8" t="s">
        <v>367</v>
      </c>
      <c r="B70" s="8" t="s">
        <v>368</v>
      </c>
      <c r="C70" s="9">
        <f t="shared" si="20"/>
        <v>13</v>
      </c>
      <c r="D70" s="8" t="s">
        <v>35</v>
      </c>
      <c r="E70" s="8" t="str">
        <f t="shared" si="21"/>
        <v>Anjali Bansal(E1020) - Finance</v>
      </c>
      <c r="F70" s="9" t="str">
        <f t="shared" si="22"/>
        <v>Anjali Bansal(E1020) -</v>
      </c>
      <c r="G70" s="9" t="str">
        <f t="shared" si="23"/>
        <v>Finance</v>
      </c>
      <c r="H70" s="9">
        <f t="shared" si="24"/>
        <v>22</v>
      </c>
      <c r="I70" s="9">
        <f t="shared" si="25"/>
        <v>8</v>
      </c>
      <c r="J70" s="8" t="s">
        <v>36</v>
      </c>
      <c r="K70" s="9" t="str">
        <f t="shared" si="26"/>
        <v>Ahmed@bad</v>
      </c>
      <c r="L70" s="8" t="s">
        <v>369</v>
      </c>
      <c r="M70" s="8" t="str">
        <f t="shared" si="27"/>
        <v>Sunday</v>
      </c>
      <c r="N70" s="8" t="str">
        <f t="shared" si="28"/>
        <v>Sun</v>
      </c>
      <c r="O70" s="8" t="str">
        <f t="shared" si="29"/>
        <v>day</v>
      </c>
      <c r="P70" s="8">
        <f t="shared" si="30"/>
        <v>11</v>
      </c>
      <c r="Q70" s="8">
        <f t="shared" si="31"/>
        <v>2023</v>
      </c>
      <c r="R70" s="8" t="s">
        <v>370</v>
      </c>
      <c r="S70" s="8">
        <f t="shared" si="32"/>
        <v>9</v>
      </c>
      <c r="T70" s="8">
        <f t="shared" si="33"/>
        <v>7</v>
      </c>
      <c r="U70" s="8">
        <f t="shared" si="34"/>
        <v>15</v>
      </c>
      <c r="V70" s="8">
        <v>43921</v>
      </c>
      <c r="W70" s="8">
        <v>54725</v>
      </c>
      <c r="X70" s="9" t="str">
        <f t="shared" si="35"/>
        <v>Highe Target</v>
      </c>
      <c r="Y70" s="9" t="str">
        <f t="shared" si="36"/>
        <v>Highe target</v>
      </c>
      <c r="Z70" s="9" t="str" cm="1">
        <f t="array" ref="Z70">_xlfn.IFS(W70&lt;60000,"LOWERTarget",W70&lt;80000,"Medium Target",W70,"Highe Target")</f>
        <v>LOWERTarget</v>
      </c>
      <c r="AA70" s="8" t="s">
        <v>48</v>
      </c>
      <c r="AB70" s="5" t="str">
        <f t="shared" si="37"/>
        <v>CREATIVE IDEAS</v>
      </c>
      <c r="AC70" s="5" t="str">
        <f t="shared" si="38"/>
        <v>creative ideas</v>
      </c>
      <c r="AD70" s="5" t="str">
        <f t="shared" si="39"/>
        <v>Creative Ideas</v>
      </c>
      <c r="AF70" s="6"/>
    </row>
    <row r="71" ht="14.25" customHeight="1" spans="1:32">
      <c r="A71" s="8" t="s">
        <v>371</v>
      </c>
      <c r="B71" s="8" t="s">
        <v>372</v>
      </c>
      <c r="C71" s="9">
        <f t="shared" si="20"/>
        <v>10</v>
      </c>
      <c r="D71" s="8" t="s">
        <v>44</v>
      </c>
      <c r="E71" s="8" t="str">
        <f t="shared" si="21"/>
        <v>Harsh Shah(E1226) - Marketing</v>
      </c>
      <c r="F71" s="9" t="str">
        <f t="shared" si="22"/>
        <v>Harsh Shah(E1226) -</v>
      </c>
      <c r="G71" s="9" t="str">
        <f t="shared" si="23"/>
        <v>Marketing</v>
      </c>
      <c r="H71" s="9">
        <f t="shared" si="24"/>
        <v>19</v>
      </c>
      <c r="I71" s="9">
        <f t="shared" si="25"/>
        <v>10</v>
      </c>
      <c r="J71" s="8" t="s">
        <v>45</v>
      </c>
      <c r="K71" s="9" t="str">
        <f t="shared" si="26"/>
        <v>B@ngalore</v>
      </c>
      <c r="L71" s="8" t="s">
        <v>373</v>
      </c>
      <c r="M71" s="8" t="str">
        <f t="shared" si="27"/>
        <v>Friday</v>
      </c>
      <c r="N71" s="8" t="str">
        <f t="shared" si="28"/>
        <v>Fri</v>
      </c>
      <c r="O71" s="8" t="str">
        <f t="shared" si="29"/>
        <v>day</v>
      </c>
      <c r="P71" s="8">
        <f t="shared" si="30"/>
        <v>5</v>
      </c>
      <c r="Q71" s="8">
        <f t="shared" si="31"/>
        <v>2022</v>
      </c>
      <c r="R71" s="8" t="s">
        <v>374</v>
      </c>
      <c r="S71" s="8">
        <f t="shared" si="32"/>
        <v>9</v>
      </c>
      <c r="T71" s="8">
        <f t="shared" si="33"/>
        <v>35</v>
      </c>
      <c r="U71" s="8">
        <f t="shared" si="34"/>
        <v>19</v>
      </c>
      <c r="V71" s="8">
        <v>59240</v>
      </c>
      <c r="W71" s="8">
        <v>54736</v>
      </c>
      <c r="X71" s="9" t="str">
        <f t="shared" si="35"/>
        <v>Highe Target</v>
      </c>
      <c r="Y71" s="9" t="str">
        <f t="shared" si="36"/>
        <v>Highe target</v>
      </c>
      <c r="Z71" s="9" t="str" cm="1">
        <f t="array" ref="Z71">_xlfn.IFS(W71&lt;60000,"LOWERTarget",W71&lt;80000,"Medium Target",W71,"Highe Target")</f>
        <v>LOWERTarget</v>
      </c>
      <c r="AA71" s="8" t="s">
        <v>118</v>
      </c>
      <c r="AB71" s="5" t="str">
        <f t="shared" si="37"/>
        <v>CUSTOMER FOCUSED</v>
      </c>
      <c r="AC71" s="5" t="str">
        <f t="shared" si="38"/>
        <v>customer focused</v>
      </c>
      <c r="AD71" s="5" t="str">
        <f t="shared" si="39"/>
        <v>Customer Focused</v>
      </c>
      <c r="AF71" s="6"/>
    </row>
    <row r="72" ht="14.25" customHeight="1" spans="1:32">
      <c r="A72" s="8" t="s">
        <v>375</v>
      </c>
      <c r="B72" s="8" t="s">
        <v>376</v>
      </c>
      <c r="C72" s="9">
        <f t="shared" si="20"/>
        <v>9</v>
      </c>
      <c r="D72" s="8" t="s">
        <v>60</v>
      </c>
      <c r="E72" s="8" t="str">
        <f t="shared" si="21"/>
        <v>Neha Jain(E1230) - HR</v>
      </c>
      <c r="F72" s="9" t="str">
        <f t="shared" si="22"/>
        <v>Neha Jain(E1230) -</v>
      </c>
      <c r="G72" s="9" t="str">
        <f t="shared" si="23"/>
        <v>HR</v>
      </c>
      <c r="H72" s="9">
        <f t="shared" si="24"/>
        <v>18</v>
      </c>
      <c r="I72" s="9">
        <f t="shared" si="25"/>
        <v>3</v>
      </c>
      <c r="J72" s="8" t="s">
        <v>45</v>
      </c>
      <c r="K72" s="9" t="str">
        <f t="shared" si="26"/>
        <v>B@ngalore</v>
      </c>
      <c r="L72" s="8" t="s">
        <v>377</v>
      </c>
      <c r="M72" s="8" t="str">
        <f t="shared" si="27"/>
        <v>Wednesday</v>
      </c>
      <c r="N72" s="8" t="str">
        <f t="shared" si="28"/>
        <v>Wed</v>
      </c>
      <c r="O72" s="8" t="str">
        <f t="shared" si="29"/>
        <v>day</v>
      </c>
      <c r="P72" s="8">
        <f t="shared" si="30"/>
        <v>4</v>
      </c>
      <c r="Q72" s="8">
        <f t="shared" si="31"/>
        <v>2021</v>
      </c>
      <c r="R72" s="8" t="s">
        <v>378</v>
      </c>
      <c r="S72" s="8">
        <f t="shared" si="32"/>
        <v>10</v>
      </c>
      <c r="T72" s="8">
        <f t="shared" si="33"/>
        <v>57</v>
      </c>
      <c r="U72" s="8">
        <f t="shared" si="34"/>
        <v>33</v>
      </c>
      <c r="V72" s="8">
        <v>55048</v>
      </c>
      <c r="W72" s="8">
        <v>54789</v>
      </c>
      <c r="X72" s="9" t="str">
        <f t="shared" si="35"/>
        <v>Highe Target</v>
      </c>
      <c r="Y72" s="9" t="str">
        <f t="shared" si="36"/>
        <v>Highe target</v>
      </c>
      <c r="Z72" s="9" t="str" cm="1">
        <f t="array" ref="Z72">_xlfn.IFS(W72&lt;60000,"LOWERTarget",W72&lt;80000,"Medium Target",W72,"Highe Target")</f>
        <v>LOWERTarget</v>
      </c>
      <c r="AA72" s="8" t="s">
        <v>87</v>
      </c>
      <c r="AB72" s="5" t="str">
        <f t="shared" si="37"/>
        <v>EXCELLENT SERVICE</v>
      </c>
      <c r="AC72" s="5" t="str">
        <f t="shared" si="38"/>
        <v>excellent service</v>
      </c>
      <c r="AD72" s="5" t="str">
        <f t="shared" si="39"/>
        <v>Excellent Service</v>
      </c>
      <c r="AF72" s="6"/>
    </row>
    <row r="73" ht="14.25" customHeight="1" spans="1:32">
      <c r="A73" s="8" t="s">
        <v>379</v>
      </c>
      <c r="B73" s="8" t="s">
        <v>380</v>
      </c>
      <c r="C73" s="9">
        <f t="shared" si="20"/>
        <v>12</v>
      </c>
      <c r="D73" s="8" t="s">
        <v>44</v>
      </c>
      <c r="E73" s="8" t="str">
        <f t="shared" si="21"/>
        <v>Amit Agarwal(E1150) - Marketing</v>
      </c>
      <c r="F73" s="9" t="str">
        <f t="shared" si="22"/>
        <v>Amit Agarwal(E1150) -</v>
      </c>
      <c r="G73" s="9" t="str">
        <f t="shared" si="23"/>
        <v>Marketing</v>
      </c>
      <c r="H73" s="9">
        <f t="shared" si="24"/>
        <v>21</v>
      </c>
      <c r="I73" s="9">
        <f t="shared" si="25"/>
        <v>10</v>
      </c>
      <c r="J73" s="8" t="s">
        <v>53</v>
      </c>
      <c r="K73" s="9" t="str">
        <f t="shared" si="26"/>
        <v>Delhi</v>
      </c>
      <c r="L73" s="8" t="s">
        <v>381</v>
      </c>
      <c r="M73" s="8" t="str">
        <f t="shared" si="27"/>
        <v>Wednesday</v>
      </c>
      <c r="N73" s="8" t="str">
        <f t="shared" si="28"/>
        <v>Wed</v>
      </c>
      <c r="O73" s="8" t="str">
        <f t="shared" si="29"/>
        <v>day</v>
      </c>
      <c r="P73" s="8">
        <f t="shared" si="30"/>
        <v>9</v>
      </c>
      <c r="Q73" s="8">
        <f t="shared" si="31"/>
        <v>2021</v>
      </c>
      <c r="R73" s="8" t="s">
        <v>382</v>
      </c>
      <c r="S73" s="8">
        <f t="shared" si="32"/>
        <v>9</v>
      </c>
      <c r="T73" s="8">
        <f t="shared" si="33"/>
        <v>34</v>
      </c>
      <c r="U73" s="8">
        <f t="shared" si="34"/>
        <v>45</v>
      </c>
      <c r="V73" s="8">
        <v>72865</v>
      </c>
      <c r="W73" s="8">
        <v>55080</v>
      </c>
      <c r="X73" s="9" t="str">
        <f t="shared" si="35"/>
        <v>Highe Target</v>
      </c>
      <c r="Y73" s="9" t="str">
        <f t="shared" si="36"/>
        <v>Highe target</v>
      </c>
      <c r="Z73" s="9" t="str" cm="1">
        <f t="array" ref="Z73">_xlfn.IFS(W73&lt;60000,"LOWERTarget",W73&lt;80000,"Medium Target",W73,"Highe Target")</f>
        <v>LOWERTarget</v>
      </c>
      <c r="AA73" s="8" t="s">
        <v>229</v>
      </c>
      <c r="AB73" s="5" t="str">
        <f t="shared" si="37"/>
        <v>STRONG PRESENTATION</v>
      </c>
      <c r="AC73" s="5" t="str">
        <f t="shared" si="38"/>
        <v>strong presentation</v>
      </c>
      <c r="AD73" s="5" t="str">
        <f t="shared" si="39"/>
        <v>Strong Presentation</v>
      </c>
      <c r="AF73" s="6"/>
    </row>
    <row r="74" ht="14.25" customHeight="1" spans="1:32">
      <c r="A74" s="8" t="s">
        <v>383</v>
      </c>
      <c r="B74" s="8" t="s">
        <v>384</v>
      </c>
      <c r="C74" s="9">
        <f t="shared" si="20"/>
        <v>10</v>
      </c>
      <c r="D74" s="8" t="s">
        <v>35</v>
      </c>
      <c r="E74" s="8" t="str">
        <f t="shared" si="21"/>
        <v>Priya Nair(E1088) - Finance</v>
      </c>
      <c r="F74" s="9" t="str">
        <f t="shared" si="22"/>
        <v>Priya Nair(E1088) -</v>
      </c>
      <c r="G74" s="9" t="str">
        <f t="shared" si="23"/>
        <v>Finance</v>
      </c>
      <c r="H74" s="9">
        <f t="shared" si="24"/>
        <v>19</v>
      </c>
      <c r="I74" s="9">
        <f t="shared" si="25"/>
        <v>8</v>
      </c>
      <c r="J74" s="8" t="s">
        <v>61</v>
      </c>
      <c r="K74" s="9" t="str">
        <f t="shared" si="26"/>
        <v>Chenn@i</v>
      </c>
      <c r="L74" s="8" t="s">
        <v>385</v>
      </c>
      <c r="M74" s="8" t="str">
        <f t="shared" si="27"/>
        <v>Tuesday</v>
      </c>
      <c r="N74" s="8" t="str">
        <f t="shared" si="28"/>
        <v>Tue</v>
      </c>
      <c r="O74" s="8" t="str">
        <f t="shared" si="29"/>
        <v>day</v>
      </c>
      <c r="P74" s="8">
        <f t="shared" si="30"/>
        <v>12</v>
      </c>
      <c r="Q74" s="8">
        <f t="shared" si="31"/>
        <v>2024</v>
      </c>
      <c r="R74" s="8" t="s">
        <v>386</v>
      </c>
      <c r="S74" s="8">
        <f t="shared" si="32"/>
        <v>9</v>
      </c>
      <c r="T74" s="8">
        <f t="shared" si="33"/>
        <v>4</v>
      </c>
      <c r="U74" s="8">
        <f t="shared" si="34"/>
        <v>43</v>
      </c>
      <c r="V74" s="8">
        <v>57634</v>
      </c>
      <c r="W74" s="8">
        <v>55297</v>
      </c>
      <c r="X74" s="9" t="str">
        <f t="shared" si="35"/>
        <v>Highe Target</v>
      </c>
      <c r="Y74" s="9" t="str">
        <f t="shared" si="36"/>
        <v>Highe target</v>
      </c>
      <c r="Z74" s="9" t="str" cm="1">
        <f t="array" ref="Z74">_xlfn.IFS(W74&lt;60000,"LOWERTarget",W74&lt;80000,"Medium Target",W74,"Highe Target")</f>
        <v>LOWERTarget</v>
      </c>
      <c r="AA74" s="8" t="s">
        <v>118</v>
      </c>
      <c r="AB74" s="5" t="str">
        <f t="shared" si="37"/>
        <v>CUSTOMER FOCUSED</v>
      </c>
      <c r="AC74" s="5" t="str">
        <f t="shared" si="38"/>
        <v>customer focused</v>
      </c>
      <c r="AD74" s="5" t="str">
        <f t="shared" si="39"/>
        <v>Customer Focused</v>
      </c>
      <c r="AF74" s="6"/>
    </row>
    <row r="75" ht="14.25" customHeight="1" spans="1:32">
      <c r="A75" s="8" t="s">
        <v>387</v>
      </c>
      <c r="B75" s="8" t="s">
        <v>388</v>
      </c>
      <c r="C75" s="9">
        <f t="shared" si="20"/>
        <v>15</v>
      </c>
      <c r="D75" s="8" t="s">
        <v>35</v>
      </c>
      <c r="E75" s="8" t="str">
        <f t="shared" si="21"/>
        <v>Siddharth Joshi(E1199) - Finance</v>
      </c>
      <c r="F75" s="9" t="str">
        <f t="shared" si="22"/>
        <v>Siddharth Joshi(E1199) -</v>
      </c>
      <c r="G75" s="9" t="str">
        <f t="shared" si="23"/>
        <v>Finance</v>
      </c>
      <c r="H75" s="9">
        <f t="shared" si="24"/>
        <v>24</v>
      </c>
      <c r="I75" s="9">
        <f t="shared" si="25"/>
        <v>8</v>
      </c>
      <c r="J75" s="8" t="s">
        <v>45</v>
      </c>
      <c r="K75" s="9" t="str">
        <f t="shared" si="26"/>
        <v>B@ngalore</v>
      </c>
      <c r="L75" s="8" t="s">
        <v>389</v>
      </c>
      <c r="M75" s="8" t="str">
        <f t="shared" si="27"/>
        <v>Monday</v>
      </c>
      <c r="N75" s="8" t="str">
        <f t="shared" si="28"/>
        <v>Mon</v>
      </c>
      <c r="O75" s="8" t="str">
        <f t="shared" si="29"/>
        <v>day</v>
      </c>
      <c r="P75" s="8">
        <f t="shared" si="30"/>
        <v>9</v>
      </c>
      <c r="Q75" s="8">
        <f t="shared" si="31"/>
        <v>2021</v>
      </c>
      <c r="R75" s="8" t="s">
        <v>390</v>
      </c>
      <c r="S75" s="8">
        <f t="shared" si="32"/>
        <v>8</v>
      </c>
      <c r="T75" s="8">
        <f t="shared" si="33"/>
        <v>50</v>
      </c>
      <c r="U75" s="8">
        <f t="shared" si="34"/>
        <v>8</v>
      </c>
      <c r="V75" s="8">
        <v>72890</v>
      </c>
      <c r="W75" s="8">
        <v>55514</v>
      </c>
      <c r="X75" s="9" t="str">
        <f t="shared" si="35"/>
        <v>Highe Target</v>
      </c>
      <c r="Y75" s="9" t="str">
        <f t="shared" si="36"/>
        <v>Highe target</v>
      </c>
      <c r="Z75" s="9" t="str" cm="1">
        <f t="array" ref="Z75">_xlfn.IFS(W75&lt;60000,"LOWERTarget",W75&lt;80000,"Medium Target",W75,"Highe Target")</f>
        <v>LOWERTarget</v>
      </c>
      <c r="AA75" s="8" t="s">
        <v>87</v>
      </c>
      <c r="AB75" s="5" t="str">
        <f t="shared" si="37"/>
        <v>EXCELLENT SERVICE</v>
      </c>
      <c r="AC75" s="5" t="str">
        <f t="shared" si="38"/>
        <v>excellent service</v>
      </c>
      <c r="AD75" s="5" t="str">
        <f t="shared" si="39"/>
        <v>Excellent Service</v>
      </c>
      <c r="AF75" s="6"/>
    </row>
    <row r="76" ht="14.25" customHeight="1" spans="1:32">
      <c r="A76" s="8" t="s">
        <v>391</v>
      </c>
      <c r="B76" s="8" t="s">
        <v>392</v>
      </c>
      <c r="C76" s="9">
        <f t="shared" si="20"/>
        <v>12</v>
      </c>
      <c r="D76" s="8" t="s">
        <v>35</v>
      </c>
      <c r="E76" s="8" t="str">
        <f t="shared" si="21"/>
        <v>Nidhi Mishra(E1032) - Finance</v>
      </c>
      <c r="F76" s="9" t="str">
        <f t="shared" si="22"/>
        <v>Nidhi Mishra(E1032) -</v>
      </c>
      <c r="G76" s="9" t="str">
        <f t="shared" si="23"/>
        <v>Finance</v>
      </c>
      <c r="H76" s="9">
        <f t="shared" si="24"/>
        <v>21</v>
      </c>
      <c r="I76" s="9">
        <f t="shared" si="25"/>
        <v>8</v>
      </c>
      <c r="J76" s="8" t="s">
        <v>61</v>
      </c>
      <c r="K76" s="9" t="str">
        <f t="shared" si="26"/>
        <v>Chenn@i</v>
      </c>
      <c r="L76" s="8" t="s">
        <v>393</v>
      </c>
      <c r="M76" s="8" t="str">
        <f t="shared" si="27"/>
        <v>Wednesday</v>
      </c>
      <c r="N76" s="8" t="str">
        <f t="shared" si="28"/>
        <v>Wed</v>
      </c>
      <c r="O76" s="8" t="str">
        <f t="shared" si="29"/>
        <v>day</v>
      </c>
      <c r="P76" s="8">
        <f t="shared" si="30"/>
        <v>2</v>
      </c>
      <c r="Q76" s="8">
        <f t="shared" si="31"/>
        <v>2022</v>
      </c>
      <c r="R76" s="8" t="s">
        <v>394</v>
      </c>
      <c r="S76" s="8">
        <f t="shared" si="32"/>
        <v>10</v>
      </c>
      <c r="T76" s="8">
        <f t="shared" si="33"/>
        <v>45</v>
      </c>
      <c r="U76" s="8">
        <f t="shared" si="34"/>
        <v>20</v>
      </c>
      <c r="V76" s="8">
        <v>58049</v>
      </c>
      <c r="W76" s="8">
        <v>55642</v>
      </c>
      <c r="X76" s="9" t="str">
        <f t="shared" si="35"/>
        <v>Highe Target</v>
      </c>
      <c r="Y76" s="9" t="str">
        <f t="shared" si="36"/>
        <v>Highe target</v>
      </c>
      <c r="Z76" s="9" t="str" cm="1">
        <f t="array" ref="Z76">_xlfn.IFS(W76&lt;60000,"LOWERTarget",W76&lt;80000,"Medium Target",W76,"Highe Target")</f>
        <v>LOWERTarget</v>
      </c>
      <c r="AA76" s="8" t="s">
        <v>39</v>
      </c>
      <c r="AB76" s="5" t="str">
        <f t="shared" si="37"/>
        <v>DETAILED ANALYSIS</v>
      </c>
      <c r="AC76" s="5" t="str">
        <f t="shared" si="38"/>
        <v>detailed analysis</v>
      </c>
      <c r="AD76" s="5" t="str">
        <f t="shared" si="39"/>
        <v>Detailed Analysis</v>
      </c>
      <c r="AF76" s="6"/>
    </row>
    <row r="77" ht="14.25" customHeight="1" spans="1:32">
      <c r="A77" s="8" t="s">
        <v>395</v>
      </c>
      <c r="B77" s="8" t="s">
        <v>396</v>
      </c>
      <c r="C77" s="9">
        <f t="shared" si="20"/>
        <v>10</v>
      </c>
      <c r="D77" s="8" t="s">
        <v>35</v>
      </c>
      <c r="E77" s="8" t="str">
        <f t="shared" si="21"/>
        <v>Varun Nair(E1052) - Finance</v>
      </c>
      <c r="F77" s="9" t="str">
        <f t="shared" si="22"/>
        <v>Varun Nair(E1052) -</v>
      </c>
      <c r="G77" s="9" t="str">
        <f t="shared" si="23"/>
        <v>Finance</v>
      </c>
      <c r="H77" s="9">
        <f t="shared" si="24"/>
        <v>19</v>
      </c>
      <c r="I77" s="9">
        <f t="shared" si="25"/>
        <v>8</v>
      </c>
      <c r="J77" s="8" t="s">
        <v>45</v>
      </c>
      <c r="K77" s="9" t="str">
        <f t="shared" si="26"/>
        <v>B@ngalore</v>
      </c>
      <c r="L77" s="8" t="s">
        <v>397</v>
      </c>
      <c r="M77" s="8" t="str">
        <f t="shared" si="27"/>
        <v>Saturday</v>
      </c>
      <c r="N77" s="8" t="str">
        <f t="shared" si="28"/>
        <v>Sat</v>
      </c>
      <c r="O77" s="8" t="str">
        <f t="shared" si="29"/>
        <v>day</v>
      </c>
      <c r="P77" s="8">
        <f t="shared" si="30"/>
        <v>2</v>
      </c>
      <c r="Q77" s="8">
        <f t="shared" si="31"/>
        <v>2022</v>
      </c>
      <c r="R77" s="8" t="s">
        <v>398</v>
      </c>
      <c r="S77" s="8">
        <f t="shared" si="32"/>
        <v>8</v>
      </c>
      <c r="T77" s="8">
        <f t="shared" si="33"/>
        <v>1</v>
      </c>
      <c r="U77" s="8">
        <f t="shared" si="34"/>
        <v>2</v>
      </c>
      <c r="V77" s="8">
        <v>72184</v>
      </c>
      <c r="W77" s="8">
        <v>56046</v>
      </c>
      <c r="X77" s="9" t="str">
        <f t="shared" si="35"/>
        <v>Highe Target</v>
      </c>
      <c r="Y77" s="9" t="str">
        <f t="shared" si="36"/>
        <v>Highe target</v>
      </c>
      <c r="Z77" s="9" t="str" cm="1">
        <f t="array" ref="Z77">_xlfn.IFS(W77&lt;60000,"LOWERTarget",W77&lt;80000,"Medium Target",W77,"Highe Target")</f>
        <v>LOWERTarget</v>
      </c>
      <c r="AA77" s="8" t="s">
        <v>79</v>
      </c>
      <c r="AB77" s="5" t="str">
        <f t="shared" si="37"/>
        <v>EXCELLENT LEADERSHIP</v>
      </c>
      <c r="AC77" s="5" t="str">
        <f t="shared" si="38"/>
        <v>excellent leadership</v>
      </c>
      <c r="AD77" s="5" t="str">
        <f t="shared" si="39"/>
        <v>Excellent Leadership</v>
      </c>
      <c r="AF77" s="6"/>
    </row>
    <row r="78" ht="14.25" customHeight="1" spans="1:32">
      <c r="A78" s="8" t="s">
        <v>399</v>
      </c>
      <c r="B78" s="8" t="s">
        <v>400</v>
      </c>
      <c r="C78" s="9">
        <f t="shared" si="20"/>
        <v>12</v>
      </c>
      <c r="D78" s="8" t="s">
        <v>93</v>
      </c>
      <c r="E78" s="8" t="str">
        <f t="shared" si="21"/>
        <v>Kavita Verma(E1084) - Sales</v>
      </c>
      <c r="F78" s="9" t="str">
        <f t="shared" si="22"/>
        <v>Kavita Verma(E1084) -</v>
      </c>
      <c r="G78" s="9" t="str">
        <f t="shared" si="23"/>
        <v>Sales</v>
      </c>
      <c r="H78" s="9">
        <f t="shared" si="24"/>
        <v>21</v>
      </c>
      <c r="I78" s="9">
        <f t="shared" si="25"/>
        <v>6</v>
      </c>
      <c r="J78" s="8" t="s">
        <v>53</v>
      </c>
      <c r="K78" s="9" t="str">
        <f t="shared" si="26"/>
        <v>Delhi</v>
      </c>
      <c r="L78" s="8" t="s">
        <v>401</v>
      </c>
      <c r="M78" s="8" t="str">
        <f t="shared" si="27"/>
        <v>Tuesday</v>
      </c>
      <c r="N78" s="8" t="str">
        <f t="shared" si="28"/>
        <v>Tue</v>
      </c>
      <c r="O78" s="8" t="str">
        <f t="shared" si="29"/>
        <v>day</v>
      </c>
      <c r="P78" s="8">
        <f t="shared" si="30"/>
        <v>11</v>
      </c>
      <c r="Q78" s="8">
        <f t="shared" si="31"/>
        <v>2021</v>
      </c>
      <c r="R78" s="8" t="s">
        <v>402</v>
      </c>
      <c r="S78" s="8">
        <f t="shared" si="32"/>
        <v>10</v>
      </c>
      <c r="T78" s="8">
        <f t="shared" si="33"/>
        <v>19</v>
      </c>
      <c r="U78" s="8">
        <f t="shared" si="34"/>
        <v>5</v>
      </c>
      <c r="V78" s="8">
        <v>49027</v>
      </c>
      <c r="W78" s="8">
        <v>56265</v>
      </c>
      <c r="X78" s="9" t="str">
        <f t="shared" si="35"/>
        <v>Highe Target</v>
      </c>
      <c r="Y78" s="9" t="str">
        <f t="shared" si="36"/>
        <v>Highe target</v>
      </c>
      <c r="Z78" s="9" t="str" cm="1">
        <f t="array" ref="Z78">_xlfn.IFS(W78&lt;60000,"LOWERTarget",W78&lt;80000,"Medium Target",W78,"Highe Target")</f>
        <v>LOWERTarget</v>
      </c>
      <c r="AA78" s="8" t="s">
        <v>229</v>
      </c>
      <c r="AB78" s="5" t="str">
        <f t="shared" si="37"/>
        <v>STRONG PRESENTATION</v>
      </c>
      <c r="AC78" s="5" t="str">
        <f t="shared" si="38"/>
        <v>strong presentation</v>
      </c>
      <c r="AD78" s="5" t="str">
        <f t="shared" si="39"/>
        <v>Strong Presentation</v>
      </c>
      <c r="AF78" s="6"/>
    </row>
    <row r="79" ht="14.25" customHeight="1" spans="1:32">
      <c r="A79" s="8" t="s">
        <v>403</v>
      </c>
      <c r="B79" s="8" t="s">
        <v>404</v>
      </c>
      <c r="C79" s="9">
        <f t="shared" si="20"/>
        <v>11</v>
      </c>
      <c r="D79" s="8" t="s">
        <v>35</v>
      </c>
      <c r="E79" s="8" t="str">
        <f t="shared" si="21"/>
        <v>Arjun Patel(E1040) - Finance</v>
      </c>
      <c r="F79" s="9" t="str">
        <f t="shared" si="22"/>
        <v>Arjun Patel(E1040) -</v>
      </c>
      <c r="G79" s="9" t="str">
        <f t="shared" si="23"/>
        <v>Finance</v>
      </c>
      <c r="H79" s="9">
        <f t="shared" si="24"/>
        <v>20</v>
      </c>
      <c r="I79" s="9">
        <f t="shared" si="25"/>
        <v>8</v>
      </c>
      <c r="J79" s="8" t="s">
        <v>172</v>
      </c>
      <c r="K79" s="9" t="str">
        <f t="shared" si="26"/>
        <v>Hyder@bad</v>
      </c>
      <c r="L79" s="8" t="s">
        <v>405</v>
      </c>
      <c r="M79" s="8" t="str">
        <f t="shared" si="27"/>
        <v>Tuesday</v>
      </c>
      <c r="N79" s="8" t="str">
        <f t="shared" si="28"/>
        <v>Tue</v>
      </c>
      <c r="O79" s="8" t="str">
        <f t="shared" si="29"/>
        <v>day</v>
      </c>
      <c r="P79" s="8">
        <f t="shared" si="30"/>
        <v>3</v>
      </c>
      <c r="Q79" s="8">
        <f t="shared" si="31"/>
        <v>2021</v>
      </c>
      <c r="R79" s="8" t="s">
        <v>406</v>
      </c>
      <c r="S79" s="8">
        <f t="shared" si="32"/>
        <v>9</v>
      </c>
      <c r="T79" s="8">
        <f t="shared" si="33"/>
        <v>13</v>
      </c>
      <c r="U79" s="8">
        <f t="shared" si="34"/>
        <v>43</v>
      </c>
      <c r="V79" s="8">
        <v>48089</v>
      </c>
      <c r="W79" s="8">
        <v>56353</v>
      </c>
      <c r="X79" s="9" t="str">
        <f t="shared" si="35"/>
        <v>Highe Target</v>
      </c>
      <c r="Y79" s="9" t="str">
        <f t="shared" si="36"/>
        <v>Highe target</v>
      </c>
      <c r="Z79" s="9" t="str" cm="1">
        <f t="array" ref="Z79">_xlfn.IFS(W79&lt;60000,"LOWERTarget",W79&lt;80000,"Medium Target",W79,"Highe Target")</f>
        <v>LOWERTarget</v>
      </c>
      <c r="AA79" s="8" t="s">
        <v>48</v>
      </c>
      <c r="AB79" s="5" t="str">
        <f t="shared" si="37"/>
        <v>CREATIVE IDEAS</v>
      </c>
      <c r="AC79" s="5" t="str">
        <f t="shared" si="38"/>
        <v>creative ideas</v>
      </c>
      <c r="AD79" s="5" t="str">
        <f t="shared" si="39"/>
        <v>Creative Ideas</v>
      </c>
      <c r="AF79" s="6"/>
    </row>
    <row r="80" ht="14.25" customHeight="1" spans="1:32">
      <c r="A80" s="8" t="s">
        <v>407</v>
      </c>
      <c r="B80" s="8" t="s">
        <v>171</v>
      </c>
      <c r="C80" s="9">
        <f t="shared" si="20"/>
        <v>14</v>
      </c>
      <c r="D80" s="8" t="s">
        <v>60</v>
      </c>
      <c r="E80" s="8" t="str">
        <f t="shared" si="21"/>
        <v>Madhuri Mishra(E1113) - HR</v>
      </c>
      <c r="F80" s="9" t="str">
        <f t="shared" si="22"/>
        <v>Madhuri Mishra(E1113) -</v>
      </c>
      <c r="G80" s="9" t="str">
        <f t="shared" si="23"/>
        <v>HR</v>
      </c>
      <c r="H80" s="9">
        <f t="shared" si="24"/>
        <v>23</v>
      </c>
      <c r="I80" s="9">
        <f t="shared" si="25"/>
        <v>3</v>
      </c>
      <c r="J80" s="8" t="s">
        <v>45</v>
      </c>
      <c r="K80" s="9" t="str">
        <f t="shared" si="26"/>
        <v>B@ngalore</v>
      </c>
      <c r="L80" s="8" t="s">
        <v>408</v>
      </c>
      <c r="M80" s="8" t="str">
        <f t="shared" si="27"/>
        <v>Thursday</v>
      </c>
      <c r="N80" s="8" t="str">
        <f t="shared" si="28"/>
        <v>Thu</v>
      </c>
      <c r="O80" s="8" t="str">
        <f t="shared" si="29"/>
        <v>day</v>
      </c>
      <c r="P80" s="8">
        <f t="shared" si="30"/>
        <v>8</v>
      </c>
      <c r="Q80" s="8">
        <f t="shared" si="31"/>
        <v>2023</v>
      </c>
      <c r="R80" s="8" t="s">
        <v>409</v>
      </c>
      <c r="S80" s="8">
        <f t="shared" si="32"/>
        <v>10</v>
      </c>
      <c r="T80" s="8">
        <f t="shared" si="33"/>
        <v>16</v>
      </c>
      <c r="U80" s="8">
        <f t="shared" si="34"/>
        <v>29</v>
      </c>
      <c r="V80" s="8">
        <v>42348</v>
      </c>
      <c r="W80" s="8">
        <v>56733</v>
      </c>
      <c r="X80" s="9" t="str">
        <f t="shared" si="35"/>
        <v>Highe Target</v>
      </c>
      <c r="Y80" s="9" t="str">
        <f t="shared" si="36"/>
        <v>Highe target</v>
      </c>
      <c r="Z80" s="9" t="str" cm="1">
        <f t="array" ref="Z80">_xlfn.IFS(W80&lt;60000,"LOWERTarget",W80&lt;80000,"Medium Target",W80,"Highe Target")</f>
        <v>LOWERTarget</v>
      </c>
      <c r="AA80" s="8" t="s">
        <v>71</v>
      </c>
      <c r="AB80" s="5" t="str">
        <f t="shared" si="37"/>
        <v>GREAT SUPPORT</v>
      </c>
      <c r="AC80" s="5" t="str">
        <f t="shared" si="38"/>
        <v>great support</v>
      </c>
      <c r="AD80" s="5" t="str">
        <f t="shared" si="39"/>
        <v>Great Support</v>
      </c>
      <c r="AF80" s="6"/>
    </row>
    <row r="81" ht="14.25" customHeight="1" spans="1:32">
      <c r="A81" s="8" t="s">
        <v>410</v>
      </c>
      <c r="B81" s="8" t="s">
        <v>411</v>
      </c>
      <c r="C81" s="9">
        <f t="shared" si="20"/>
        <v>13</v>
      </c>
      <c r="D81" s="8" t="s">
        <v>93</v>
      </c>
      <c r="E81" s="8" t="str">
        <f t="shared" si="21"/>
        <v>Manish Sharma(E1063) - Sales</v>
      </c>
      <c r="F81" s="9" t="str">
        <f t="shared" si="22"/>
        <v>Manish Sharma(E1063) -</v>
      </c>
      <c r="G81" s="9" t="str">
        <f t="shared" si="23"/>
        <v>Sales</v>
      </c>
      <c r="H81" s="9">
        <f t="shared" si="24"/>
        <v>22</v>
      </c>
      <c r="I81" s="9">
        <f t="shared" si="25"/>
        <v>6</v>
      </c>
      <c r="J81" s="8" t="s">
        <v>182</v>
      </c>
      <c r="K81" s="9" t="str">
        <f t="shared" si="26"/>
        <v>Kolk@ta</v>
      </c>
      <c r="L81" s="8" t="s">
        <v>412</v>
      </c>
      <c r="M81" s="8" t="str">
        <f t="shared" si="27"/>
        <v>Tuesday</v>
      </c>
      <c r="N81" s="8" t="str">
        <f t="shared" si="28"/>
        <v>Tue</v>
      </c>
      <c r="O81" s="8" t="str">
        <f t="shared" si="29"/>
        <v>day</v>
      </c>
      <c r="P81" s="8">
        <f t="shared" si="30"/>
        <v>10</v>
      </c>
      <c r="Q81" s="8">
        <f t="shared" si="31"/>
        <v>2021</v>
      </c>
      <c r="R81" s="8" t="s">
        <v>413</v>
      </c>
      <c r="S81" s="8">
        <f t="shared" si="32"/>
        <v>9</v>
      </c>
      <c r="T81" s="8">
        <f t="shared" si="33"/>
        <v>11</v>
      </c>
      <c r="U81" s="8">
        <f t="shared" si="34"/>
        <v>3</v>
      </c>
      <c r="V81" s="8">
        <v>66893</v>
      </c>
      <c r="W81" s="8">
        <v>57049</v>
      </c>
      <c r="X81" s="9" t="str">
        <f t="shared" si="35"/>
        <v>Highe Target</v>
      </c>
      <c r="Y81" s="9" t="str">
        <f t="shared" si="36"/>
        <v>Highe target</v>
      </c>
      <c r="Z81" s="9" t="str" cm="1">
        <f t="array" ref="Z81">_xlfn.IFS(W81&lt;60000,"LOWERTarget",W81&lt;80000,"Medium Target",W81,"Highe Target")</f>
        <v>LOWERTarget</v>
      </c>
      <c r="AA81" s="8" t="s">
        <v>48</v>
      </c>
      <c r="AB81" s="5" t="str">
        <f t="shared" si="37"/>
        <v>CREATIVE IDEAS</v>
      </c>
      <c r="AC81" s="5" t="str">
        <f t="shared" si="38"/>
        <v>creative ideas</v>
      </c>
      <c r="AD81" s="5" t="str">
        <f t="shared" si="39"/>
        <v>Creative Ideas</v>
      </c>
      <c r="AF81" s="6"/>
    </row>
    <row r="82" ht="14.25" customHeight="1" spans="1:32">
      <c r="A82" s="8" t="s">
        <v>414</v>
      </c>
      <c r="B82" s="8" t="s">
        <v>415</v>
      </c>
      <c r="C82" s="9">
        <f t="shared" si="20"/>
        <v>11</v>
      </c>
      <c r="D82" s="8" t="s">
        <v>44</v>
      </c>
      <c r="E82" s="8" t="str">
        <f t="shared" si="21"/>
        <v>Rohan Gupta(E1263) - Marketing</v>
      </c>
      <c r="F82" s="9" t="str">
        <f t="shared" si="22"/>
        <v>Rohan Gupta(E1263) -</v>
      </c>
      <c r="G82" s="9" t="str">
        <f t="shared" si="23"/>
        <v>Marketing</v>
      </c>
      <c r="H82" s="9">
        <f t="shared" si="24"/>
        <v>20</v>
      </c>
      <c r="I82" s="9">
        <f t="shared" si="25"/>
        <v>10</v>
      </c>
      <c r="J82" s="8" t="s">
        <v>36</v>
      </c>
      <c r="K82" s="9" t="str">
        <f t="shared" si="26"/>
        <v>Ahmed@bad</v>
      </c>
      <c r="L82" s="8" t="s">
        <v>416</v>
      </c>
      <c r="M82" s="8" t="str">
        <f t="shared" si="27"/>
        <v>Friday</v>
      </c>
      <c r="N82" s="8" t="str">
        <f t="shared" si="28"/>
        <v>Fri</v>
      </c>
      <c r="O82" s="8" t="str">
        <f t="shared" si="29"/>
        <v>day</v>
      </c>
      <c r="P82" s="8">
        <f t="shared" si="30"/>
        <v>12</v>
      </c>
      <c r="Q82" s="8">
        <f t="shared" si="31"/>
        <v>2023</v>
      </c>
      <c r="R82" s="8" t="s">
        <v>417</v>
      </c>
      <c r="S82" s="8">
        <f t="shared" si="32"/>
        <v>10</v>
      </c>
      <c r="T82" s="8">
        <f t="shared" si="33"/>
        <v>22</v>
      </c>
      <c r="U82" s="8">
        <f t="shared" si="34"/>
        <v>19</v>
      </c>
      <c r="V82" s="8">
        <v>65710</v>
      </c>
      <c r="W82" s="8">
        <v>57141</v>
      </c>
      <c r="X82" s="9" t="str">
        <f t="shared" si="35"/>
        <v>Highe Target</v>
      </c>
      <c r="Y82" s="9" t="str">
        <f t="shared" si="36"/>
        <v>Highe target</v>
      </c>
      <c r="Z82" s="9" t="str" cm="1">
        <f t="array" ref="Z82">_xlfn.IFS(W82&lt;60000,"LOWERTarget",W82&lt;80000,"Medium Target",W82,"Highe Target")</f>
        <v>LOWERTarget</v>
      </c>
      <c r="AA82" s="8" t="s">
        <v>229</v>
      </c>
      <c r="AB82" s="5" t="str">
        <f t="shared" si="37"/>
        <v>STRONG PRESENTATION</v>
      </c>
      <c r="AC82" s="5" t="str">
        <f t="shared" si="38"/>
        <v>strong presentation</v>
      </c>
      <c r="AD82" s="5" t="str">
        <f t="shared" si="39"/>
        <v>Strong Presentation</v>
      </c>
      <c r="AF82" s="6"/>
    </row>
    <row r="83" ht="14.25" customHeight="1" spans="1:32">
      <c r="A83" s="8" t="s">
        <v>418</v>
      </c>
      <c r="B83" s="8" t="s">
        <v>419</v>
      </c>
      <c r="C83" s="9">
        <f t="shared" si="20"/>
        <v>13</v>
      </c>
      <c r="D83" s="8" t="s">
        <v>60</v>
      </c>
      <c r="E83" s="8" t="str">
        <f t="shared" si="21"/>
        <v>Anjali Chopra(E1015) - HR</v>
      </c>
      <c r="F83" s="9" t="str">
        <f t="shared" si="22"/>
        <v>Anjali Chopra(E1015) -</v>
      </c>
      <c r="G83" s="9" t="str">
        <f t="shared" si="23"/>
        <v>HR</v>
      </c>
      <c r="H83" s="9">
        <f t="shared" si="24"/>
        <v>22</v>
      </c>
      <c r="I83" s="9">
        <f t="shared" si="25"/>
        <v>3</v>
      </c>
      <c r="J83" s="8" t="s">
        <v>36</v>
      </c>
      <c r="K83" s="9" t="str">
        <f t="shared" si="26"/>
        <v>Ahmed@bad</v>
      </c>
      <c r="L83" s="8" t="s">
        <v>420</v>
      </c>
      <c r="M83" s="8" t="str">
        <f t="shared" si="27"/>
        <v>Thursday</v>
      </c>
      <c r="N83" s="8" t="str">
        <f t="shared" si="28"/>
        <v>Thu</v>
      </c>
      <c r="O83" s="8" t="str">
        <f t="shared" si="29"/>
        <v>day</v>
      </c>
      <c r="P83" s="8">
        <f t="shared" si="30"/>
        <v>1</v>
      </c>
      <c r="Q83" s="8">
        <f t="shared" si="31"/>
        <v>2021</v>
      </c>
      <c r="R83" s="8" t="s">
        <v>421</v>
      </c>
      <c r="S83" s="8">
        <f t="shared" si="32"/>
        <v>10</v>
      </c>
      <c r="T83" s="8">
        <f t="shared" si="33"/>
        <v>56</v>
      </c>
      <c r="U83" s="8">
        <f t="shared" si="34"/>
        <v>46</v>
      </c>
      <c r="V83" s="8">
        <v>75067</v>
      </c>
      <c r="W83" s="8">
        <v>57261</v>
      </c>
      <c r="X83" s="9" t="str">
        <f t="shared" si="35"/>
        <v>Highe Target</v>
      </c>
      <c r="Y83" s="9" t="str">
        <f t="shared" si="36"/>
        <v>Highe target</v>
      </c>
      <c r="Z83" s="9" t="str" cm="1">
        <f t="array" ref="Z83">_xlfn.IFS(W83&lt;60000,"LOWERTarget",W83&lt;80000,"Medium Target",W83,"Highe Target")</f>
        <v>LOWERTarget</v>
      </c>
      <c r="AA83" s="8" t="s">
        <v>118</v>
      </c>
      <c r="AB83" s="5" t="str">
        <f t="shared" si="37"/>
        <v>CUSTOMER FOCUSED</v>
      </c>
      <c r="AC83" s="5" t="str">
        <f t="shared" si="38"/>
        <v>customer focused</v>
      </c>
      <c r="AD83" s="5" t="str">
        <f t="shared" si="39"/>
        <v>Customer Focused</v>
      </c>
      <c r="AF83" s="6"/>
    </row>
    <row r="84" ht="14.25" customHeight="1" spans="1:32">
      <c r="A84" s="8" t="s">
        <v>422</v>
      </c>
      <c r="B84" s="8" t="s">
        <v>423</v>
      </c>
      <c r="C84" s="9">
        <f t="shared" si="20"/>
        <v>11</v>
      </c>
      <c r="D84" s="8" t="s">
        <v>35</v>
      </c>
      <c r="E84" s="8" t="str">
        <f t="shared" si="21"/>
        <v>Nidhi Goyal(E1045) - Finance</v>
      </c>
      <c r="F84" s="9" t="str">
        <f t="shared" si="22"/>
        <v>Nidhi Goyal(E1045) -</v>
      </c>
      <c r="G84" s="9" t="str">
        <f t="shared" si="23"/>
        <v>Finance</v>
      </c>
      <c r="H84" s="9">
        <f t="shared" si="24"/>
        <v>20</v>
      </c>
      <c r="I84" s="9">
        <f t="shared" si="25"/>
        <v>8</v>
      </c>
      <c r="J84" s="8" t="s">
        <v>153</v>
      </c>
      <c r="K84" s="9" t="str">
        <f t="shared" si="26"/>
        <v>Mumb@i</v>
      </c>
      <c r="L84" s="8" t="s">
        <v>424</v>
      </c>
      <c r="M84" s="8" t="str">
        <f t="shared" si="27"/>
        <v>Wednesday</v>
      </c>
      <c r="N84" s="8" t="str">
        <f t="shared" si="28"/>
        <v>Wed</v>
      </c>
      <c r="O84" s="8" t="str">
        <f t="shared" si="29"/>
        <v>day</v>
      </c>
      <c r="P84" s="8">
        <f t="shared" si="30"/>
        <v>8</v>
      </c>
      <c r="Q84" s="8">
        <f t="shared" si="31"/>
        <v>2021</v>
      </c>
      <c r="R84" s="8" t="s">
        <v>425</v>
      </c>
      <c r="S84" s="8">
        <f t="shared" si="32"/>
        <v>9</v>
      </c>
      <c r="T84" s="8">
        <f t="shared" si="33"/>
        <v>11</v>
      </c>
      <c r="U84" s="8">
        <f t="shared" si="34"/>
        <v>37</v>
      </c>
      <c r="V84" s="8">
        <v>44904</v>
      </c>
      <c r="W84" s="8">
        <v>57397</v>
      </c>
      <c r="X84" s="9" t="str">
        <f t="shared" si="35"/>
        <v>Highe Target</v>
      </c>
      <c r="Y84" s="9" t="str">
        <f t="shared" si="36"/>
        <v>Highe target</v>
      </c>
      <c r="Z84" s="9" t="str" cm="1">
        <f t="array" ref="Z84">_xlfn.IFS(W84&lt;60000,"LOWERTarget",W84&lt;80000,"Medium Target",W84,"Highe Target")</f>
        <v>LOWERTarget</v>
      </c>
      <c r="AA84" s="8" t="s">
        <v>160</v>
      </c>
      <c r="AB84" s="5" t="str">
        <f t="shared" si="37"/>
        <v>GOOD COMMUNICATION</v>
      </c>
      <c r="AC84" s="5" t="str">
        <f t="shared" si="38"/>
        <v>good communication</v>
      </c>
      <c r="AD84" s="5" t="str">
        <f t="shared" si="39"/>
        <v>Good Communication</v>
      </c>
      <c r="AF84" s="6"/>
    </row>
    <row r="85" ht="14.25" customHeight="1" spans="1:32">
      <c r="A85" s="8" t="s">
        <v>426</v>
      </c>
      <c r="B85" s="8" t="s">
        <v>427</v>
      </c>
      <c r="C85" s="9">
        <f t="shared" si="20"/>
        <v>10</v>
      </c>
      <c r="D85" s="8" t="s">
        <v>93</v>
      </c>
      <c r="E85" s="8" t="str">
        <f t="shared" si="21"/>
        <v>Rohan Nair(E1238) - Sales</v>
      </c>
      <c r="F85" s="9" t="str">
        <f t="shared" si="22"/>
        <v>Rohan Nair(E1238) -</v>
      </c>
      <c r="G85" s="9" t="str">
        <f t="shared" si="23"/>
        <v>Sales</v>
      </c>
      <c r="H85" s="9">
        <f t="shared" si="24"/>
        <v>19</v>
      </c>
      <c r="I85" s="9">
        <f t="shared" si="25"/>
        <v>6</v>
      </c>
      <c r="J85" s="8" t="s">
        <v>61</v>
      </c>
      <c r="K85" s="9" t="str">
        <f t="shared" si="26"/>
        <v>Chenn@i</v>
      </c>
      <c r="L85" s="8" t="s">
        <v>428</v>
      </c>
      <c r="M85" s="8" t="str">
        <f t="shared" si="27"/>
        <v>Saturday</v>
      </c>
      <c r="N85" s="8" t="str">
        <f t="shared" si="28"/>
        <v>Sat</v>
      </c>
      <c r="O85" s="8" t="str">
        <f t="shared" si="29"/>
        <v>day</v>
      </c>
      <c r="P85" s="8">
        <f t="shared" si="30"/>
        <v>2</v>
      </c>
      <c r="Q85" s="8">
        <f t="shared" si="31"/>
        <v>2023</v>
      </c>
      <c r="R85" s="8" t="s">
        <v>429</v>
      </c>
      <c r="S85" s="8">
        <f t="shared" si="32"/>
        <v>8</v>
      </c>
      <c r="T85" s="8">
        <f t="shared" si="33"/>
        <v>28</v>
      </c>
      <c r="U85" s="8">
        <f t="shared" si="34"/>
        <v>48</v>
      </c>
      <c r="V85" s="8">
        <v>64099</v>
      </c>
      <c r="W85" s="8">
        <v>57497</v>
      </c>
      <c r="X85" s="9" t="str">
        <f t="shared" si="35"/>
        <v>Highe Target</v>
      </c>
      <c r="Y85" s="9" t="str">
        <f t="shared" si="36"/>
        <v>Highe target</v>
      </c>
      <c r="Z85" s="9" t="str" cm="1">
        <f t="array" ref="Z85">_xlfn.IFS(W85&lt;60000,"LOWERTarget",W85&lt;80000,"Medium Target",W85,"Highe Target")</f>
        <v>LOWERTarget</v>
      </c>
      <c r="AA85" s="8" t="s">
        <v>64</v>
      </c>
      <c r="AB85" s="5" t="str">
        <f t="shared" si="37"/>
        <v>NEEDS IMPROVEMENT</v>
      </c>
      <c r="AC85" s="5" t="str">
        <f t="shared" si="38"/>
        <v>needs improvement</v>
      </c>
      <c r="AD85" s="5" t="str">
        <f t="shared" si="39"/>
        <v>Needs Improvement</v>
      </c>
      <c r="AF85" s="6"/>
    </row>
    <row r="86" ht="14.25" customHeight="1" spans="1:32">
      <c r="A86" s="8" t="s">
        <v>430</v>
      </c>
      <c r="B86" s="8" t="s">
        <v>431</v>
      </c>
      <c r="C86" s="9">
        <f t="shared" si="20"/>
        <v>12</v>
      </c>
      <c r="D86" s="8" t="s">
        <v>60</v>
      </c>
      <c r="E86" s="8" t="str">
        <f t="shared" si="21"/>
        <v>Aditya Goyal(E1286) - HR</v>
      </c>
      <c r="F86" s="9" t="str">
        <f t="shared" si="22"/>
        <v>Aditya Goyal(E1286) -</v>
      </c>
      <c r="G86" s="9" t="str">
        <f t="shared" si="23"/>
        <v>HR</v>
      </c>
      <c r="H86" s="9">
        <f t="shared" si="24"/>
        <v>21</v>
      </c>
      <c r="I86" s="9">
        <f t="shared" si="25"/>
        <v>3</v>
      </c>
      <c r="J86" s="8" t="s">
        <v>53</v>
      </c>
      <c r="K86" s="9" t="str">
        <f t="shared" si="26"/>
        <v>Delhi</v>
      </c>
      <c r="L86" s="8" t="s">
        <v>432</v>
      </c>
      <c r="M86" s="8" t="str">
        <f t="shared" si="27"/>
        <v>Monday</v>
      </c>
      <c r="N86" s="8" t="str">
        <f t="shared" si="28"/>
        <v>Mon</v>
      </c>
      <c r="O86" s="8" t="str">
        <f t="shared" si="29"/>
        <v>day</v>
      </c>
      <c r="P86" s="8">
        <f t="shared" si="30"/>
        <v>11</v>
      </c>
      <c r="Q86" s="8">
        <f t="shared" si="31"/>
        <v>2024</v>
      </c>
      <c r="R86" s="8" t="s">
        <v>433</v>
      </c>
      <c r="S86" s="8">
        <f t="shared" si="32"/>
        <v>9</v>
      </c>
      <c r="T86" s="8">
        <f t="shared" si="33"/>
        <v>10</v>
      </c>
      <c r="U86" s="8">
        <f t="shared" si="34"/>
        <v>8</v>
      </c>
      <c r="V86" s="8">
        <v>62357</v>
      </c>
      <c r="W86" s="8">
        <v>57623</v>
      </c>
      <c r="X86" s="9" t="str">
        <f t="shared" si="35"/>
        <v>Highe Target</v>
      </c>
      <c r="Y86" s="9" t="str">
        <f t="shared" si="36"/>
        <v>Highe target</v>
      </c>
      <c r="Z86" s="9" t="str" cm="1">
        <f t="array" ref="Z86">_xlfn.IFS(W86&lt;60000,"LOWERTarget",W86&lt;80000,"Medium Target",W86,"Highe Target")</f>
        <v>LOWERTarget</v>
      </c>
      <c r="AA86" s="8" t="s">
        <v>64</v>
      </c>
      <c r="AB86" s="5" t="str">
        <f t="shared" si="37"/>
        <v>NEEDS IMPROVEMENT</v>
      </c>
      <c r="AC86" s="5" t="str">
        <f t="shared" si="38"/>
        <v>needs improvement</v>
      </c>
      <c r="AD86" s="5" t="str">
        <f t="shared" si="39"/>
        <v>Needs Improvement</v>
      </c>
      <c r="AF86" s="6"/>
    </row>
    <row r="87" ht="14.25" customHeight="1" spans="1:32">
      <c r="A87" s="8" t="s">
        <v>434</v>
      </c>
      <c r="B87" s="8" t="s">
        <v>435</v>
      </c>
      <c r="C87" s="9">
        <f t="shared" si="20"/>
        <v>16</v>
      </c>
      <c r="D87" s="8" t="s">
        <v>35</v>
      </c>
      <c r="E87" s="8" t="str">
        <f t="shared" si="21"/>
        <v>Madhuri Malhotra(E1229) - Finance</v>
      </c>
      <c r="F87" s="9" t="str">
        <f t="shared" si="22"/>
        <v>Madhuri Malhotra(E1229) -</v>
      </c>
      <c r="G87" s="9" t="str">
        <f t="shared" si="23"/>
        <v>Finance</v>
      </c>
      <c r="H87" s="9">
        <f t="shared" si="24"/>
        <v>25</v>
      </c>
      <c r="I87" s="9">
        <f t="shared" si="25"/>
        <v>8</v>
      </c>
      <c r="J87" s="8" t="s">
        <v>36</v>
      </c>
      <c r="K87" s="9" t="str">
        <f t="shared" si="26"/>
        <v>Ahmed@bad</v>
      </c>
      <c r="L87" s="8" t="s">
        <v>436</v>
      </c>
      <c r="M87" s="8" t="str">
        <f t="shared" si="27"/>
        <v>Tuesday</v>
      </c>
      <c r="N87" s="8" t="str">
        <f t="shared" si="28"/>
        <v>Tue</v>
      </c>
      <c r="O87" s="8" t="str">
        <f t="shared" si="29"/>
        <v>day</v>
      </c>
      <c r="P87" s="8">
        <f t="shared" si="30"/>
        <v>3</v>
      </c>
      <c r="Q87" s="8">
        <f t="shared" si="31"/>
        <v>2022</v>
      </c>
      <c r="R87" s="8" t="s">
        <v>437</v>
      </c>
      <c r="S87" s="8">
        <f t="shared" si="32"/>
        <v>8</v>
      </c>
      <c r="T87" s="8">
        <f t="shared" si="33"/>
        <v>52</v>
      </c>
      <c r="U87" s="8">
        <f t="shared" si="34"/>
        <v>34</v>
      </c>
      <c r="V87" s="8">
        <v>60568</v>
      </c>
      <c r="W87" s="8">
        <v>57768</v>
      </c>
      <c r="X87" s="9" t="str">
        <f t="shared" si="35"/>
        <v>Highe Target</v>
      </c>
      <c r="Y87" s="9" t="str">
        <f t="shared" si="36"/>
        <v>Highe target</v>
      </c>
      <c r="Z87" s="9" t="str" cm="1">
        <f t="array" ref="Z87">_xlfn.IFS(W87&lt;60000,"LOWERTarget",W87&lt;80000,"Medium Target",W87,"Highe Target")</f>
        <v>LOWERTarget</v>
      </c>
      <c r="AA87" s="8" t="s">
        <v>285</v>
      </c>
      <c r="AB87" s="5" t="str">
        <f t="shared" si="37"/>
        <v>QUICK RESPONSE</v>
      </c>
      <c r="AC87" s="5" t="str">
        <f t="shared" si="38"/>
        <v>quick response</v>
      </c>
      <c r="AD87" s="5" t="str">
        <f t="shared" si="39"/>
        <v>Quick Response</v>
      </c>
      <c r="AF87" s="6"/>
    </row>
    <row r="88" ht="14.25" customHeight="1" spans="1:32">
      <c r="A88" s="8" t="s">
        <v>438</v>
      </c>
      <c r="B88" s="8" t="s">
        <v>439</v>
      </c>
      <c r="C88" s="9">
        <f t="shared" si="20"/>
        <v>10</v>
      </c>
      <c r="D88" s="8" t="s">
        <v>93</v>
      </c>
      <c r="E88" s="8" t="str">
        <f t="shared" si="21"/>
        <v>Nidhi Shah(E1093) - Sales</v>
      </c>
      <c r="F88" s="9" t="str">
        <f t="shared" si="22"/>
        <v>Nidhi Shah(E1093) -</v>
      </c>
      <c r="G88" s="9" t="str">
        <f t="shared" si="23"/>
        <v>Sales</v>
      </c>
      <c r="H88" s="9">
        <f t="shared" si="24"/>
        <v>19</v>
      </c>
      <c r="I88" s="9">
        <f t="shared" si="25"/>
        <v>6</v>
      </c>
      <c r="J88" s="8" t="s">
        <v>53</v>
      </c>
      <c r="K88" s="9" t="str">
        <f t="shared" si="26"/>
        <v>Delhi</v>
      </c>
      <c r="L88" s="8" t="s">
        <v>440</v>
      </c>
      <c r="M88" s="8" t="str">
        <f t="shared" si="27"/>
        <v>Tuesday</v>
      </c>
      <c r="N88" s="8" t="str">
        <f t="shared" si="28"/>
        <v>Tue</v>
      </c>
      <c r="O88" s="8" t="str">
        <f t="shared" si="29"/>
        <v>day</v>
      </c>
      <c r="P88" s="8">
        <f t="shared" si="30"/>
        <v>8</v>
      </c>
      <c r="Q88" s="8">
        <f t="shared" si="31"/>
        <v>2023</v>
      </c>
      <c r="R88" s="8" t="s">
        <v>441</v>
      </c>
      <c r="S88" s="8">
        <f t="shared" si="32"/>
        <v>10</v>
      </c>
      <c r="T88" s="8">
        <f t="shared" si="33"/>
        <v>41</v>
      </c>
      <c r="U88" s="8">
        <f t="shared" si="34"/>
        <v>28</v>
      </c>
      <c r="V88" s="8">
        <v>55123</v>
      </c>
      <c r="W88" s="8">
        <v>58229</v>
      </c>
      <c r="X88" s="9" t="str">
        <f t="shared" si="35"/>
        <v>Highe Target</v>
      </c>
      <c r="Y88" s="9" t="str">
        <f t="shared" si="36"/>
        <v>Highe target</v>
      </c>
      <c r="Z88" s="9" t="str" cm="1">
        <f t="array" ref="Z88">_xlfn.IFS(W88&lt;60000,"LOWERTarget",W88&lt;80000,"Medium Target",W88,"Highe Target")</f>
        <v>LOWERTarget</v>
      </c>
      <c r="AA88" s="8" t="s">
        <v>79</v>
      </c>
      <c r="AB88" s="5" t="str">
        <f t="shared" si="37"/>
        <v>EXCELLENT LEADERSHIP</v>
      </c>
      <c r="AC88" s="5" t="str">
        <f t="shared" si="38"/>
        <v>excellent leadership</v>
      </c>
      <c r="AD88" s="5" t="str">
        <f t="shared" si="39"/>
        <v>Excellent Leadership</v>
      </c>
      <c r="AF88" s="6"/>
    </row>
    <row r="89" ht="14.25" customHeight="1" spans="1:32">
      <c r="A89" s="8" t="s">
        <v>442</v>
      </c>
      <c r="B89" s="8" t="s">
        <v>443</v>
      </c>
      <c r="C89" s="9">
        <f t="shared" si="20"/>
        <v>11</v>
      </c>
      <c r="D89" s="8" t="s">
        <v>93</v>
      </c>
      <c r="E89" s="8" t="str">
        <f t="shared" si="21"/>
        <v>Kavita Nair(E1142) - Sales</v>
      </c>
      <c r="F89" s="9" t="str">
        <f t="shared" si="22"/>
        <v>Kavita Nair(E1142) -</v>
      </c>
      <c r="G89" s="9" t="str">
        <f t="shared" si="23"/>
        <v>Sales</v>
      </c>
      <c r="H89" s="9">
        <f t="shared" si="24"/>
        <v>20</v>
      </c>
      <c r="I89" s="9">
        <f t="shared" si="25"/>
        <v>6</v>
      </c>
      <c r="J89" s="8" t="s">
        <v>172</v>
      </c>
      <c r="K89" s="9" t="str">
        <f t="shared" si="26"/>
        <v>Hyder@bad</v>
      </c>
      <c r="L89" s="8" t="s">
        <v>444</v>
      </c>
      <c r="M89" s="8" t="str">
        <f t="shared" si="27"/>
        <v>Wednesday</v>
      </c>
      <c r="N89" s="8" t="str">
        <f t="shared" si="28"/>
        <v>Wed</v>
      </c>
      <c r="O89" s="8" t="str">
        <f t="shared" si="29"/>
        <v>day</v>
      </c>
      <c r="P89" s="8">
        <f t="shared" si="30"/>
        <v>2</v>
      </c>
      <c r="Q89" s="8">
        <f t="shared" si="31"/>
        <v>2024</v>
      </c>
      <c r="R89" s="8" t="s">
        <v>445</v>
      </c>
      <c r="S89" s="8">
        <f t="shared" si="32"/>
        <v>9</v>
      </c>
      <c r="T89" s="8">
        <f t="shared" si="33"/>
        <v>7</v>
      </c>
      <c r="U89" s="8">
        <f t="shared" si="34"/>
        <v>48</v>
      </c>
      <c r="V89" s="8">
        <v>58077</v>
      </c>
      <c r="W89" s="8">
        <v>58256</v>
      </c>
      <c r="X89" s="9" t="str">
        <f t="shared" si="35"/>
        <v>Highe Target</v>
      </c>
      <c r="Y89" s="9" t="str">
        <f t="shared" si="36"/>
        <v>Highe target</v>
      </c>
      <c r="Z89" s="9" t="str" cm="1">
        <f t="array" ref="Z89">_xlfn.IFS(W89&lt;60000,"LOWERTarget",W89&lt;80000,"Medium Target",W89,"Highe Target")</f>
        <v>LOWERTarget</v>
      </c>
      <c r="AA89" s="8" t="s">
        <v>118</v>
      </c>
      <c r="AB89" s="5" t="str">
        <f t="shared" si="37"/>
        <v>CUSTOMER FOCUSED</v>
      </c>
      <c r="AC89" s="5" t="str">
        <f t="shared" si="38"/>
        <v>customer focused</v>
      </c>
      <c r="AD89" s="5" t="str">
        <f t="shared" si="39"/>
        <v>Customer Focused</v>
      </c>
      <c r="AF89" s="6"/>
    </row>
    <row r="90" ht="14.25" customHeight="1" spans="1:32">
      <c r="A90" s="8" t="s">
        <v>446</v>
      </c>
      <c r="B90" s="8" t="s">
        <v>447</v>
      </c>
      <c r="C90" s="9">
        <f t="shared" si="20"/>
        <v>12</v>
      </c>
      <c r="D90" s="8" t="s">
        <v>93</v>
      </c>
      <c r="E90" s="8" t="str">
        <f t="shared" si="21"/>
        <v>Ritika Gupta(E1216) - Sales</v>
      </c>
      <c r="F90" s="9" t="str">
        <f t="shared" si="22"/>
        <v>Ritika Gupta(E1216) -</v>
      </c>
      <c r="G90" s="9" t="str">
        <f t="shared" si="23"/>
        <v>Sales</v>
      </c>
      <c r="H90" s="9">
        <f t="shared" si="24"/>
        <v>21</v>
      </c>
      <c r="I90" s="9">
        <f t="shared" si="25"/>
        <v>6</v>
      </c>
      <c r="J90" s="8" t="s">
        <v>182</v>
      </c>
      <c r="K90" s="9" t="str">
        <f t="shared" si="26"/>
        <v>Kolk@ta</v>
      </c>
      <c r="L90" s="8" t="s">
        <v>448</v>
      </c>
      <c r="M90" s="8" t="str">
        <f t="shared" si="27"/>
        <v>Monday</v>
      </c>
      <c r="N90" s="8" t="str">
        <f t="shared" si="28"/>
        <v>Mon</v>
      </c>
      <c r="O90" s="8" t="str">
        <f t="shared" si="29"/>
        <v>day</v>
      </c>
      <c r="P90" s="8">
        <f t="shared" si="30"/>
        <v>10</v>
      </c>
      <c r="Q90" s="8">
        <f t="shared" si="31"/>
        <v>2023</v>
      </c>
      <c r="R90" s="8" t="s">
        <v>449</v>
      </c>
      <c r="S90" s="8">
        <f t="shared" si="32"/>
        <v>9</v>
      </c>
      <c r="T90" s="8">
        <f t="shared" si="33"/>
        <v>48</v>
      </c>
      <c r="U90" s="8">
        <f t="shared" si="34"/>
        <v>35</v>
      </c>
      <c r="V90" s="8">
        <v>51117</v>
      </c>
      <c r="W90" s="8">
        <v>58331</v>
      </c>
      <c r="X90" s="9" t="str">
        <f t="shared" si="35"/>
        <v>Highe Target</v>
      </c>
      <c r="Y90" s="9" t="str">
        <f t="shared" si="36"/>
        <v>Highe target</v>
      </c>
      <c r="Z90" s="9" t="str" cm="1">
        <f t="array" ref="Z90">_xlfn.IFS(W90&lt;60000,"LOWERTarget",W90&lt;80000,"Medium Target",W90,"Highe Target")</f>
        <v>LOWERTarget</v>
      </c>
      <c r="AA90" s="8" t="s">
        <v>285</v>
      </c>
      <c r="AB90" s="5" t="str">
        <f t="shared" si="37"/>
        <v>QUICK RESPONSE</v>
      </c>
      <c r="AC90" s="5" t="str">
        <f t="shared" si="38"/>
        <v>quick response</v>
      </c>
      <c r="AD90" s="5" t="str">
        <f t="shared" si="39"/>
        <v>Quick Response</v>
      </c>
      <c r="AF90" s="6"/>
    </row>
    <row r="91" ht="14.25" customHeight="1" spans="1:32">
      <c r="A91" s="8" t="s">
        <v>450</v>
      </c>
      <c r="B91" s="8" t="s">
        <v>451</v>
      </c>
      <c r="C91" s="9">
        <f t="shared" si="20"/>
        <v>9</v>
      </c>
      <c r="D91" s="8" t="s">
        <v>93</v>
      </c>
      <c r="E91" s="8" t="str">
        <f t="shared" si="21"/>
        <v>Yash Iyer(E1164) - Sales</v>
      </c>
      <c r="F91" s="9" t="str">
        <f t="shared" si="22"/>
        <v>Yash Iyer(E1164) -</v>
      </c>
      <c r="G91" s="9" t="str">
        <f t="shared" si="23"/>
        <v>Sales</v>
      </c>
      <c r="H91" s="9">
        <f t="shared" si="24"/>
        <v>18</v>
      </c>
      <c r="I91" s="9">
        <f t="shared" si="25"/>
        <v>6</v>
      </c>
      <c r="J91" s="8" t="s">
        <v>172</v>
      </c>
      <c r="K91" s="9" t="str">
        <f t="shared" si="26"/>
        <v>Hyder@bad</v>
      </c>
      <c r="L91" s="8" t="s">
        <v>452</v>
      </c>
      <c r="M91" s="8" t="str">
        <f t="shared" si="27"/>
        <v>Tuesday</v>
      </c>
      <c r="N91" s="8" t="str">
        <f t="shared" si="28"/>
        <v>Tue</v>
      </c>
      <c r="O91" s="8" t="str">
        <f t="shared" si="29"/>
        <v>day</v>
      </c>
      <c r="P91" s="8">
        <f t="shared" si="30"/>
        <v>7</v>
      </c>
      <c r="Q91" s="8">
        <f t="shared" si="31"/>
        <v>2021</v>
      </c>
      <c r="R91" s="8" t="s">
        <v>453</v>
      </c>
      <c r="S91" s="8">
        <f t="shared" si="32"/>
        <v>10</v>
      </c>
      <c r="T91" s="8">
        <f t="shared" si="33"/>
        <v>43</v>
      </c>
      <c r="U91" s="8">
        <f t="shared" si="34"/>
        <v>24</v>
      </c>
      <c r="V91" s="8">
        <v>60135</v>
      </c>
      <c r="W91" s="8">
        <v>58621</v>
      </c>
      <c r="X91" s="9" t="str">
        <f t="shared" si="35"/>
        <v>Highe Target</v>
      </c>
      <c r="Y91" s="9" t="str">
        <f t="shared" si="36"/>
        <v>Highe target</v>
      </c>
      <c r="Z91" s="9" t="str" cm="1">
        <f t="array" ref="Z91">_xlfn.IFS(W91&lt;60000,"LOWERTarget",W91&lt;80000,"Medium Target",W91,"Highe Target")</f>
        <v>LOWERTarget</v>
      </c>
      <c r="AA91" s="8" t="s">
        <v>454</v>
      </c>
      <c r="AB91" s="5" t="str">
        <f t="shared" si="37"/>
        <v>   FAST DELIVERY   </v>
      </c>
      <c r="AC91" s="5" t="str">
        <f t="shared" si="38"/>
        <v>   fast delivery   </v>
      </c>
      <c r="AD91" s="5" t="str">
        <f t="shared" si="39"/>
        <v>   Fast Delivery   </v>
      </c>
      <c r="AF91" s="6"/>
    </row>
    <row r="92" ht="14.25" customHeight="1" spans="1:32">
      <c r="A92" s="8" t="s">
        <v>455</v>
      </c>
      <c r="B92" s="8" t="s">
        <v>456</v>
      </c>
      <c r="C92" s="9">
        <f t="shared" si="20"/>
        <v>13</v>
      </c>
      <c r="D92" s="8" t="s">
        <v>93</v>
      </c>
      <c r="E92" s="8" t="str">
        <f t="shared" si="21"/>
        <v>Rohan Agarwal(E1109) - Sales</v>
      </c>
      <c r="F92" s="9" t="str">
        <f t="shared" si="22"/>
        <v>Rohan Agarwal(E1109) -</v>
      </c>
      <c r="G92" s="9" t="str">
        <f t="shared" si="23"/>
        <v>Sales</v>
      </c>
      <c r="H92" s="9">
        <f t="shared" si="24"/>
        <v>22</v>
      </c>
      <c r="I92" s="9">
        <f t="shared" si="25"/>
        <v>6</v>
      </c>
      <c r="J92" s="8" t="s">
        <v>76</v>
      </c>
      <c r="K92" s="9" t="str">
        <f t="shared" si="26"/>
        <v>Pune</v>
      </c>
      <c r="L92" s="8" t="s">
        <v>457</v>
      </c>
      <c r="M92" s="8" t="str">
        <f t="shared" si="27"/>
        <v>Tuesday</v>
      </c>
      <c r="N92" s="8" t="str">
        <f t="shared" si="28"/>
        <v>Tue</v>
      </c>
      <c r="O92" s="8" t="str">
        <f t="shared" si="29"/>
        <v>day</v>
      </c>
      <c r="P92" s="8">
        <f t="shared" si="30"/>
        <v>4</v>
      </c>
      <c r="Q92" s="8">
        <f t="shared" si="31"/>
        <v>2022</v>
      </c>
      <c r="R92" s="8" t="s">
        <v>458</v>
      </c>
      <c r="S92" s="8">
        <f t="shared" si="32"/>
        <v>10</v>
      </c>
      <c r="T92" s="8">
        <f t="shared" si="33"/>
        <v>43</v>
      </c>
      <c r="U92" s="8">
        <f t="shared" si="34"/>
        <v>58</v>
      </c>
      <c r="V92" s="8">
        <v>58741</v>
      </c>
      <c r="W92" s="8">
        <v>58833</v>
      </c>
      <c r="X92" s="9" t="str">
        <f t="shared" si="35"/>
        <v>Highe Target</v>
      </c>
      <c r="Y92" s="9" t="str">
        <f t="shared" si="36"/>
        <v>Highe target</v>
      </c>
      <c r="Z92" s="9" t="str" cm="1">
        <f t="array" ref="Z92">_xlfn.IFS(W92&lt;60000,"LOWERTarget",W92&lt;80000,"Medium Target",W92,"Highe Target")</f>
        <v>LOWERTarget</v>
      </c>
      <c r="AA92" s="8" t="s">
        <v>96</v>
      </c>
      <c r="AB92" s="5" t="str">
        <f t="shared" si="37"/>
        <v>FAST DELIVERY</v>
      </c>
      <c r="AC92" s="5" t="str">
        <f t="shared" si="38"/>
        <v>fast delivery</v>
      </c>
      <c r="AD92" s="5" t="str">
        <f t="shared" si="39"/>
        <v>Fast Delivery</v>
      </c>
      <c r="AF92" s="6"/>
    </row>
    <row r="93" ht="14.25" customHeight="1" spans="1:32">
      <c r="A93" s="8" t="s">
        <v>459</v>
      </c>
      <c r="B93" s="8" t="s">
        <v>460</v>
      </c>
      <c r="C93" s="9">
        <f t="shared" si="20"/>
        <v>11</v>
      </c>
      <c r="D93" s="8" t="s">
        <v>44</v>
      </c>
      <c r="E93" s="8" t="str">
        <f t="shared" si="21"/>
        <v>Neha Mishra(E1228) - Marketing</v>
      </c>
      <c r="F93" s="9" t="str">
        <f t="shared" si="22"/>
        <v>Neha Mishra(E1228) -</v>
      </c>
      <c r="G93" s="9" t="str">
        <f t="shared" si="23"/>
        <v>Marketing</v>
      </c>
      <c r="H93" s="9">
        <f t="shared" si="24"/>
        <v>20</v>
      </c>
      <c r="I93" s="9">
        <f t="shared" si="25"/>
        <v>10</v>
      </c>
      <c r="J93" s="8" t="s">
        <v>182</v>
      </c>
      <c r="K93" s="9" t="str">
        <f t="shared" si="26"/>
        <v>Kolk@ta</v>
      </c>
      <c r="L93" s="8" t="s">
        <v>461</v>
      </c>
      <c r="M93" s="8" t="str">
        <f t="shared" si="27"/>
        <v>Thursday</v>
      </c>
      <c r="N93" s="8" t="str">
        <f t="shared" si="28"/>
        <v>Thu</v>
      </c>
      <c r="O93" s="8" t="str">
        <f t="shared" si="29"/>
        <v>day</v>
      </c>
      <c r="P93" s="8">
        <f t="shared" si="30"/>
        <v>12</v>
      </c>
      <c r="Q93" s="8">
        <f t="shared" si="31"/>
        <v>2022</v>
      </c>
      <c r="R93" s="8" t="s">
        <v>462</v>
      </c>
      <c r="S93" s="8">
        <f t="shared" si="32"/>
        <v>8</v>
      </c>
      <c r="T93" s="8">
        <f t="shared" si="33"/>
        <v>18</v>
      </c>
      <c r="U93" s="8">
        <f t="shared" si="34"/>
        <v>2</v>
      </c>
      <c r="V93" s="8">
        <v>49029</v>
      </c>
      <c r="W93" s="8">
        <v>58850</v>
      </c>
      <c r="X93" s="9" t="str">
        <f t="shared" si="35"/>
        <v>Highe Target</v>
      </c>
      <c r="Y93" s="9" t="str">
        <f t="shared" si="36"/>
        <v>Highe target</v>
      </c>
      <c r="Z93" s="9" t="str" cm="1">
        <f t="array" ref="Z93">_xlfn.IFS(W93&lt;60000,"LOWERTarget",W93&lt;80000,"Medium Target",W93,"Highe Target")</f>
        <v>LOWERTarget</v>
      </c>
      <c r="AA93" s="8" t="s">
        <v>48</v>
      </c>
      <c r="AB93" s="5" t="str">
        <f t="shared" si="37"/>
        <v>CREATIVE IDEAS</v>
      </c>
      <c r="AC93" s="5" t="str">
        <f t="shared" si="38"/>
        <v>creative ideas</v>
      </c>
      <c r="AD93" s="5" t="str">
        <f t="shared" si="39"/>
        <v>Creative Ideas</v>
      </c>
      <c r="AF93" s="6"/>
    </row>
    <row r="94" ht="14.25" customHeight="1" spans="1:32">
      <c r="A94" s="8" t="s">
        <v>463</v>
      </c>
      <c r="B94" s="8" t="s">
        <v>464</v>
      </c>
      <c r="C94" s="9">
        <f t="shared" si="20"/>
        <v>12</v>
      </c>
      <c r="D94" s="8" t="s">
        <v>60</v>
      </c>
      <c r="E94" s="8" t="str">
        <f t="shared" si="21"/>
        <v>Priya Sharma(E1149) - HR</v>
      </c>
      <c r="F94" s="9" t="str">
        <f t="shared" si="22"/>
        <v>Priya Sharma(E1149) -</v>
      </c>
      <c r="G94" s="9" t="str">
        <f t="shared" si="23"/>
        <v>HR</v>
      </c>
      <c r="H94" s="9">
        <f t="shared" si="24"/>
        <v>21</v>
      </c>
      <c r="I94" s="9">
        <f t="shared" si="25"/>
        <v>3</v>
      </c>
      <c r="J94" s="8" t="s">
        <v>61</v>
      </c>
      <c r="K94" s="9" t="str">
        <f t="shared" si="26"/>
        <v>Chenn@i</v>
      </c>
      <c r="L94" s="8" t="s">
        <v>465</v>
      </c>
      <c r="M94" s="8" t="str">
        <f t="shared" si="27"/>
        <v>Wednesday</v>
      </c>
      <c r="N94" s="8" t="str">
        <f t="shared" si="28"/>
        <v>Wed</v>
      </c>
      <c r="O94" s="8" t="str">
        <f t="shared" si="29"/>
        <v>day</v>
      </c>
      <c r="P94" s="8">
        <f t="shared" si="30"/>
        <v>3</v>
      </c>
      <c r="Q94" s="8">
        <f t="shared" si="31"/>
        <v>2022</v>
      </c>
      <c r="R94" s="8" t="s">
        <v>466</v>
      </c>
      <c r="S94" s="8">
        <f t="shared" si="32"/>
        <v>8</v>
      </c>
      <c r="T94" s="8">
        <f t="shared" si="33"/>
        <v>48</v>
      </c>
      <c r="U94" s="8">
        <f t="shared" si="34"/>
        <v>16</v>
      </c>
      <c r="V94" s="8">
        <v>65472</v>
      </c>
      <c r="W94" s="8">
        <v>58969</v>
      </c>
      <c r="X94" s="9" t="str">
        <f t="shared" si="35"/>
        <v>Highe Target</v>
      </c>
      <c r="Y94" s="9" t="str">
        <f t="shared" si="36"/>
        <v>Highe target</v>
      </c>
      <c r="Z94" s="9" t="str" cm="1">
        <f t="array" ref="Z94">_xlfn.IFS(W94&lt;60000,"LOWERTarget",W94&lt;80000,"Medium Target",W94,"Highe Target")</f>
        <v>LOWERTarget</v>
      </c>
      <c r="AA94" s="8" t="s">
        <v>160</v>
      </c>
      <c r="AB94" s="5" t="str">
        <f t="shared" si="37"/>
        <v>GOOD COMMUNICATION</v>
      </c>
      <c r="AC94" s="5" t="str">
        <f t="shared" si="38"/>
        <v>good communication</v>
      </c>
      <c r="AD94" s="5" t="str">
        <f t="shared" si="39"/>
        <v>Good Communication</v>
      </c>
      <c r="AF94" s="6"/>
    </row>
    <row r="95" ht="14.25" customHeight="1" spans="1:32">
      <c r="A95" s="8" t="s">
        <v>467</v>
      </c>
      <c r="B95" s="8" t="s">
        <v>468</v>
      </c>
      <c r="C95" s="9">
        <f t="shared" si="20"/>
        <v>12</v>
      </c>
      <c r="D95" s="8" t="s">
        <v>93</v>
      </c>
      <c r="E95" s="8" t="str">
        <f t="shared" si="21"/>
        <v>Ritika Joshi(E1292) - Sales</v>
      </c>
      <c r="F95" s="9" t="str">
        <f t="shared" si="22"/>
        <v>Ritika Joshi(E1292) -</v>
      </c>
      <c r="G95" s="9" t="str">
        <f t="shared" si="23"/>
        <v>Sales</v>
      </c>
      <c r="H95" s="9">
        <f t="shared" si="24"/>
        <v>21</v>
      </c>
      <c r="I95" s="9">
        <f t="shared" si="25"/>
        <v>6</v>
      </c>
      <c r="J95" s="8" t="s">
        <v>36</v>
      </c>
      <c r="K95" s="9" t="str">
        <f t="shared" si="26"/>
        <v>Ahmed@bad</v>
      </c>
      <c r="L95" s="8" t="s">
        <v>469</v>
      </c>
      <c r="M95" s="8" t="str">
        <f t="shared" si="27"/>
        <v>Saturday</v>
      </c>
      <c r="N95" s="8" t="str">
        <f t="shared" si="28"/>
        <v>Sat</v>
      </c>
      <c r="O95" s="8" t="str">
        <f t="shared" si="29"/>
        <v>day</v>
      </c>
      <c r="P95" s="8">
        <f t="shared" si="30"/>
        <v>12</v>
      </c>
      <c r="Q95" s="8">
        <f t="shared" si="31"/>
        <v>2024</v>
      </c>
      <c r="R95" s="8" t="s">
        <v>470</v>
      </c>
      <c r="S95" s="8">
        <f t="shared" si="32"/>
        <v>8</v>
      </c>
      <c r="T95" s="8">
        <f t="shared" si="33"/>
        <v>28</v>
      </c>
      <c r="U95" s="8">
        <f t="shared" si="34"/>
        <v>51</v>
      </c>
      <c r="V95" s="8">
        <v>48624</v>
      </c>
      <c r="W95" s="8">
        <v>59092</v>
      </c>
      <c r="X95" s="9" t="str">
        <f t="shared" si="35"/>
        <v>Highe Target</v>
      </c>
      <c r="Y95" s="9" t="str">
        <f t="shared" si="36"/>
        <v>Highe target</v>
      </c>
      <c r="Z95" s="9" t="str" cm="1">
        <f t="array" ref="Z95">_xlfn.IFS(W95&lt;60000,"LOWERTarget",W95&lt;80000,"Medium Target",W95,"Highe Target")</f>
        <v>LOWERTarget</v>
      </c>
      <c r="AA95" s="8" t="s">
        <v>243</v>
      </c>
      <c r="AB95" s="5" t="str">
        <f t="shared" si="37"/>
        <v>POSITIVE ATTITUDE</v>
      </c>
      <c r="AC95" s="5" t="str">
        <f t="shared" si="38"/>
        <v>positive attitude</v>
      </c>
      <c r="AD95" s="5" t="str">
        <f t="shared" si="39"/>
        <v>Positive Attitude</v>
      </c>
      <c r="AF95" s="6"/>
    </row>
    <row r="96" ht="14.25" customHeight="1" spans="1:32">
      <c r="A96" s="8" t="s">
        <v>471</v>
      </c>
      <c r="B96" s="8" t="s">
        <v>472</v>
      </c>
      <c r="C96" s="9">
        <f t="shared" si="20"/>
        <v>10</v>
      </c>
      <c r="D96" s="8" t="s">
        <v>60</v>
      </c>
      <c r="E96" s="8" t="str">
        <f t="shared" si="21"/>
        <v>Rohan Jain(E1290) - HR</v>
      </c>
      <c r="F96" s="9" t="str">
        <f t="shared" si="22"/>
        <v>Rohan Jain(E1290) -</v>
      </c>
      <c r="G96" s="9" t="str">
        <f t="shared" si="23"/>
        <v>HR</v>
      </c>
      <c r="H96" s="9">
        <f t="shared" si="24"/>
        <v>19</v>
      </c>
      <c r="I96" s="9">
        <f t="shared" si="25"/>
        <v>3</v>
      </c>
      <c r="J96" s="8" t="s">
        <v>36</v>
      </c>
      <c r="K96" s="9" t="str">
        <f t="shared" si="26"/>
        <v>Ahmed@bad</v>
      </c>
      <c r="L96" s="8" t="s">
        <v>246</v>
      </c>
      <c r="M96" s="8" t="str">
        <f t="shared" si="27"/>
        <v>Thursday</v>
      </c>
      <c r="N96" s="8" t="str">
        <f t="shared" si="28"/>
        <v>Thu</v>
      </c>
      <c r="O96" s="8" t="str">
        <f t="shared" si="29"/>
        <v>day</v>
      </c>
      <c r="P96" s="8">
        <f t="shared" si="30"/>
        <v>10</v>
      </c>
      <c r="Q96" s="8">
        <f t="shared" si="31"/>
        <v>2022</v>
      </c>
      <c r="R96" s="8" t="s">
        <v>473</v>
      </c>
      <c r="S96" s="8">
        <f t="shared" si="32"/>
        <v>8</v>
      </c>
      <c r="T96" s="8">
        <f t="shared" si="33"/>
        <v>25</v>
      </c>
      <c r="U96" s="8">
        <f t="shared" si="34"/>
        <v>20</v>
      </c>
      <c r="V96" s="8">
        <v>76278</v>
      </c>
      <c r="W96" s="8">
        <v>59100</v>
      </c>
      <c r="X96" s="9" t="str">
        <f t="shared" si="35"/>
        <v>Highe Target</v>
      </c>
      <c r="Y96" s="9" t="str">
        <f t="shared" si="36"/>
        <v>Highe target</v>
      </c>
      <c r="Z96" s="9" t="str" cm="1">
        <f t="array" ref="Z96">_xlfn.IFS(W96&lt;60000,"LOWERTarget",W96&lt;80000,"Medium Target",W96,"Highe Target")</f>
        <v>LOWERTarget</v>
      </c>
      <c r="AA96" s="8" t="s">
        <v>79</v>
      </c>
      <c r="AB96" s="5" t="str">
        <f t="shared" si="37"/>
        <v>EXCELLENT LEADERSHIP</v>
      </c>
      <c r="AC96" s="5" t="str">
        <f t="shared" si="38"/>
        <v>excellent leadership</v>
      </c>
      <c r="AD96" s="5" t="str">
        <f t="shared" si="39"/>
        <v>Excellent Leadership</v>
      </c>
      <c r="AF96" s="6"/>
    </row>
    <row r="97" ht="14.25" customHeight="1" spans="1:32">
      <c r="A97" s="8" t="s">
        <v>474</v>
      </c>
      <c r="B97" s="8" t="s">
        <v>475</v>
      </c>
      <c r="C97" s="9">
        <f t="shared" si="20"/>
        <v>14</v>
      </c>
      <c r="D97" s="8" t="s">
        <v>35</v>
      </c>
      <c r="E97" s="8" t="str">
        <f t="shared" si="21"/>
        <v>Sneha Malhotra(E1236) - Finance</v>
      </c>
      <c r="F97" s="9" t="str">
        <f t="shared" si="22"/>
        <v>Sneha Malhotra(E1236) -</v>
      </c>
      <c r="G97" s="9" t="str">
        <f t="shared" si="23"/>
        <v>Finance</v>
      </c>
      <c r="H97" s="9">
        <f t="shared" si="24"/>
        <v>23</v>
      </c>
      <c r="I97" s="9">
        <f t="shared" si="25"/>
        <v>8</v>
      </c>
      <c r="J97" s="8" t="s">
        <v>53</v>
      </c>
      <c r="K97" s="9" t="str">
        <f t="shared" si="26"/>
        <v>Delhi</v>
      </c>
      <c r="L97" s="8" t="s">
        <v>476</v>
      </c>
      <c r="M97" s="8" t="str">
        <f t="shared" si="27"/>
        <v>Friday</v>
      </c>
      <c r="N97" s="8" t="str">
        <f t="shared" si="28"/>
        <v>Fri</v>
      </c>
      <c r="O97" s="8" t="str">
        <f t="shared" si="29"/>
        <v>day</v>
      </c>
      <c r="P97" s="8">
        <f t="shared" si="30"/>
        <v>1</v>
      </c>
      <c r="Q97" s="8">
        <f t="shared" si="31"/>
        <v>2021</v>
      </c>
      <c r="R97" s="8" t="s">
        <v>477</v>
      </c>
      <c r="S97" s="8">
        <f t="shared" si="32"/>
        <v>10</v>
      </c>
      <c r="T97" s="8">
        <f t="shared" si="33"/>
        <v>21</v>
      </c>
      <c r="U97" s="8">
        <f t="shared" si="34"/>
        <v>50</v>
      </c>
      <c r="V97" s="8">
        <v>56993</v>
      </c>
      <c r="W97" s="8">
        <v>59334</v>
      </c>
      <c r="X97" s="9" t="str">
        <f t="shared" si="35"/>
        <v>Highe Target</v>
      </c>
      <c r="Y97" s="9" t="str">
        <f t="shared" si="36"/>
        <v>Highe target</v>
      </c>
      <c r="Z97" s="9" t="str" cm="1">
        <f t="array" ref="Z97">_xlfn.IFS(W97&lt;60000,"LOWERTarget",W97&lt;80000,"Medium Target",W97,"Highe Target")</f>
        <v>LOWERTarget</v>
      </c>
      <c r="AA97" s="8" t="s">
        <v>285</v>
      </c>
      <c r="AB97" s="5" t="str">
        <f t="shared" si="37"/>
        <v>QUICK RESPONSE</v>
      </c>
      <c r="AC97" s="5" t="str">
        <f t="shared" si="38"/>
        <v>quick response</v>
      </c>
      <c r="AD97" s="5" t="str">
        <f t="shared" si="39"/>
        <v>Quick Response</v>
      </c>
      <c r="AF97" s="6"/>
    </row>
    <row r="98" ht="14.25" customHeight="1" spans="1:32">
      <c r="A98" s="8" t="s">
        <v>478</v>
      </c>
      <c r="B98" s="8" t="s">
        <v>479</v>
      </c>
      <c r="C98" s="9">
        <f t="shared" si="20"/>
        <v>12</v>
      </c>
      <c r="D98" s="8" t="s">
        <v>44</v>
      </c>
      <c r="E98" s="8" t="str">
        <f t="shared" si="21"/>
        <v>Anjali Joshi(E1240) - Marketing</v>
      </c>
      <c r="F98" s="9" t="str">
        <f t="shared" si="22"/>
        <v>Anjali Joshi(E1240) -</v>
      </c>
      <c r="G98" s="9" t="str">
        <f t="shared" si="23"/>
        <v>Marketing</v>
      </c>
      <c r="H98" s="9">
        <f t="shared" si="24"/>
        <v>21</v>
      </c>
      <c r="I98" s="9">
        <f t="shared" si="25"/>
        <v>10</v>
      </c>
      <c r="J98" s="8" t="s">
        <v>61</v>
      </c>
      <c r="K98" s="9" t="str">
        <f t="shared" si="26"/>
        <v>Chenn@i</v>
      </c>
      <c r="L98" s="8" t="s">
        <v>480</v>
      </c>
      <c r="M98" s="8" t="str">
        <f t="shared" si="27"/>
        <v>Thursday</v>
      </c>
      <c r="N98" s="8" t="str">
        <f t="shared" si="28"/>
        <v>Thu</v>
      </c>
      <c r="O98" s="8" t="str">
        <f t="shared" si="29"/>
        <v>day</v>
      </c>
      <c r="P98" s="8">
        <f t="shared" si="30"/>
        <v>11</v>
      </c>
      <c r="Q98" s="8">
        <f t="shared" si="31"/>
        <v>2024</v>
      </c>
      <c r="R98" s="8" t="s">
        <v>481</v>
      </c>
      <c r="S98" s="8">
        <f t="shared" si="32"/>
        <v>8</v>
      </c>
      <c r="T98" s="8">
        <f t="shared" si="33"/>
        <v>40</v>
      </c>
      <c r="U98" s="8">
        <f t="shared" si="34"/>
        <v>58</v>
      </c>
      <c r="V98" s="8">
        <v>68422</v>
      </c>
      <c r="W98" s="8">
        <v>59335</v>
      </c>
      <c r="X98" s="9" t="str">
        <f t="shared" si="35"/>
        <v>Highe Target</v>
      </c>
      <c r="Y98" s="9" t="str">
        <f t="shared" si="36"/>
        <v>Highe target</v>
      </c>
      <c r="Z98" s="9" t="str" cm="1">
        <f t="array" ref="Z98">_xlfn.IFS(W98&lt;60000,"LOWERTarget",W98&lt;80000,"Medium Target",W98,"Highe Target")</f>
        <v>LOWERTarget</v>
      </c>
      <c r="AA98" s="8" t="s">
        <v>79</v>
      </c>
      <c r="AB98" s="5" t="str">
        <f t="shared" si="37"/>
        <v>EXCELLENT LEADERSHIP</v>
      </c>
      <c r="AC98" s="5" t="str">
        <f t="shared" si="38"/>
        <v>excellent leadership</v>
      </c>
      <c r="AD98" s="5" t="str">
        <f t="shared" si="39"/>
        <v>Excellent Leadership</v>
      </c>
      <c r="AF98" s="6"/>
    </row>
    <row r="99" ht="14.25" customHeight="1" spans="1:32">
      <c r="A99" s="8" t="s">
        <v>482</v>
      </c>
      <c r="B99" s="8" t="s">
        <v>483</v>
      </c>
      <c r="C99" s="9">
        <f t="shared" si="20"/>
        <v>14</v>
      </c>
      <c r="D99" s="8" t="s">
        <v>35</v>
      </c>
      <c r="E99" s="8" t="str">
        <f t="shared" si="21"/>
        <v>Tanya Malhotra(E1114) - Finance</v>
      </c>
      <c r="F99" s="9" t="str">
        <f t="shared" si="22"/>
        <v>Tanya Malhotra(E1114) -</v>
      </c>
      <c r="G99" s="9" t="str">
        <f t="shared" si="23"/>
        <v>Finance</v>
      </c>
      <c r="H99" s="9">
        <f t="shared" si="24"/>
        <v>23</v>
      </c>
      <c r="I99" s="9">
        <f t="shared" si="25"/>
        <v>8</v>
      </c>
      <c r="J99" s="8" t="s">
        <v>53</v>
      </c>
      <c r="K99" s="9" t="str">
        <f t="shared" si="26"/>
        <v>Delhi</v>
      </c>
      <c r="L99" s="8" t="s">
        <v>484</v>
      </c>
      <c r="M99" s="8" t="str">
        <f t="shared" si="27"/>
        <v>Tuesday</v>
      </c>
      <c r="N99" s="8" t="str">
        <f t="shared" si="28"/>
        <v>Tue</v>
      </c>
      <c r="O99" s="8" t="str">
        <f t="shared" si="29"/>
        <v>day</v>
      </c>
      <c r="P99" s="8">
        <f t="shared" si="30"/>
        <v>6</v>
      </c>
      <c r="Q99" s="8">
        <f t="shared" si="31"/>
        <v>2021</v>
      </c>
      <c r="R99" s="8" t="s">
        <v>485</v>
      </c>
      <c r="S99" s="8">
        <f t="shared" si="32"/>
        <v>9</v>
      </c>
      <c r="T99" s="8">
        <f t="shared" si="33"/>
        <v>22</v>
      </c>
      <c r="U99" s="8">
        <f t="shared" si="34"/>
        <v>37</v>
      </c>
      <c r="V99" s="8">
        <v>72412</v>
      </c>
      <c r="W99" s="8">
        <v>59605</v>
      </c>
      <c r="X99" s="9" t="str">
        <f t="shared" si="35"/>
        <v>Highe Target</v>
      </c>
      <c r="Y99" s="9" t="str">
        <f t="shared" si="36"/>
        <v>Highe target</v>
      </c>
      <c r="Z99" s="9" t="str" cm="1">
        <f t="array" ref="Z99">_xlfn.IFS(W99&lt;60000,"LOWERTarget",W99&lt;80000,"Medium Target",W99,"Highe Target")</f>
        <v>LOWERTarget</v>
      </c>
      <c r="AA99" s="8" t="s">
        <v>96</v>
      </c>
      <c r="AB99" s="5" t="str">
        <f t="shared" si="37"/>
        <v>FAST DELIVERY</v>
      </c>
      <c r="AC99" s="5" t="str">
        <f t="shared" si="38"/>
        <v>fast delivery</v>
      </c>
      <c r="AD99" s="5" t="str">
        <f t="shared" si="39"/>
        <v>Fast Delivery</v>
      </c>
      <c r="AF99" s="6"/>
    </row>
    <row r="100" ht="14.25" customHeight="1" spans="1:32">
      <c r="A100" s="8" t="s">
        <v>486</v>
      </c>
      <c r="B100" s="8" t="s">
        <v>487</v>
      </c>
      <c r="C100" s="9">
        <f t="shared" si="20"/>
        <v>10</v>
      </c>
      <c r="D100" s="8" t="s">
        <v>35</v>
      </c>
      <c r="E100" s="8" t="str">
        <f t="shared" si="21"/>
        <v>Tanya Iyer(E1198) - Finance</v>
      </c>
      <c r="F100" s="9" t="str">
        <f t="shared" si="22"/>
        <v>Tanya Iyer(E1198) -</v>
      </c>
      <c r="G100" s="9" t="str">
        <f t="shared" si="23"/>
        <v>Finance</v>
      </c>
      <c r="H100" s="9">
        <f t="shared" si="24"/>
        <v>19</v>
      </c>
      <c r="I100" s="9">
        <f t="shared" si="25"/>
        <v>8</v>
      </c>
      <c r="J100" s="8" t="s">
        <v>76</v>
      </c>
      <c r="K100" s="9" t="str">
        <f t="shared" si="26"/>
        <v>Pune</v>
      </c>
      <c r="L100" s="8" t="s">
        <v>488</v>
      </c>
      <c r="M100" s="8" t="str">
        <f t="shared" si="27"/>
        <v>Thursday</v>
      </c>
      <c r="N100" s="8" t="str">
        <f t="shared" si="28"/>
        <v>Thu</v>
      </c>
      <c r="O100" s="8" t="str">
        <f t="shared" si="29"/>
        <v>day</v>
      </c>
      <c r="P100" s="8">
        <f t="shared" si="30"/>
        <v>2</v>
      </c>
      <c r="Q100" s="8">
        <f t="shared" si="31"/>
        <v>2024</v>
      </c>
      <c r="R100" s="8" t="s">
        <v>489</v>
      </c>
      <c r="S100" s="8">
        <f t="shared" si="32"/>
        <v>10</v>
      </c>
      <c r="T100" s="8">
        <f t="shared" si="33"/>
        <v>18</v>
      </c>
      <c r="U100" s="8">
        <f t="shared" si="34"/>
        <v>57</v>
      </c>
      <c r="V100" s="8">
        <v>54979</v>
      </c>
      <c r="W100" s="8">
        <v>59657</v>
      </c>
      <c r="X100" s="9" t="str">
        <f t="shared" si="35"/>
        <v>Highe Target</v>
      </c>
      <c r="Y100" s="9" t="str">
        <f t="shared" si="36"/>
        <v>Highe target</v>
      </c>
      <c r="Z100" s="9" t="str" cm="1">
        <f t="array" ref="Z100">_xlfn.IFS(W100&lt;60000,"LOWERTarget",W100&lt;80000,"Medium Target",W100,"Highe Target")</f>
        <v>LOWERTarget</v>
      </c>
      <c r="AA100" s="8" t="s">
        <v>96</v>
      </c>
      <c r="AB100" s="5" t="str">
        <f t="shared" si="37"/>
        <v>FAST DELIVERY</v>
      </c>
      <c r="AC100" s="5" t="str">
        <f t="shared" si="38"/>
        <v>fast delivery</v>
      </c>
      <c r="AD100" s="5" t="str">
        <f t="shared" si="39"/>
        <v>Fast Delivery</v>
      </c>
      <c r="AF100" s="6"/>
    </row>
    <row r="101" ht="14.25" customHeight="1" spans="1:32">
      <c r="A101" s="8" t="s">
        <v>490</v>
      </c>
      <c r="B101" s="8" t="s">
        <v>451</v>
      </c>
      <c r="C101" s="9">
        <f t="shared" si="20"/>
        <v>9</v>
      </c>
      <c r="D101" s="8" t="s">
        <v>60</v>
      </c>
      <c r="E101" s="8" t="str">
        <f t="shared" si="21"/>
        <v>Yash Iyer(E1158) - HR</v>
      </c>
      <c r="F101" s="9" t="str">
        <f t="shared" si="22"/>
        <v>Yash Iyer(E1158) -</v>
      </c>
      <c r="G101" s="9" t="str">
        <f t="shared" si="23"/>
        <v>HR</v>
      </c>
      <c r="H101" s="9">
        <f t="shared" si="24"/>
        <v>18</v>
      </c>
      <c r="I101" s="9">
        <f t="shared" si="25"/>
        <v>3</v>
      </c>
      <c r="J101" s="8" t="s">
        <v>36</v>
      </c>
      <c r="K101" s="9" t="str">
        <f t="shared" si="26"/>
        <v>Ahmed@bad</v>
      </c>
      <c r="L101" s="8" t="s">
        <v>362</v>
      </c>
      <c r="M101" s="8" t="str">
        <f t="shared" si="27"/>
        <v>Thursday</v>
      </c>
      <c r="N101" s="8" t="str">
        <f t="shared" si="28"/>
        <v>Thu</v>
      </c>
      <c r="O101" s="8" t="str">
        <f t="shared" si="29"/>
        <v>day</v>
      </c>
      <c r="P101" s="8">
        <f t="shared" si="30"/>
        <v>5</v>
      </c>
      <c r="Q101" s="8">
        <f t="shared" si="31"/>
        <v>2021</v>
      </c>
      <c r="R101" s="8" t="s">
        <v>491</v>
      </c>
      <c r="S101" s="8">
        <f t="shared" si="32"/>
        <v>9</v>
      </c>
      <c r="T101" s="8">
        <f t="shared" si="33"/>
        <v>28</v>
      </c>
      <c r="U101" s="8">
        <f t="shared" si="34"/>
        <v>40</v>
      </c>
      <c r="V101" s="8">
        <v>62846</v>
      </c>
      <c r="W101" s="8">
        <v>59845</v>
      </c>
      <c r="X101" s="9" t="str">
        <f t="shared" si="35"/>
        <v>Highe Target</v>
      </c>
      <c r="Y101" s="9" t="str">
        <f t="shared" si="36"/>
        <v>Highe target</v>
      </c>
      <c r="Z101" s="9" t="str" cm="1">
        <f t="array" ref="Z101">_xlfn.IFS(W101&lt;60000,"LOWERTarget",W101&lt;80000,"Medium Target",W101,"Highe Target")</f>
        <v>LOWERTarget</v>
      </c>
      <c r="AA101" s="8" t="s">
        <v>79</v>
      </c>
      <c r="AB101" s="5" t="str">
        <f t="shared" si="37"/>
        <v>EXCELLENT LEADERSHIP</v>
      </c>
      <c r="AC101" s="5" t="str">
        <f t="shared" si="38"/>
        <v>excellent leadership</v>
      </c>
      <c r="AD101" s="5" t="str">
        <f t="shared" si="39"/>
        <v>Excellent Leadership</v>
      </c>
      <c r="AF101" s="6"/>
    </row>
    <row r="102" ht="14.25" customHeight="1" spans="1:32">
      <c r="A102" s="8" t="s">
        <v>492</v>
      </c>
      <c r="B102" s="8" t="s">
        <v>245</v>
      </c>
      <c r="C102" s="9">
        <f t="shared" si="20"/>
        <v>12</v>
      </c>
      <c r="D102" s="8" t="s">
        <v>93</v>
      </c>
      <c r="E102" s="8" t="str">
        <f t="shared" si="21"/>
        <v>Arjun Saxena(E1167) - Sales</v>
      </c>
      <c r="F102" s="9" t="str">
        <f t="shared" si="22"/>
        <v>Arjun Saxena(E1167) -</v>
      </c>
      <c r="G102" s="9" t="str">
        <f t="shared" si="23"/>
        <v>Sales</v>
      </c>
      <c r="H102" s="9">
        <f t="shared" si="24"/>
        <v>21</v>
      </c>
      <c r="I102" s="9">
        <f t="shared" si="25"/>
        <v>6</v>
      </c>
      <c r="J102" s="8" t="s">
        <v>182</v>
      </c>
      <c r="K102" s="9" t="str">
        <f t="shared" si="26"/>
        <v>Kolk@ta</v>
      </c>
      <c r="L102" s="8" t="s">
        <v>493</v>
      </c>
      <c r="M102" s="8" t="str">
        <f t="shared" si="27"/>
        <v>Wednesday</v>
      </c>
      <c r="N102" s="8" t="str">
        <f t="shared" si="28"/>
        <v>Wed</v>
      </c>
      <c r="O102" s="8" t="str">
        <f t="shared" si="29"/>
        <v>day</v>
      </c>
      <c r="P102" s="8">
        <f t="shared" si="30"/>
        <v>11</v>
      </c>
      <c r="Q102" s="8">
        <f t="shared" si="31"/>
        <v>2023</v>
      </c>
      <c r="R102" s="8" t="s">
        <v>494</v>
      </c>
      <c r="S102" s="8">
        <f t="shared" si="32"/>
        <v>9</v>
      </c>
      <c r="T102" s="8">
        <f t="shared" si="33"/>
        <v>1</v>
      </c>
      <c r="U102" s="8">
        <f t="shared" si="34"/>
        <v>23</v>
      </c>
      <c r="V102" s="8">
        <v>57054</v>
      </c>
      <c r="W102" s="8">
        <v>60241</v>
      </c>
      <c r="X102" s="9" t="str">
        <f t="shared" si="35"/>
        <v>Highe Target</v>
      </c>
      <c r="Y102" s="9" t="str">
        <f t="shared" si="36"/>
        <v>Highe target</v>
      </c>
      <c r="Z102" s="9" t="str" cm="1">
        <f t="array" ref="Z102">_xlfn.IFS(W102&lt;60000,"LOWERTarget",W102&lt;80000,"Medium Target",W102,"Highe Target")</f>
        <v>Medium Target</v>
      </c>
      <c r="AA102" s="8" t="s">
        <v>126</v>
      </c>
      <c r="AB102" s="5" t="str">
        <f t="shared" si="37"/>
        <v>ACCURATE REPORTS</v>
      </c>
      <c r="AC102" s="5" t="str">
        <f t="shared" si="38"/>
        <v>accurate reports</v>
      </c>
      <c r="AD102" s="5" t="str">
        <f t="shared" si="39"/>
        <v>Accurate Reports</v>
      </c>
      <c r="AF102" s="6"/>
    </row>
    <row r="103" ht="14.25" customHeight="1" spans="1:32">
      <c r="A103" s="8" t="s">
        <v>495</v>
      </c>
      <c r="B103" s="8" t="s">
        <v>337</v>
      </c>
      <c r="C103" s="9">
        <f t="shared" si="20"/>
        <v>12</v>
      </c>
      <c r="D103" s="8" t="s">
        <v>60</v>
      </c>
      <c r="E103" s="8" t="str">
        <f t="shared" si="21"/>
        <v>Aakash Reddy(E1176) - HR</v>
      </c>
      <c r="F103" s="9" t="str">
        <f t="shared" si="22"/>
        <v>Aakash Reddy(E1176) -</v>
      </c>
      <c r="G103" s="9" t="str">
        <f t="shared" si="23"/>
        <v>HR</v>
      </c>
      <c r="H103" s="9">
        <f t="shared" si="24"/>
        <v>21</v>
      </c>
      <c r="I103" s="9">
        <f t="shared" si="25"/>
        <v>3</v>
      </c>
      <c r="J103" s="8" t="s">
        <v>182</v>
      </c>
      <c r="K103" s="9" t="str">
        <f t="shared" si="26"/>
        <v>Kolk@ta</v>
      </c>
      <c r="L103" s="8" t="s">
        <v>496</v>
      </c>
      <c r="M103" s="8" t="str">
        <f t="shared" si="27"/>
        <v>Thursday</v>
      </c>
      <c r="N103" s="8" t="str">
        <f t="shared" si="28"/>
        <v>Thu</v>
      </c>
      <c r="O103" s="8" t="str">
        <f t="shared" si="29"/>
        <v>day</v>
      </c>
      <c r="P103" s="8">
        <f t="shared" si="30"/>
        <v>6</v>
      </c>
      <c r="Q103" s="8">
        <f t="shared" si="31"/>
        <v>2021</v>
      </c>
      <c r="R103" s="8" t="s">
        <v>497</v>
      </c>
      <c r="S103" s="8">
        <f t="shared" si="32"/>
        <v>9</v>
      </c>
      <c r="T103" s="8">
        <f t="shared" si="33"/>
        <v>14</v>
      </c>
      <c r="U103" s="8">
        <f t="shared" si="34"/>
        <v>1</v>
      </c>
      <c r="V103" s="8">
        <v>52378</v>
      </c>
      <c r="W103" s="8">
        <v>60885</v>
      </c>
      <c r="X103" s="9" t="str">
        <f t="shared" si="35"/>
        <v>Highe Target</v>
      </c>
      <c r="Y103" s="9" t="str">
        <f t="shared" si="36"/>
        <v>Highe target</v>
      </c>
      <c r="Z103" s="9" t="str" cm="1">
        <f t="array" ref="Z103">_xlfn.IFS(W103&lt;60000,"LOWERTarget",W103&lt;80000,"Medium Target",W103,"Highe Target")</f>
        <v>Medium Target</v>
      </c>
      <c r="AA103" s="8" t="s">
        <v>185</v>
      </c>
      <c r="AB103" s="5" t="str">
        <f t="shared" si="37"/>
        <v>   POSITIVE ATTITUDE   </v>
      </c>
      <c r="AC103" s="5" t="str">
        <f t="shared" si="38"/>
        <v>   positive attitude   </v>
      </c>
      <c r="AD103" s="5" t="str">
        <f t="shared" si="39"/>
        <v>   Positive Attitude   </v>
      </c>
      <c r="AF103" s="6"/>
    </row>
    <row r="104" ht="14.25" customHeight="1" spans="1:32">
      <c r="A104" s="8" t="s">
        <v>498</v>
      </c>
      <c r="B104" s="8" t="s">
        <v>191</v>
      </c>
      <c r="C104" s="9">
        <f t="shared" si="20"/>
        <v>14</v>
      </c>
      <c r="D104" s="8" t="s">
        <v>35</v>
      </c>
      <c r="E104" s="8" t="str">
        <f t="shared" si="21"/>
        <v>Ritika Agarwal(E1104) - Finance</v>
      </c>
      <c r="F104" s="9" t="str">
        <f t="shared" si="22"/>
        <v>Ritika Agarwal(E1104) -</v>
      </c>
      <c r="G104" s="9" t="str">
        <f t="shared" si="23"/>
        <v>Finance</v>
      </c>
      <c r="H104" s="9">
        <f t="shared" si="24"/>
        <v>23</v>
      </c>
      <c r="I104" s="9">
        <f t="shared" si="25"/>
        <v>8</v>
      </c>
      <c r="J104" s="8" t="s">
        <v>172</v>
      </c>
      <c r="K104" s="9" t="str">
        <f t="shared" si="26"/>
        <v>Hyder@bad</v>
      </c>
      <c r="L104" s="8" t="s">
        <v>499</v>
      </c>
      <c r="M104" s="8" t="str">
        <f t="shared" si="27"/>
        <v>Monday</v>
      </c>
      <c r="N104" s="8" t="str">
        <f t="shared" si="28"/>
        <v>Mon</v>
      </c>
      <c r="O104" s="8" t="str">
        <f t="shared" si="29"/>
        <v>day</v>
      </c>
      <c r="P104" s="8">
        <f t="shared" si="30"/>
        <v>2</v>
      </c>
      <c r="Q104" s="8">
        <f t="shared" si="31"/>
        <v>2024</v>
      </c>
      <c r="R104" s="8" t="s">
        <v>500</v>
      </c>
      <c r="S104" s="8">
        <f t="shared" si="32"/>
        <v>10</v>
      </c>
      <c r="T104" s="8">
        <f t="shared" si="33"/>
        <v>24</v>
      </c>
      <c r="U104" s="8">
        <f t="shared" si="34"/>
        <v>29</v>
      </c>
      <c r="V104" s="8">
        <v>58451</v>
      </c>
      <c r="W104" s="8">
        <v>61088</v>
      </c>
      <c r="X104" s="9" t="str">
        <f t="shared" si="35"/>
        <v>Highe Target</v>
      </c>
      <c r="Y104" s="9" t="str">
        <f t="shared" si="36"/>
        <v>Highe target</v>
      </c>
      <c r="Z104" s="9" t="str" cm="1">
        <f t="array" ref="Z104">_xlfn.IFS(W104&lt;60000,"LOWERTarget",W104&lt;80000,"Medium Target",W104,"Highe Target")</f>
        <v>Medium Target</v>
      </c>
      <c r="AA104" s="8" t="s">
        <v>96</v>
      </c>
      <c r="AB104" s="5" t="str">
        <f t="shared" si="37"/>
        <v>FAST DELIVERY</v>
      </c>
      <c r="AC104" s="5" t="str">
        <f t="shared" si="38"/>
        <v>fast delivery</v>
      </c>
      <c r="AD104" s="5" t="str">
        <f t="shared" si="39"/>
        <v>Fast Delivery</v>
      </c>
      <c r="AF104" s="6"/>
    </row>
    <row r="105" ht="14.25" customHeight="1" spans="1:32">
      <c r="A105" s="8" t="s">
        <v>501</v>
      </c>
      <c r="B105" s="8" t="s">
        <v>502</v>
      </c>
      <c r="C105" s="9">
        <f t="shared" si="20"/>
        <v>12</v>
      </c>
      <c r="D105" s="8" t="s">
        <v>44</v>
      </c>
      <c r="E105" s="8" t="str">
        <f t="shared" si="21"/>
        <v>Nisha Mishra(E1152) - Marketing</v>
      </c>
      <c r="F105" s="9" t="str">
        <f t="shared" si="22"/>
        <v>Nisha Mishra(E1152) -</v>
      </c>
      <c r="G105" s="9" t="str">
        <f t="shared" si="23"/>
        <v>Marketing</v>
      </c>
      <c r="H105" s="9">
        <f t="shared" si="24"/>
        <v>21</v>
      </c>
      <c r="I105" s="9">
        <f t="shared" si="25"/>
        <v>10</v>
      </c>
      <c r="J105" s="8" t="s">
        <v>182</v>
      </c>
      <c r="K105" s="9" t="str">
        <f t="shared" si="26"/>
        <v>Kolk@ta</v>
      </c>
      <c r="L105" s="8" t="s">
        <v>503</v>
      </c>
      <c r="M105" s="8" t="str">
        <f t="shared" si="27"/>
        <v>Tuesday</v>
      </c>
      <c r="N105" s="8" t="str">
        <f t="shared" si="28"/>
        <v>Tue</v>
      </c>
      <c r="O105" s="8" t="str">
        <f t="shared" si="29"/>
        <v>day</v>
      </c>
      <c r="P105" s="8">
        <f t="shared" si="30"/>
        <v>8</v>
      </c>
      <c r="Q105" s="8">
        <f t="shared" si="31"/>
        <v>2022</v>
      </c>
      <c r="R105" s="8" t="s">
        <v>504</v>
      </c>
      <c r="S105" s="8">
        <f t="shared" si="32"/>
        <v>8</v>
      </c>
      <c r="T105" s="8">
        <f t="shared" si="33"/>
        <v>25</v>
      </c>
      <c r="U105" s="8">
        <f t="shared" si="34"/>
        <v>1</v>
      </c>
      <c r="V105" s="8">
        <v>57547</v>
      </c>
      <c r="W105" s="8">
        <v>61284</v>
      </c>
      <c r="X105" s="9" t="str">
        <f t="shared" si="35"/>
        <v>Highe Target</v>
      </c>
      <c r="Y105" s="9" t="str">
        <f t="shared" si="36"/>
        <v>Highe target</v>
      </c>
      <c r="Z105" s="9" t="str" cm="1">
        <f t="array" ref="Z105">_xlfn.IFS(W105&lt;60000,"LOWERTarget",W105&lt;80000,"Medium Target",W105,"Highe Target")</f>
        <v>Medium Target</v>
      </c>
      <c r="AA105" s="8" t="s">
        <v>118</v>
      </c>
      <c r="AB105" s="5" t="str">
        <f t="shared" si="37"/>
        <v>CUSTOMER FOCUSED</v>
      </c>
      <c r="AC105" s="5" t="str">
        <f t="shared" si="38"/>
        <v>customer focused</v>
      </c>
      <c r="AD105" s="5" t="str">
        <f t="shared" si="39"/>
        <v>Customer Focused</v>
      </c>
      <c r="AF105" s="6"/>
    </row>
    <row r="106" ht="14.25" customHeight="1" spans="1:32">
      <c r="A106" s="8" t="s">
        <v>505</v>
      </c>
      <c r="B106" s="8" t="s">
        <v>506</v>
      </c>
      <c r="C106" s="9">
        <f t="shared" si="20"/>
        <v>12</v>
      </c>
      <c r="D106" s="8" t="s">
        <v>93</v>
      </c>
      <c r="E106" s="8" t="str">
        <f t="shared" si="21"/>
        <v>Priya Chopra(E1047) - Sales</v>
      </c>
      <c r="F106" s="9" t="str">
        <f t="shared" si="22"/>
        <v>Priya Chopra(E1047) -</v>
      </c>
      <c r="G106" s="9" t="str">
        <f t="shared" si="23"/>
        <v>Sales</v>
      </c>
      <c r="H106" s="9">
        <f t="shared" si="24"/>
        <v>21</v>
      </c>
      <c r="I106" s="9">
        <f t="shared" si="25"/>
        <v>6</v>
      </c>
      <c r="J106" s="8" t="s">
        <v>45</v>
      </c>
      <c r="K106" s="9" t="str">
        <f t="shared" si="26"/>
        <v>B@ngalore</v>
      </c>
      <c r="L106" s="8" t="s">
        <v>507</v>
      </c>
      <c r="M106" s="8" t="str">
        <f t="shared" si="27"/>
        <v>Monday</v>
      </c>
      <c r="N106" s="8" t="str">
        <f t="shared" si="28"/>
        <v>Mon</v>
      </c>
      <c r="O106" s="8" t="str">
        <f t="shared" si="29"/>
        <v>day</v>
      </c>
      <c r="P106" s="8">
        <f t="shared" si="30"/>
        <v>1</v>
      </c>
      <c r="Q106" s="8">
        <f t="shared" si="31"/>
        <v>2023</v>
      </c>
      <c r="R106" s="8" t="s">
        <v>508</v>
      </c>
      <c r="S106" s="8">
        <f t="shared" si="32"/>
        <v>9</v>
      </c>
      <c r="T106" s="8">
        <f t="shared" si="33"/>
        <v>4</v>
      </c>
      <c r="U106" s="8">
        <f t="shared" si="34"/>
        <v>42</v>
      </c>
      <c r="V106" s="8">
        <v>67211</v>
      </c>
      <c r="W106" s="8">
        <v>61639</v>
      </c>
      <c r="X106" s="9" t="str">
        <f t="shared" si="35"/>
        <v>Highe Target</v>
      </c>
      <c r="Y106" s="9" t="str">
        <f t="shared" si="36"/>
        <v>Highe target</v>
      </c>
      <c r="Z106" s="9" t="str" cm="1">
        <f t="array" ref="Z106">_xlfn.IFS(W106&lt;60000,"LOWERTarget",W106&lt;80000,"Medium Target",W106,"Highe Target")</f>
        <v>Medium Target</v>
      </c>
      <c r="AA106" s="8" t="s">
        <v>138</v>
      </c>
      <c r="AB106" s="5" t="str">
        <f t="shared" si="37"/>
        <v>GOOD TEAMWORK</v>
      </c>
      <c r="AC106" s="5" t="str">
        <f t="shared" si="38"/>
        <v>good teamwork</v>
      </c>
      <c r="AD106" s="5" t="str">
        <f t="shared" si="39"/>
        <v>Good Teamwork</v>
      </c>
      <c r="AF106" s="6"/>
    </row>
    <row r="107" ht="14.25" customHeight="1" spans="1:32">
      <c r="A107" s="8" t="s">
        <v>509</v>
      </c>
      <c r="B107" s="8" t="s">
        <v>510</v>
      </c>
      <c r="C107" s="9">
        <f t="shared" si="20"/>
        <v>11</v>
      </c>
      <c r="D107" s="8" t="s">
        <v>44</v>
      </c>
      <c r="E107" s="8" t="str">
        <f t="shared" si="21"/>
        <v>Tanya Joshi(E1004) - Marketing</v>
      </c>
      <c r="F107" s="9" t="str">
        <f t="shared" si="22"/>
        <v>Tanya Joshi(E1004) -</v>
      </c>
      <c r="G107" s="9" t="str">
        <f t="shared" si="23"/>
        <v>Marketing</v>
      </c>
      <c r="H107" s="9">
        <f t="shared" si="24"/>
        <v>20</v>
      </c>
      <c r="I107" s="9">
        <f t="shared" si="25"/>
        <v>10</v>
      </c>
      <c r="J107" s="8" t="s">
        <v>172</v>
      </c>
      <c r="K107" s="9" t="str">
        <f t="shared" si="26"/>
        <v>Hyder@bad</v>
      </c>
      <c r="L107" s="8" t="s">
        <v>511</v>
      </c>
      <c r="M107" s="8" t="str">
        <f t="shared" si="27"/>
        <v>Sunday</v>
      </c>
      <c r="N107" s="8" t="str">
        <f t="shared" si="28"/>
        <v>Sun</v>
      </c>
      <c r="O107" s="8" t="str">
        <f t="shared" si="29"/>
        <v>day</v>
      </c>
      <c r="P107" s="8">
        <f t="shared" si="30"/>
        <v>7</v>
      </c>
      <c r="Q107" s="8">
        <f t="shared" si="31"/>
        <v>2022</v>
      </c>
      <c r="R107" s="8" t="s">
        <v>512</v>
      </c>
      <c r="S107" s="8">
        <f t="shared" si="32"/>
        <v>8</v>
      </c>
      <c r="T107" s="8">
        <f t="shared" si="33"/>
        <v>13</v>
      </c>
      <c r="U107" s="8">
        <f t="shared" si="34"/>
        <v>48</v>
      </c>
      <c r="V107" s="8">
        <v>53757</v>
      </c>
      <c r="W107" s="8">
        <v>62059</v>
      </c>
      <c r="X107" s="9" t="str">
        <f t="shared" si="35"/>
        <v>Highe Target</v>
      </c>
      <c r="Y107" s="9" t="str">
        <f t="shared" si="36"/>
        <v>Highe target</v>
      </c>
      <c r="Z107" s="9" t="str" cm="1">
        <f t="array" ref="Z107">_xlfn.IFS(W107&lt;60000,"LOWERTarget",W107&lt;80000,"Medium Target",W107,"Highe Target")</f>
        <v>Medium Target</v>
      </c>
      <c r="AA107" s="8" t="s">
        <v>160</v>
      </c>
      <c r="AB107" s="5" t="str">
        <f t="shared" si="37"/>
        <v>GOOD COMMUNICATION</v>
      </c>
      <c r="AC107" s="5" t="str">
        <f t="shared" si="38"/>
        <v>good communication</v>
      </c>
      <c r="AD107" s="5" t="str">
        <f t="shared" si="39"/>
        <v>Good Communication</v>
      </c>
      <c r="AF107" s="6"/>
    </row>
    <row r="108" ht="14.25" customHeight="1" spans="1:32">
      <c r="A108" s="8" t="s">
        <v>513</v>
      </c>
      <c r="B108" s="8" t="s">
        <v>514</v>
      </c>
      <c r="C108" s="9">
        <f t="shared" si="20"/>
        <v>12</v>
      </c>
      <c r="D108" s="8" t="s">
        <v>35</v>
      </c>
      <c r="E108" s="8" t="str">
        <f t="shared" si="21"/>
        <v>Shreya Joshi(E1163) - Finance</v>
      </c>
      <c r="F108" s="9" t="str">
        <f t="shared" si="22"/>
        <v>Shreya Joshi(E1163) -</v>
      </c>
      <c r="G108" s="9" t="str">
        <f t="shared" si="23"/>
        <v>Finance</v>
      </c>
      <c r="H108" s="9">
        <f t="shared" si="24"/>
        <v>21</v>
      </c>
      <c r="I108" s="9">
        <f t="shared" si="25"/>
        <v>8</v>
      </c>
      <c r="J108" s="8" t="s">
        <v>172</v>
      </c>
      <c r="K108" s="9" t="str">
        <f t="shared" si="26"/>
        <v>Hyder@bad</v>
      </c>
      <c r="L108" s="8" t="s">
        <v>515</v>
      </c>
      <c r="M108" s="8" t="str">
        <f t="shared" si="27"/>
        <v>Wednesday</v>
      </c>
      <c r="N108" s="8" t="str">
        <f t="shared" si="28"/>
        <v>Wed</v>
      </c>
      <c r="O108" s="8" t="str">
        <f t="shared" si="29"/>
        <v>day</v>
      </c>
      <c r="P108" s="8">
        <f t="shared" si="30"/>
        <v>8</v>
      </c>
      <c r="Q108" s="8">
        <f t="shared" si="31"/>
        <v>2022</v>
      </c>
      <c r="R108" s="8" t="s">
        <v>516</v>
      </c>
      <c r="S108" s="8">
        <f t="shared" si="32"/>
        <v>9</v>
      </c>
      <c r="T108" s="8">
        <f t="shared" si="33"/>
        <v>26</v>
      </c>
      <c r="U108" s="8">
        <f t="shared" si="34"/>
        <v>49</v>
      </c>
      <c r="V108" s="8">
        <v>50606</v>
      </c>
      <c r="W108" s="8">
        <v>62175</v>
      </c>
      <c r="X108" s="9" t="str">
        <f t="shared" si="35"/>
        <v>Highe Target</v>
      </c>
      <c r="Y108" s="9" t="str">
        <f t="shared" si="36"/>
        <v>Highe target</v>
      </c>
      <c r="Z108" s="9" t="str" cm="1">
        <f t="array" ref="Z108">_xlfn.IFS(W108&lt;60000,"LOWERTarget",W108&lt;80000,"Medium Target",W108,"Highe Target")</f>
        <v>Medium Target</v>
      </c>
      <c r="AA108" s="8" t="s">
        <v>118</v>
      </c>
      <c r="AB108" s="5" t="str">
        <f t="shared" si="37"/>
        <v>CUSTOMER FOCUSED</v>
      </c>
      <c r="AC108" s="5" t="str">
        <f t="shared" si="38"/>
        <v>customer focused</v>
      </c>
      <c r="AD108" s="5" t="str">
        <f t="shared" si="39"/>
        <v>Customer Focused</v>
      </c>
      <c r="AF108" s="6"/>
    </row>
    <row r="109" ht="14.25" customHeight="1" spans="1:32">
      <c r="A109" s="8" t="s">
        <v>517</v>
      </c>
      <c r="B109" s="8" t="s">
        <v>518</v>
      </c>
      <c r="C109" s="9">
        <f t="shared" si="20"/>
        <v>11</v>
      </c>
      <c r="D109" s="8" t="s">
        <v>60</v>
      </c>
      <c r="E109" s="8" t="str">
        <f t="shared" si="21"/>
        <v>Aakash Shah(E1120) - HR</v>
      </c>
      <c r="F109" s="9" t="str">
        <f t="shared" si="22"/>
        <v>Aakash Shah(E1120) -</v>
      </c>
      <c r="G109" s="9" t="str">
        <f t="shared" si="23"/>
        <v>HR</v>
      </c>
      <c r="H109" s="9">
        <f t="shared" si="24"/>
        <v>20</v>
      </c>
      <c r="I109" s="9">
        <f t="shared" si="25"/>
        <v>3</v>
      </c>
      <c r="J109" s="8" t="s">
        <v>61</v>
      </c>
      <c r="K109" s="9" t="str">
        <f t="shared" si="26"/>
        <v>Chenn@i</v>
      </c>
      <c r="L109" s="8" t="s">
        <v>519</v>
      </c>
      <c r="M109" s="8" t="str">
        <f t="shared" si="27"/>
        <v>Thursday</v>
      </c>
      <c r="N109" s="8" t="str">
        <f t="shared" si="28"/>
        <v>Thu</v>
      </c>
      <c r="O109" s="8" t="str">
        <f t="shared" si="29"/>
        <v>day</v>
      </c>
      <c r="P109" s="8">
        <f t="shared" si="30"/>
        <v>9</v>
      </c>
      <c r="Q109" s="8">
        <f t="shared" si="31"/>
        <v>2023</v>
      </c>
      <c r="R109" s="8" t="s">
        <v>520</v>
      </c>
      <c r="S109" s="8">
        <f t="shared" si="32"/>
        <v>9</v>
      </c>
      <c r="T109" s="8">
        <f t="shared" si="33"/>
        <v>47</v>
      </c>
      <c r="U109" s="8">
        <f t="shared" si="34"/>
        <v>55</v>
      </c>
      <c r="V109" s="8">
        <v>54745</v>
      </c>
      <c r="W109" s="8">
        <v>62198</v>
      </c>
      <c r="X109" s="9" t="str">
        <f t="shared" si="35"/>
        <v>Highe Target</v>
      </c>
      <c r="Y109" s="9" t="str">
        <f t="shared" si="36"/>
        <v>Highe target</v>
      </c>
      <c r="Z109" s="9" t="str" cm="1">
        <f t="array" ref="Z109">_xlfn.IFS(W109&lt;60000,"LOWERTarget",W109&lt;80000,"Medium Target",W109,"Highe Target")</f>
        <v>Medium Target</v>
      </c>
      <c r="AA109" s="8" t="s">
        <v>179</v>
      </c>
      <c r="AB109" s="5" t="str">
        <f t="shared" si="37"/>
        <v>HELPFUL ATTITUDE</v>
      </c>
      <c r="AC109" s="5" t="str">
        <f t="shared" si="38"/>
        <v>helpful attitude</v>
      </c>
      <c r="AD109" s="5" t="str">
        <f t="shared" si="39"/>
        <v>Helpful Attitude</v>
      </c>
      <c r="AF109" s="6"/>
    </row>
    <row r="110" ht="14.25" customHeight="1" spans="1:32">
      <c r="A110" s="8" t="s">
        <v>521</v>
      </c>
      <c r="B110" s="8" t="s">
        <v>522</v>
      </c>
      <c r="C110" s="9">
        <f t="shared" si="20"/>
        <v>13</v>
      </c>
      <c r="D110" s="8" t="s">
        <v>44</v>
      </c>
      <c r="E110" s="8" t="str">
        <f t="shared" si="21"/>
        <v>Kavita Saxena(E1225) - Marketing</v>
      </c>
      <c r="F110" s="9" t="str">
        <f t="shared" si="22"/>
        <v>Kavita Saxena(E1225) -</v>
      </c>
      <c r="G110" s="9" t="str">
        <f t="shared" si="23"/>
        <v>Marketing</v>
      </c>
      <c r="H110" s="9">
        <f t="shared" si="24"/>
        <v>22</v>
      </c>
      <c r="I110" s="9">
        <f t="shared" si="25"/>
        <v>10</v>
      </c>
      <c r="J110" s="8" t="s">
        <v>172</v>
      </c>
      <c r="K110" s="9" t="str">
        <f t="shared" si="26"/>
        <v>Hyder@bad</v>
      </c>
      <c r="L110" s="8" t="s">
        <v>523</v>
      </c>
      <c r="M110" s="8" t="str">
        <f t="shared" si="27"/>
        <v>Tuesday</v>
      </c>
      <c r="N110" s="8" t="str">
        <f t="shared" si="28"/>
        <v>Tue</v>
      </c>
      <c r="O110" s="8" t="str">
        <f t="shared" si="29"/>
        <v>day</v>
      </c>
      <c r="P110" s="8">
        <f t="shared" si="30"/>
        <v>12</v>
      </c>
      <c r="Q110" s="8">
        <f t="shared" si="31"/>
        <v>2021</v>
      </c>
      <c r="R110" s="8" t="s">
        <v>524</v>
      </c>
      <c r="S110" s="8">
        <f t="shared" si="32"/>
        <v>9</v>
      </c>
      <c r="T110" s="8">
        <f t="shared" si="33"/>
        <v>58</v>
      </c>
      <c r="U110" s="8">
        <f t="shared" si="34"/>
        <v>34</v>
      </c>
      <c r="V110" s="8">
        <v>70652</v>
      </c>
      <c r="W110" s="8">
        <v>62434</v>
      </c>
      <c r="X110" s="9" t="str">
        <f t="shared" si="35"/>
        <v>Highe Target</v>
      </c>
      <c r="Y110" s="9" t="str">
        <f t="shared" si="36"/>
        <v>Highe target</v>
      </c>
      <c r="Z110" s="9" t="str" cm="1">
        <f t="array" ref="Z110">_xlfn.IFS(W110&lt;60000,"LOWERTarget",W110&lt;80000,"Medium Target",W110,"Highe Target")</f>
        <v>Medium Target</v>
      </c>
      <c r="AA110" s="8" t="s">
        <v>138</v>
      </c>
      <c r="AB110" s="5" t="str">
        <f t="shared" si="37"/>
        <v>GOOD TEAMWORK</v>
      </c>
      <c r="AC110" s="5" t="str">
        <f t="shared" si="38"/>
        <v>good teamwork</v>
      </c>
      <c r="AD110" s="5" t="str">
        <f t="shared" si="39"/>
        <v>Good Teamwork</v>
      </c>
      <c r="AF110" s="6"/>
    </row>
    <row r="111" ht="14.25" customHeight="1" spans="1:32">
      <c r="A111" s="8" t="s">
        <v>525</v>
      </c>
      <c r="B111" s="8" t="s">
        <v>526</v>
      </c>
      <c r="C111" s="9">
        <f t="shared" si="20"/>
        <v>9</v>
      </c>
      <c r="D111" s="8" t="s">
        <v>60</v>
      </c>
      <c r="E111" s="8" t="str">
        <f t="shared" si="21"/>
        <v>Isha Jain(E1165) - HR</v>
      </c>
      <c r="F111" s="9" t="str">
        <f t="shared" si="22"/>
        <v>Isha Jain(E1165) -</v>
      </c>
      <c r="G111" s="9" t="str">
        <f t="shared" si="23"/>
        <v>HR</v>
      </c>
      <c r="H111" s="9">
        <f t="shared" si="24"/>
        <v>18</v>
      </c>
      <c r="I111" s="9">
        <f t="shared" si="25"/>
        <v>3</v>
      </c>
      <c r="J111" s="8" t="s">
        <v>172</v>
      </c>
      <c r="K111" s="9" t="str">
        <f t="shared" si="26"/>
        <v>Hyder@bad</v>
      </c>
      <c r="L111" s="8" t="s">
        <v>527</v>
      </c>
      <c r="M111" s="8" t="str">
        <f t="shared" si="27"/>
        <v>Wednesday</v>
      </c>
      <c r="N111" s="8" t="str">
        <f t="shared" si="28"/>
        <v>Wed</v>
      </c>
      <c r="O111" s="8" t="str">
        <f t="shared" si="29"/>
        <v>day</v>
      </c>
      <c r="P111" s="8">
        <f t="shared" si="30"/>
        <v>6</v>
      </c>
      <c r="Q111" s="8">
        <f t="shared" si="31"/>
        <v>2021</v>
      </c>
      <c r="R111" s="8" t="s">
        <v>528</v>
      </c>
      <c r="S111" s="8">
        <f t="shared" si="32"/>
        <v>10</v>
      </c>
      <c r="T111" s="8">
        <f t="shared" si="33"/>
        <v>42</v>
      </c>
      <c r="U111" s="8">
        <f t="shared" si="34"/>
        <v>9</v>
      </c>
      <c r="V111" s="8">
        <v>68256</v>
      </c>
      <c r="W111" s="8">
        <v>62925</v>
      </c>
      <c r="X111" s="9" t="str">
        <f t="shared" si="35"/>
        <v>Highe Target</v>
      </c>
      <c r="Y111" s="9" t="str">
        <f t="shared" si="36"/>
        <v>Highe target</v>
      </c>
      <c r="Z111" s="9" t="str" cm="1">
        <f t="array" ref="Z111">_xlfn.IFS(W111&lt;60000,"LOWERTarget",W111&lt;80000,"Medium Target",W111,"Highe Target")</f>
        <v>Medium Target</v>
      </c>
      <c r="AA111" s="8" t="s">
        <v>138</v>
      </c>
      <c r="AB111" s="5" t="str">
        <f t="shared" si="37"/>
        <v>GOOD TEAMWORK</v>
      </c>
      <c r="AC111" s="5" t="str">
        <f t="shared" si="38"/>
        <v>good teamwork</v>
      </c>
      <c r="AD111" s="5" t="str">
        <f t="shared" si="39"/>
        <v>Good Teamwork</v>
      </c>
      <c r="AF111" s="6"/>
    </row>
    <row r="112" ht="14.25" customHeight="1" spans="1:32">
      <c r="A112" s="8" t="s">
        <v>529</v>
      </c>
      <c r="B112" s="8" t="s">
        <v>530</v>
      </c>
      <c r="C112" s="9">
        <f t="shared" si="20"/>
        <v>10</v>
      </c>
      <c r="D112" s="8" t="s">
        <v>44</v>
      </c>
      <c r="E112" s="8" t="str">
        <f t="shared" si="21"/>
        <v>Amit Mehta(E1044) - Marketing</v>
      </c>
      <c r="F112" s="9" t="str">
        <f t="shared" si="22"/>
        <v>Amit Mehta(E1044) -</v>
      </c>
      <c r="G112" s="9" t="str">
        <f t="shared" si="23"/>
        <v>Marketing</v>
      </c>
      <c r="H112" s="9">
        <f t="shared" si="24"/>
        <v>19</v>
      </c>
      <c r="I112" s="9">
        <f t="shared" si="25"/>
        <v>10</v>
      </c>
      <c r="J112" s="8" t="s">
        <v>172</v>
      </c>
      <c r="K112" s="9" t="str">
        <f t="shared" si="26"/>
        <v>Hyder@bad</v>
      </c>
      <c r="L112" s="8" t="s">
        <v>531</v>
      </c>
      <c r="M112" s="8" t="str">
        <f t="shared" si="27"/>
        <v>Monday</v>
      </c>
      <c r="N112" s="8" t="str">
        <f t="shared" si="28"/>
        <v>Mon</v>
      </c>
      <c r="O112" s="8" t="str">
        <f t="shared" si="29"/>
        <v>day</v>
      </c>
      <c r="P112" s="8">
        <f t="shared" si="30"/>
        <v>7</v>
      </c>
      <c r="Q112" s="8">
        <f t="shared" si="31"/>
        <v>2022</v>
      </c>
      <c r="R112" s="8" t="s">
        <v>532</v>
      </c>
      <c r="S112" s="8">
        <f t="shared" si="32"/>
        <v>8</v>
      </c>
      <c r="T112" s="8">
        <f t="shared" si="33"/>
        <v>49</v>
      </c>
      <c r="U112" s="8">
        <f t="shared" si="34"/>
        <v>17</v>
      </c>
      <c r="V112" s="8">
        <v>81396</v>
      </c>
      <c r="W112" s="8">
        <v>63012</v>
      </c>
      <c r="X112" s="9" t="str">
        <f t="shared" si="35"/>
        <v>Highe Target</v>
      </c>
      <c r="Y112" s="9" t="str">
        <f t="shared" si="36"/>
        <v>Highe target</v>
      </c>
      <c r="Z112" s="9" t="str" cm="1">
        <f t="array" ref="Z112">_xlfn.IFS(W112&lt;60000,"LOWERTarget",W112&lt;80000,"Medium Target",W112,"Highe Target")</f>
        <v>Medium Target</v>
      </c>
      <c r="AA112" s="8" t="s">
        <v>39</v>
      </c>
      <c r="AB112" s="5" t="str">
        <f t="shared" si="37"/>
        <v>DETAILED ANALYSIS</v>
      </c>
      <c r="AC112" s="5" t="str">
        <f t="shared" si="38"/>
        <v>detailed analysis</v>
      </c>
      <c r="AD112" s="5" t="str">
        <f t="shared" si="39"/>
        <v>Detailed Analysis</v>
      </c>
      <c r="AF112" s="6"/>
    </row>
    <row r="113" ht="14.25" customHeight="1" spans="1:32">
      <c r="A113" s="8" t="s">
        <v>533</v>
      </c>
      <c r="B113" s="8" t="s">
        <v>329</v>
      </c>
      <c r="C113" s="9">
        <f t="shared" si="20"/>
        <v>18</v>
      </c>
      <c r="D113" s="8" t="s">
        <v>35</v>
      </c>
      <c r="E113" s="8" t="str">
        <f t="shared" si="21"/>
        <v>Siddharth Malhotra(E1191) - Finance</v>
      </c>
      <c r="F113" s="9" t="str">
        <f t="shared" si="22"/>
        <v>Siddharth Malhotra(E1191) -</v>
      </c>
      <c r="G113" s="9" t="str">
        <f t="shared" si="23"/>
        <v>Finance</v>
      </c>
      <c r="H113" s="9">
        <f t="shared" si="24"/>
        <v>27</v>
      </c>
      <c r="I113" s="9">
        <f t="shared" si="25"/>
        <v>8</v>
      </c>
      <c r="J113" s="8" t="s">
        <v>36</v>
      </c>
      <c r="K113" s="9" t="str">
        <f t="shared" si="26"/>
        <v>Ahmed@bad</v>
      </c>
      <c r="L113" s="8" t="s">
        <v>203</v>
      </c>
      <c r="M113" s="8" t="str">
        <f t="shared" si="27"/>
        <v>Sunday</v>
      </c>
      <c r="N113" s="8" t="str">
        <f t="shared" si="28"/>
        <v>Sun</v>
      </c>
      <c r="O113" s="8" t="str">
        <f t="shared" si="29"/>
        <v>day</v>
      </c>
      <c r="P113" s="8">
        <f t="shared" si="30"/>
        <v>3</v>
      </c>
      <c r="Q113" s="8">
        <f t="shared" si="31"/>
        <v>2021</v>
      </c>
      <c r="R113" s="8" t="s">
        <v>534</v>
      </c>
      <c r="S113" s="8">
        <f t="shared" si="32"/>
        <v>10</v>
      </c>
      <c r="T113" s="8">
        <f t="shared" si="33"/>
        <v>55</v>
      </c>
      <c r="U113" s="8">
        <f t="shared" si="34"/>
        <v>58</v>
      </c>
      <c r="V113" s="8">
        <v>76609</v>
      </c>
      <c r="W113" s="8">
        <v>63105</v>
      </c>
      <c r="X113" s="9" t="str">
        <f t="shared" si="35"/>
        <v>Highe Target</v>
      </c>
      <c r="Y113" s="9" t="str">
        <f t="shared" si="36"/>
        <v>Highe target</v>
      </c>
      <c r="Z113" s="9" t="str" cm="1">
        <f t="array" ref="Z113">_xlfn.IFS(W113&lt;60000,"LOWERTarget",W113&lt;80000,"Medium Target",W113,"Highe Target")</f>
        <v>Medium Target</v>
      </c>
      <c r="AA113" s="8" t="s">
        <v>64</v>
      </c>
      <c r="AB113" s="5" t="str">
        <f t="shared" si="37"/>
        <v>NEEDS IMPROVEMENT</v>
      </c>
      <c r="AC113" s="5" t="str">
        <f t="shared" si="38"/>
        <v>needs improvement</v>
      </c>
      <c r="AD113" s="5" t="str">
        <f t="shared" si="39"/>
        <v>Needs Improvement</v>
      </c>
      <c r="AF113" s="6"/>
    </row>
    <row r="114" ht="14.25" customHeight="1" spans="1:32">
      <c r="A114" s="8" t="s">
        <v>535</v>
      </c>
      <c r="B114" s="8" t="s">
        <v>536</v>
      </c>
      <c r="C114" s="9">
        <f t="shared" si="20"/>
        <v>12</v>
      </c>
      <c r="D114" s="8" t="s">
        <v>93</v>
      </c>
      <c r="E114" s="8" t="str">
        <f t="shared" si="21"/>
        <v>Isha Agarwal(E1183) - Sales</v>
      </c>
      <c r="F114" s="9" t="str">
        <f t="shared" si="22"/>
        <v>Isha Agarwal(E1183) -</v>
      </c>
      <c r="G114" s="9" t="str">
        <f t="shared" si="23"/>
        <v>Sales</v>
      </c>
      <c r="H114" s="9">
        <f t="shared" si="24"/>
        <v>21</v>
      </c>
      <c r="I114" s="9">
        <f t="shared" si="25"/>
        <v>6</v>
      </c>
      <c r="J114" s="8" t="s">
        <v>182</v>
      </c>
      <c r="K114" s="9" t="str">
        <f t="shared" si="26"/>
        <v>Kolk@ta</v>
      </c>
      <c r="L114" s="8" t="s">
        <v>537</v>
      </c>
      <c r="M114" s="8" t="str">
        <f t="shared" si="27"/>
        <v>Saturday</v>
      </c>
      <c r="N114" s="8" t="str">
        <f t="shared" si="28"/>
        <v>Sat</v>
      </c>
      <c r="O114" s="8" t="str">
        <f t="shared" si="29"/>
        <v>day</v>
      </c>
      <c r="P114" s="8">
        <f t="shared" si="30"/>
        <v>2</v>
      </c>
      <c r="Q114" s="8">
        <f t="shared" si="31"/>
        <v>2023</v>
      </c>
      <c r="R114" s="8" t="s">
        <v>538</v>
      </c>
      <c r="S114" s="8">
        <f t="shared" si="32"/>
        <v>9</v>
      </c>
      <c r="T114" s="8">
        <f t="shared" si="33"/>
        <v>47</v>
      </c>
      <c r="U114" s="8">
        <f t="shared" si="34"/>
        <v>1</v>
      </c>
      <c r="V114" s="8">
        <v>52829</v>
      </c>
      <c r="W114" s="8">
        <v>63402</v>
      </c>
      <c r="X114" s="9" t="str">
        <f t="shared" si="35"/>
        <v>Highe Target</v>
      </c>
      <c r="Y114" s="9" t="str">
        <f t="shared" si="36"/>
        <v>Highe target</v>
      </c>
      <c r="Z114" s="9" t="str" cm="1">
        <f t="array" ref="Z114">_xlfn.IFS(W114&lt;60000,"LOWERTarget",W114&lt;80000,"Medium Target",W114,"Highe Target")</f>
        <v>Medium Target</v>
      </c>
      <c r="AA114" s="8" t="s">
        <v>48</v>
      </c>
      <c r="AB114" s="5" t="str">
        <f t="shared" si="37"/>
        <v>CREATIVE IDEAS</v>
      </c>
      <c r="AC114" s="5" t="str">
        <f t="shared" si="38"/>
        <v>creative ideas</v>
      </c>
      <c r="AD114" s="5" t="str">
        <f t="shared" si="39"/>
        <v>Creative Ideas</v>
      </c>
      <c r="AF114" s="6"/>
    </row>
    <row r="115" ht="14.25" customHeight="1" spans="1:32">
      <c r="A115" s="8" t="s">
        <v>539</v>
      </c>
      <c r="B115" s="8" t="s">
        <v>540</v>
      </c>
      <c r="C115" s="9">
        <f t="shared" si="20"/>
        <v>11</v>
      </c>
      <c r="D115" s="8" t="s">
        <v>35</v>
      </c>
      <c r="E115" s="8" t="str">
        <f t="shared" si="21"/>
        <v>Suresh Iyer(E1283) - Finance</v>
      </c>
      <c r="F115" s="9" t="str">
        <f t="shared" si="22"/>
        <v>Suresh Iyer(E1283) -</v>
      </c>
      <c r="G115" s="9" t="str">
        <f t="shared" si="23"/>
        <v>Finance</v>
      </c>
      <c r="H115" s="9">
        <f t="shared" si="24"/>
        <v>20</v>
      </c>
      <c r="I115" s="9">
        <f t="shared" si="25"/>
        <v>8</v>
      </c>
      <c r="J115" s="8" t="s">
        <v>76</v>
      </c>
      <c r="K115" s="9" t="str">
        <f t="shared" si="26"/>
        <v>Pune</v>
      </c>
      <c r="L115" s="8" t="s">
        <v>541</v>
      </c>
      <c r="M115" s="8" t="str">
        <f t="shared" si="27"/>
        <v>Wednesday</v>
      </c>
      <c r="N115" s="8" t="str">
        <f t="shared" si="28"/>
        <v>Wed</v>
      </c>
      <c r="O115" s="8" t="str">
        <f t="shared" si="29"/>
        <v>day</v>
      </c>
      <c r="P115" s="8">
        <f t="shared" si="30"/>
        <v>7</v>
      </c>
      <c r="Q115" s="8">
        <f t="shared" si="31"/>
        <v>2021</v>
      </c>
      <c r="R115" s="8" t="s">
        <v>542</v>
      </c>
      <c r="S115" s="8">
        <f t="shared" si="32"/>
        <v>8</v>
      </c>
      <c r="T115" s="8">
        <f t="shared" si="33"/>
        <v>19</v>
      </c>
      <c r="U115" s="8">
        <f t="shared" si="34"/>
        <v>28</v>
      </c>
      <c r="V115" s="8">
        <v>66266</v>
      </c>
      <c r="W115" s="8">
        <v>63587</v>
      </c>
      <c r="X115" s="9" t="str">
        <f t="shared" si="35"/>
        <v>Highe Target</v>
      </c>
      <c r="Y115" s="9" t="str">
        <f t="shared" si="36"/>
        <v>Highe target</v>
      </c>
      <c r="Z115" s="9" t="str" cm="1">
        <f t="array" ref="Z115">_xlfn.IFS(W115&lt;60000,"LOWERTarget",W115&lt;80000,"Medium Target",W115,"Highe Target")</f>
        <v>Medium Target</v>
      </c>
      <c r="AA115" s="8" t="s">
        <v>543</v>
      </c>
      <c r="AB115" s="5" t="str">
        <f t="shared" si="37"/>
        <v>   GOOD COMMUNICATION   </v>
      </c>
      <c r="AC115" s="5" t="str">
        <f t="shared" si="38"/>
        <v>   good communication   </v>
      </c>
      <c r="AD115" s="5" t="str">
        <f t="shared" si="39"/>
        <v>   Good Communication   </v>
      </c>
      <c r="AF115" s="6"/>
    </row>
    <row r="116" ht="14.25" customHeight="1" spans="1:32">
      <c r="A116" s="8" t="s">
        <v>544</v>
      </c>
      <c r="B116" s="8" t="s">
        <v>333</v>
      </c>
      <c r="C116" s="9">
        <f t="shared" si="20"/>
        <v>11</v>
      </c>
      <c r="D116" s="8" t="s">
        <v>93</v>
      </c>
      <c r="E116" s="8" t="str">
        <f t="shared" si="21"/>
        <v>Neha Bansal(E1006) - Sales</v>
      </c>
      <c r="F116" s="9" t="str">
        <f t="shared" si="22"/>
        <v>Neha Bansal(E1006) -</v>
      </c>
      <c r="G116" s="9" t="str">
        <f t="shared" si="23"/>
        <v>Sales</v>
      </c>
      <c r="H116" s="9">
        <f t="shared" si="24"/>
        <v>20</v>
      </c>
      <c r="I116" s="9">
        <f t="shared" si="25"/>
        <v>6</v>
      </c>
      <c r="J116" s="8" t="s">
        <v>61</v>
      </c>
      <c r="K116" s="9" t="str">
        <f t="shared" si="26"/>
        <v>Chenn@i</v>
      </c>
      <c r="L116" s="8" t="s">
        <v>545</v>
      </c>
      <c r="M116" s="8" t="str">
        <f t="shared" si="27"/>
        <v>Thursday</v>
      </c>
      <c r="N116" s="8" t="str">
        <f t="shared" si="28"/>
        <v>Thu</v>
      </c>
      <c r="O116" s="8" t="str">
        <f t="shared" si="29"/>
        <v>day</v>
      </c>
      <c r="P116" s="8">
        <f t="shared" si="30"/>
        <v>7</v>
      </c>
      <c r="Q116" s="8">
        <f t="shared" si="31"/>
        <v>2024</v>
      </c>
      <c r="R116" s="8" t="s">
        <v>546</v>
      </c>
      <c r="S116" s="8">
        <f t="shared" si="32"/>
        <v>10</v>
      </c>
      <c r="T116" s="8">
        <f t="shared" si="33"/>
        <v>56</v>
      </c>
      <c r="U116" s="8">
        <f t="shared" si="34"/>
        <v>55</v>
      </c>
      <c r="V116" s="8">
        <v>61301</v>
      </c>
      <c r="W116" s="8">
        <v>63700</v>
      </c>
      <c r="X116" s="9" t="str">
        <f t="shared" si="35"/>
        <v>Highe Target</v>
      </c>
      <c r="Y116" s="9" t="str">
        <f t="shared" si="36"/>
        <v>Highe target</v>
      </c>
      <c r="Z116" s="9" t="str" cm="1">
        <f t="array" ref="Z116">_xlfn.IFS(W116&lt;60000,"LOWERTarget",W116&lt;80000,"Medium Target",W116,"Highe Target")</f>
        <v>Medium Target</v>
      </c>
      <c r="AA116" s="8" t="s">
        <v>96</v>
      </c>
      <c r="AB116" s="5" t="str">
        <f t="shared" si="37"/>
        <v>FAST DELIVERY</v>
      </c>
      <c r="AC116" s="5" t="str">
        <f t="shared" si="38"/>
        <v>fast delivery</v>
      </c>
      <c r="AD116" s="5" t="str">
        <f t="shared" si="39"/>
        <v>Fast Delivery</v>
      </c>
      <c r="AF116" s="6"/>
    </row>
    <row r="117" ht="14.25" customHeight="1" spans="1:32">
      <c r="A117" s="8" t="s">
        <v>547</v>
      </c>
      <c r="B117" s="8" t="s">
        <v>548</v>
      </c>
      <c r="C117" s="9">
        <f t="shared" si="20"/>
        <v>11</v>
      </c>
      <c r="D117" s="8" t="s">
        <v>93</v>
      </c>
      <c r="E117" s="8" t="str">
        <f t="shared" si="21"/>
        <v>Sneha Goyal(E1017) - Sales</v>
      </c>
      <c r="F117" s="9" t="str">
        <f t="shared" si="22"/>
        <v>Sneha Goyal(E1017) -</v>
      </c>
      <c r="G117" s="9" t="str">
        <f t="shared" si="23"/>
        <v>Sales</v>
      </c>
      <c r="H117" s="9">
        <f t="shared" si="24"/>
        <v>20</v>
      </c>
      <c r="I117" s="9">
        <f t="shared" si="25"/>
        <v>6</v>
      </c>
      <c r="J117" s="8" t="s">
        <v>172</v>
      </c>
      <c r="K117" s="9" t="str">
        <f t="shared" si="26"/>
        <v>Hyder@bad</v>
      </c>
      <c r="L117" s="8" t="s">
        <v>549</v>
      </c>
      <c r="M117" s="8" t="str">
        <f t="shared" si="27"/>
        <v>Thursday</v>
      </c>
      <c r="N117" s="8" t="str">
        <f t="shared" si="28"/>
        <v>Thu</v>
      </c>
      <c r="O117" s="8" t="str">
        <f t="shared" si="29"/>
        <v>day</v>
      </c>
      <c r="P117" s="8">
        <f t="shared" si="30"/>
        <v>9</v>
      </c>
      <c r="Q117" s="8">
        <f t="shared" si="31"/>
        <v>2023</v>
      </c>
      <c r="R117" s="8" t="s">
        <v>550</v>
      </c>
      <c r="S117" s="8">
        <f t="shared" si="32"/>
        <v>8</v>
      </c>
      <c r="T117" s="8">
        <f t="shared" si="33"/>
        <v>7</v>
      </c>
      <c r="U117" s="8">
        <f t="shared" si="34"/>
        <v>59</v>
      </c>
      <c r="V117" s="8">
        <v>68941</v>
      </c>
      <c r="W117" s="8">
        <v>63788</v>
      </c>
      <c r="X117" s="9" t="str">
        <f t="shared" si="35"/>
        <v>Highe Target</v>
      </c>
      <c r="Y117" s="9" t="str">
        <f t="shared" si="36"/>
        <v>Highe target</v>
      </c>
      <c r="Z117" s="9" t="str" cm="1">
        <f t="array" ref="Z117">_xlfn.IFS(W117&lt;60000,"LOWERTarget",W117&lt;80000,"Medium Target",W117,"Highe Target")</f>
        <v>Medium Target</v>
      </c>
      <c r="AA117" s="8" t="s">
        <v>126</v>
      </c>
      <c r="AB117" s="5" t="str">
        <f t="shared" si="37"/>
        <v>ACCURATE REPORTS</v>
      </c>
      <c r="AC117" s="5" t="str">
        <f t="shared" si="38"/>
        <v>accurate reports</v>
      </c>
      <c r="AD117" s="5" t="str">
        <f t="shared" si="39"/>
        <v>Accurate Reports</v>
      </c>
      <c r="AF117" s="6"/>
    </row>
    <row r="118" ht="14.25" customHeight="1" spans="1:32">
      <c r="A118" s="8" t="s">
        <v>551</v>
      </c>
      <c r="B118" s="8" t="s">
        <v>552</v>
      </c>
      <c r="C118" s="9">
        <f t="shared" si="20"/>
        <v>11</v>
      </c>
      <c r="D118" s="8" t="s">
        <v>93</v>
      </c>
      <c r="E118" s="8" t="str">
        <f t="shared" si="21"/>
        <v>Harsh Kumar(E1118) - Sales</v>
      </c>
      <c r="F118" s="9" t="str">
        <f t="shared" si="22"/>
        <v>Harsh Kumar(E1118) -</v>
      </c>
      <c r="G118" s="9" t="str">
        <f t="shared" si="23"/>
        <v>Sales</v>
      </c>
      <c r="H118" s="9">
        <f t="shared" si="24"/>
        <v>20</v>
      </c>
      <c r="I118" s="9">
        <f t="shared" si="25"/>
        <v>6</v>
      </c>
      <c r="J118" s="8" t="s">
        <v>153</v>
      </c>
      <c r="K118" s="9" t="str">
        <f t="shared" si="26"/>
        <v>Mumb@i</v>
      </c>
      <c r="L118" s="8" t="s">
        <v>553</v>
      </c>
      <c r="M118" s="8" t="str">
        <f t="shared" si="27"/>
        <v>Sunday</v>
      </c>
      <c r="N118" s="8" t="str">
        <f t="shared" si="28"/>
        <v>Sun</v>
      </c>
      <c r="O118" s="8" t="str">
        <f t="shared" si="29"/>
        <v>day</v>
      </c>
      <c r="P118" s="8">
        <f t="shared" si="30"/>
        <v>9</v>
      </c>
      <c r="Q118" s="8">
        <f t="shared" si="31"/>
        <v>2022</v>
      </c>
      <c r="R118" s="8" t="s">
        <v>554</v>
      </c>
      <c r="S118" s="8">
        <f t="shared" si="32"/>
        <v>9</v>
      </c>
      <c r="T118" s="8">
        <f t="shared" si="33"/>
        <v>2</v>
      </c>
      <c r="U118" s="8">
        <f t="shared" si="34"/>
        <v>37</v>
      </c>
      <c r="V118" s="8">
        <v>57523</v>
      </c>
      <c r="W118" s="8">
        <v>63911</v>
      </c>
      <c r="X118" s="9" t="str">
        <f t="shared" si="35"/>
        <v>Highe Target</v>
      </c>
      <c r="Y118" s="9" t="str">
        <f t="shared" si="36"/>
        <v>Highe target</v>
      </c>
      <c r="Z118" s="9" t="str" cm="1">
        <f t="array" ref="Z118">_xlfn.IFS(W118&lt;60000,"LOWERTarget",W118&lt;80000,"Medium Target",W118,"Highe Target")</f>
        <v>Medium Target</v>
      </c>
      <c r="AA118" s="8" t="s">
        <v>160</v>
      </c>
      <c r="AB118" s="5" t="str">
        <f t="shared" si="37"/>
        <v>GOOD COMMUNICATION</v>
      </c>
      <c r="AC118" s="5" t="str">
        <f t="shared" si="38"/>
        <v>good communication</v>
      </c>
      <c r="AD118" s="5" t="str">
        <f t="shared" si="39"/>
        <v>Good Communication</v>
      </c>
      <c r="AF118" s="6"/>
    </row>
    <row r="119" ht="14.25" customHeight="1" spans="1:32">
      <c r="A119" s="8" t="s">
        <v>555</v>
      </c>
      <c r="B119" s="8" t="s">
        <v>226</v>
      </c>
      <c r="C119" s="9">
        <f t="shared" si="20"/>
        <v>11</v>
      </c>
      <c r="D119" s="8" t="s">
        <v>93</v>
      </c>
      <c r="E119" s="8" t="str">
        <f t="shared" si="21"/>
        <v>Priya Reddy(E1159) - Sales</v>
      </c>
      <c r="F119" s="9" t="str">
        <f t="shared" si="22"/>
        <v>Priya Reddy(E1159) -</v>
      </c>
      <c r="G119" s="9" t="str">
        <f t="shared" si="23"/>
        <v>Sales</v>
      </c>
      <c r="H119" s="9">
        <f t="shared" si="24"/>
        <v>20</v>
      </c>
      <c r="I119" s="9">
        <f t="shared" si="25"/>
        <v>6</v>
      </c>
      <c r="J119" s="8" t="s">
        <v>61</v>
      </c>
      <c r="K119" s="9" t="str">
        <f t="shared" si="26"/>
        <v>Chenn@i</v>
      </c>
      <c r="L119" s="8" t="s">
        <v>556</v>
      </c>
      <c r="M119" s="8" t="str">
        <f t="shared" si="27"/>
        <v>Friday</v>
      </c>
      <c r="N119" s="8" t="str">
        <f t="shared" si="28"/>
        <v>Fri</v>
      </c>
      <c r="O119" s="8" t="str">
        <f t="shared" si="29"/>
        <v>day</v>
      </c>
      <c r="P119" s="8">
        <f t="shared" si="30"/>
        <v>8</v>
      </c>
      <c r="Q119" s="8">
        <f t="shared" si="31"/>
        <v>2023</v>
      </c>
      <c r="R119" s="8" t="s">
        <v>557</v>
      </c>
      <c r="S119" s="8">
        <f t="shared" si="32"/>
        <v>9</v>
      </c>
      <c r="T119" s="8">
        <f t="shared" si="33"/>
        <v>2</v>
      </c>
      <c r="U119" s="8">
        <f t="shared" si="34"/>
        <v>3</v>
      </c>
      <c r="V119" s="8">
        <v>67978</v>
      </c>
      <c r="W119" s="8">
        <v>64165</v>
      </c>
      <c r="X119" s="9" t="str">
        <f t="shared" si="35"/>
        <v>Highe Target</v>
      </c>
      <c r="Y119" s="9" t="str">
        <f t="shared" si="36"/>
        <v>Highe target</v>
      </c>
      <c r="Z119" s="9" t="str" cm="1">
        <f t="array" ref="Z119">_xlfn.IFS(W119&lt;60000,"LOWERTarget",W119&lt;80000,"Medium Target",W119,"Highe Target")</f>
        <v>Medium Target</v>
      </c>
      <c r="AA119" s="8" t="s">
        <v>160</v>
      </c>
      <c r="AB119" s="5" t="str">
        <f t="shared" si="37"/>
        <v>GOOD COMMUNICATION</v>
      </c>
      <c r="AC119" s="5" t="str">
        <f t="shared" si="38"/>
        <v>good communication</v>
      </c>
      <c r="AD119" s="5" t="str">
        <f t="shared" si="39"/>
        <v>Good Communication</v>
      </c>
      <c r="AF119" s="6"/>
    </row>
    <row r="120" ht="14.25" customHeight="1" spans="1:32">
      <c r="A120" s="8" t="s">
        <v>558</v>
      </c>
      <c r="B120" s="8" t="s">
        <v>123</v>
      </c>
      <c r="C120" s="9">
        <f t="shared" si="20"/>
        <v>12</v>
      </c>
      <c r="D120" s="8" t="s">
        <v>35</v>
      </c>
      <c r="E120" s="8" t="str">
        <f t="shared" si="21"/>
        <v>Ritika Mehta(E1034) - Finance</v>
      </c>
      <c r="F120" s="9" t="str">
        <f t="shared" si="22"/>
        <v>Ritika Mehta(E1034) -</v>
      </c>
      <c r="G120" s="9" t="str">
        <f t="shared" si="23"/>
        <v>Finance</v>
      </c>
      <c r="H120" s="9">
        <f t="shared" si="24"/>
        <v>21</v>
      </c>
      <c r="I120" s="9">
        <f t="shared" si="25"/>
        <v>8</v>
      </c>
      <c r="J120" s="8" t="s">
        <v>53</v>
      </c>
      <c r="K120" s="9" t="str">
        <f t="shared" si="26"/>
        <v>Delhi</v>
      </c>
      <c r="L120" s="8" t="s">
        <v>559</v>
      </c>
      <c r="M120" s="8" t="str">
        <f t="shared" si="27"/>
        <v>Friday</v>
      </c>
      <c r="N120" s="8" t="str">
        <f t="shared" si="28"/>
        <v>Fri</v>
      </c>
      <c r="O120" s="8" t="str">
        <f t="shared" si="29"/>
        <v>day</v>
      </c>
      <c r="P120" s="8">
        <f t="shared" si="30"/>
        <v>12</v>
      </c>
      <c r="Q120" s="8">
        <f t="shared" si="31"/>
        <v>2022</v>
      </c>
      <c r="R120" s="8" t="s">
        <v>560</v>
      </c>
      <c r="S120" s="8">
        <f t="shared" si="32"/>
        <v>8</v>
      </c>
      <c r="T120" s="8">
        <f t="shared" si="33"/>
        <v>56</v>
      </c>
      <c r="U120" s="8">
        <f t="shared" si="34"/>
        <v>15</v>
      </c>
      <c r="V120" s="8">
        <v>67893</v>
      </c>
      <c r="W120" s="8">
        <v>64217</v>
      </c>
      <c r="X120" s="9" t="str">
        <f t="shared" si="35"/>
        <v>Highe Target</v>
      </c>
      <c r="Y120" s="9" t="str">
        <f t="shared" si="36"/>
        <v>Highe target</v>
      </c>
      <c r="Z120" s="9" t="str" cm="1">
        <f t="array" ref="Z120">_xlfn.IFS(W120&lt;60000,"LOWERTarget",W120&lt;80000,"Medium Target",W120,"Highe Target")</f>
        <v>Medium Target</v>
      </c>
      <c r="AA120" s="8" t="s">
        <v>285</v>
      </c>
      <c r="AB120" s="5" t="str">
        <f t="shared" si="37"/>
        <v>QUICK RESPONSE</v>
      </c>
      <c r="AC120" s="5" t="str">
        <f t="shared" si="38"/>
        <v>quick response</v>
      </c>
      <c r="AD120" s="5" t="str">
        <f t="shared" si="39"/>
        <v>Quick Response</v>
      </c>
      <c r="AF120" s="6"/>
    </row>
    <row r="121" ht="14.25" customHeight="1" spans="1:32">
      <c r="A121" s="8" t="s">
        <v>561</v>
      </c>
      <c r="B121" s="8" t="s">
        <v>562</v>
      </c>
      <c r="C121" s="9">
        <f t="shared" si="20"/>
        <v>14</v>
      </c>
      <c r="D121" s="8" t="s">
        <v>44</v>
      </c>
      <c r="E121" s="8" t="str">
        <f t="shared" si="21"/>
        <v>Aditya Agarwal(E1264) - Marketing</v>
      </c>
      <c r="F121" s="9" t="str">
        <f t="shared" si="22"/>
        <v>Aditya Agarwal(E1264) -</v>
      </c>
      <c r="G121" s="9" t="str">
        <f t="shared" si="23"/>
        <v>Marketing</v>
      </c>
      <c r="H121" s="9">
        <f t="shared" si="24"/>
        <v>23</v>
      </c>
      <c r="I121" s="9">
        <f t="shared" si="25"/>
        <v>10</v>
      </c>
      <c r="J121" s="8" t="s">
        <v>76</v>
      </c>
      <c r="K121" s="9" t="str">
        <f t="shared" si="26"/>
        <v>Pune</v>
      </c>
      <c r="L121" s="8" t="s">
        <v>563</v>
      </c>
      <c r="M121" s="8" t="str">
        <f t="shared" si="27"/>
        <v>Sunday</v>
      </c>
      <c r="N121" s="8" t="str">
        <f t="shared" si="28"/>
        <v>Sun</v>
      </c>
      <c r="O121" s="8" t="str">
        <f t="shared" si="29"/>
        <v>day</v>
      </c>
      <c r="P121" s="8">
        <f t="shared" si="30"/>
        <v>8</v>
      </c>
      <c r="Q121" s="8">
        <f t="shared" si="31"/>
        <v>2023</v>
      </c>
      <c r="R121" s="8" t="s">
        <v>564</v>
      </c>
      <c r="S121" s="8">
        <f t="shared" si="32"/>
        <v>9</v>
      </c>
      <c r="T121" s="8">
        <f t="shared" si="33"/>
        <v>58</v>
      </c>
      <c r="U121" s="8">
        <f t="shared" si="34"/>
        <v>13</v>
      </c>
      <c r="V121" s="8">
        <v>69801</v>
      </c>
      <c r="W121" s="8">
        <v>64294</v>
      </c>
      <c r="X121" s="9" t="str">
        <f t="shared" si="35"/>
        <v>Highe Target</v>
      </c>
      <c r="Y121" s="9" t="str">
        <f t="shared" si="36"/>
        <v>Highe target</v>
      </c>
      <c r="Z121" s="9" t="str" cm="1">
        <f t="array" ref="Z121">_xlfn.IFS(W121&lt;60000,"LOWERTarget",W121&lt;80000,"Medium Target",W121,"Highe Target")</f>
        <v>Medium Target</v>
      </c>
      <c r="AA121" s="8" t="s">
        <v>39</v>
      </c>
      <c r="AB121" s="5" t="str">
        <f t="shared" si="37"/>
        <v>DETAILED ANALYSIS</v>
      </c>
      <c r="AC121" s="5" t="str">
        <f t="shared" si="38"/>
        <v>detailed analysis</v>
      </c>
      <c r="AD121" s="5" t="str">
        <f t="shared" si="39"/>
        <v>Detailed Analysis</v>
      </c>
      <c r="AF121" s="6"/>
    </row>
    <row r="122" ht="14.25" customHeight="1" spans="1:32">
      <c r="A122" s="8" t="s">
        <v>565</v>
      </c>
      <c r="B122" s="8" t="s">
        <v>566</v>
      </c>
      <c r="C122" s="9">
        <f t="shared" si="20"/>
        <v>11</v>
      </c>
      <c r="D122" s="8" t="s">
        <v>60</v>
      </c>
      <c r="E122" s="8" t="str">
        <f t="shared" si="21"/>
        <v>Sneha Mehta(E1173) - HR</v>
      </c>
      <c r="F122" s="9" t="str">
        <f t="shared" si="22"/>
        <v>Sneha Mehta(E1173) -</v>
      </c>
      <c r="G122" s="9" t="str">
        <f t="shared" si="23"/>
        <v>HR</v>
      </c>
      <c r="H122" s="9">
        <f t="shared" si="24"/>
        <v>20</v>
      </c>
      <c r="I122" s="9">
        <f t="shared" si="25"/>
        <v>3</v>
      </c>
      <c r="J122" s="8" t="s">
        <v>61</v>
      </c>
      <c r="K122" s="9" t="str">
        <f t="shared" si="26"/>
        <v>Chenn@i</v>
      </c>
      <c r="L122" s="8" t="s">
        <v>567</v>
      </c>
      <c r="M122" s="8" t="str">
        <f t="shared" si="27"/>
        <v>Saturday</v>
      </c>
      <c r="N122" s="8" t="str">
        <f t="shared" si="28"/>
        <v>Sat</v>
      </c>
      <c r="O122" s="8" t="str">
        <f t="shared" si="29"/>
        <v>day</v>
      </c>
      <c r="P122" s="8">
        <f t="shared" si="30"/>
        <v>4</v>
      </c>
      <c r="Q122" s="8">
        <f t="shared" si="31"/>
        <v>2021</v>
      </c>
      <c r="R122" s="8" t="s">
        <v>568</v>
      </c>
      <c r="S122" s="8">
        <f t="shared" si="32"/>
        <v>10</v>
      </c>
      <c r="T122" s="8">
        <f t="shared" si="33"/>
        <v>30</v>
      </c>
      <c r="U122" s="8">
        <f t="shared" si="34"/>
        <v>55</v>
      </c>
      <c r="V122" s="8">
        <v>56050</v>
      </c>
      <c r="W122" s="8">
        <v>64327</v>
      </c>
      <c r="X122" s="9" t="str">
        <f t="shared" si="35"/>
        <v>Highe Target</v>
      </c>
      <c r="Y122" s="9" t="str">
        <f t="shared" si="36"/>
        <v>Highe target</v>
      </c>
      <c r="Z122" s="9" t="str" cm="1">
        <f t="array" ref="Z122">_xlfn.IFS(W122&lt;60000,"LOWERTarget",W122&lt;80000,"Medium Target",W122,"Highe Target")</f>
        <v>Medium Target</v>
      </c>
      <c r="AA122" s="8" t="s">
        <v>96</v>
      </c>
      <c r="AB122" s="5" t="str">
        <f t="shared" si="37"/>
        <v>FAST DELIVERY</v>
      </c>
      <c r="AC122" s="5" t="str">
        <f t="shared" si="38"/>
        <v>fast delivery</v>
      </c>
      <c r="AD122" s="5" t="str">
        <f t="shared" si="39"/>
        <v>Fast Delivery</v>
      </c>
      <c r="AF122" s="6"/>
    </row>
    <row r="123" ht="14.25" customHeight="1" spans="1:32">
      <c r="A123" s="8" t="s">
        <v>569</v>
      </c>
      <c r="B123" s="8" t="s">
        <v>570</v>
      </c>
      <c r="C123" s="9">
        <f t="shared" si="20"/>
        <v>10</v>
      </c>
      <c r="D123" s="8" t="s">
        <v>60</v>
      </c>
      <c r="E123" s="8" t="str">
        <f t="shared" si="21"/>
        <v>Pooja Nair(E1241) - HR</v>
      </c>
      <c r="F123" s="9" t="str">
        <f t="shared" si="22"/>
        <v>Pooja Nair(E1241) -</v>
      </c>
      <c r="G123" s="9" t="str">
        <f t="shared" si="23"/>
        <v>HR</v>
      </c>
      <c r="H123" s="9">
        <f t="shared" si="24"/>
        <v>19</v>
      </c>
      <c r="I123" s="9">
        <f t="shared" si="25"/>
        <v>3</v>
      </c>
      <c r="J123" s="8" t="s">
        <v>36</v>
      </c>
      <c r="K123" s="9" t="str">
        <f t="shared" si="26"/>
        <v>Ahmed@bad</v>
      </c>
      <c r="L123" s="8" t="s">
        <v>571</v>
      </c>
      <c r="M123" s="8" t="str">
        <f t="shared" si="27"/>
        <v>Wednesday</v>
      </c>
      <c r="N123" s="8" t="str">
        <f t="shared" si="28"/>
        <v>Wed</v>
      </c>
      <c r="O123" s="8" t="str">
        <f t="shared" si="29"/>
        <v>day</v>
      </c>
      <c r="P123" s="8">
        <f t="shared" si="30"/>
        <v>11</v>
      </c>
      <c r="Q123" s="8">
        <f t="shared" si="31"/>
        <v>2021</v>
      </c>
      <c r="R123" s="8" t="s">
        <v>572</v>
      </c>
      <c r="S123" s="8">
        <f t="shared" si="32"/>
        <v>9</v>
      </c>
      <c r="T123" s="8">
        <f t="shared" si="33"/>
        <v>47</v>
      </c>
      <c r="U123" s="8">
        <f t="shared" si="34"/>
        <v>38</v>
      </c>
      <c r="V123" s="8">
        <v>76737</v>
      </c>
      <c r="W123" s="8">
        <v>64485</v>
      </c>
      <c r="X123" s="9" t="str">
        <f t="shared" si="35"/>
        <v>Highe Target</v>
      </c>
      <c r="Y123" s="9" t="str">
        <f t="shared" si="36"/>
        <v>Highe target</v>
      </c>
      <c r="Z123" s="9" t="str" cm="1">
        <f t="array" ref="Z123">_xlfn.IFS(W123&lt;60000,"LOWERTarget",W123&lt;80000,"Medium Target",W123,"Highe Target")</f>
        <v>Medium Target</v>
      </c>
      <c r="AA123" s="8" t="s">
        <v>96</v>
      </c>
      <c r="AB123" s="5" t="str">
        <f t="shared" si="37"/>
        <v>FAST DELIVERY</v>
      </c>
      <c r="AC123" s="5" t="str">
        <f t="shared" si="38"/>
        <v>fast delivery</v>
      </c>
      <c r="AD123" s="5" t="str">
        <f t="shared" si="39"/>
        <v>Fast Delivery</v>
      </c>
      <c r="AF123" s="6"/>
    </row>
    <row r="124" ht="14.25" customHeight="1" spans="1:32">
      <c r="A124" s="8" t="s">
        <v>573</v>
      </c>
      <c r="B124" s="8" t="s">
        <v>210</v>
      </c>
      <c r="C124" s="9">
        <f t="shared" si="20"/>
        <v>11</v>
      </c>
      <c r="D124" s="8" t="s">
        <v>44</v>
      </c>
      <c r="E124" s="8" t="str">
        <f t="shared" si="21"/>
        <v>Meera Goyal(E1281) - Marketing</v>
      </c>
      <c r="F124" s="9" t="str">
        <f t="shared" si="22"/>
        <v>Meera Goyal(E1281) -</v>
      </c>
      <c r="G124" s="9" t="str">
        <f t="shared" si="23"/>
        <v>Marketing</v>
      </c>
      <c r="H124" s="9">
        <f t="shared" si="24"/>
        <v>20</v>
      </c>
      <c r="I124" s="9">
        <f t="shared" si="25"/>
        <v>10</v>
      </c>
      <c r="J124" s="8" t="s">
        <v>182</v>
      </c>
      <c r="K124" s="9" t="str">
        <f t="shared" si="26"/>
        <v>Kolk@ta</v>
      </c>
      <c r="L124" s="8" t="s">
        <v>574</v>
      </c>
      <c r="M124" s="8" t="str">
        <f t="shared" si="27"/>
        <v>Sunday</v>
      </c>
      <c r="N124" s="8" t="str">
        <f t="shared" si="28"/>
        <v>Sun</v>
      </c>
      <c r="O124" s="8" t="str">
        <f t="shared" si="29"/>
        <v>day</v>
      </c>
      <c r="P124" s="8">
        <f t="shared" si="30"/>
        <v>1</v>
      </c>
      <c r="Q124" s="8">
        <f t="shared" si="31"/>
        <v>2022</v>
      </c>
      <c r="R124" s="8" t="s">
        <v>575</v>
      </c>
      <c r="S124" s="8">
        <f t="shared" si="32"/>
        <v>10</v>
      </c>
      <c r="T124" s="8">
        <f t="shared" si="33"/>
        <v>37</v>
      </c>
      <c r="U124" s="8">
        <f t="shared" si="34"/>
        <v>42</v>
      </c>
      <c r="V124" s="8">
        <v>55524</v>
      </c>
      <c r="W124" s="8">
        <v>64908</v>
      </c>
      <c r="X124" s="9" t="str">
        <f t="shared" si="35"/>
        <v>Highe Target</v>
      </c>
      <c r="Y124" s="9" t="str">
        <f t="shared" si="36"/>
        <v>Highe target</v>
      </c>
      <c r="Z124" s="9" t="str" cm="1">
        <f t="array" ref="Z124">_xlfn.IFS(W124&lt;60000,"LOWERTarget",W124&lt;80000,"Medium Target",W124,"Highe Target")</f>
        <v>Medium Target</v>
      </c>
      <c r="AA124" s="8" t="s">
        <v>118</v>
      </c>
      <c r="AB124" s="5" t="str">
        <f t="shared" si="37"/>
        <v>CUSTOMER FOCUSED</v>
      </c>
      <c r="AC124" s="5" t="str">
        <f t="shared" si="38"/>
        <v>customer focused</v>
      </c>
      <c r="AD124" s="5" t="str">
        <f t="shared" si="39"/>
        <v>Customer Focused</v>
      </c>
      <c r="AF124" s="6"/>
    </row>
    <row r="125" ht="14.25" customHeight="1" spans="1:32">
      <c r="A125" s="8" t="s">
        <v>576</v>
      </c>
      <c r="B125" s="8" t="s">
        <v>577</v>
      </c>
      <c r="C125" s="9">
        <f t="shared" si="20"/>
        <v>11</v>
      </c>
      <c r="D125" s="8" t="s">
        <v>60</v>
      </c>
      <c r="E125" s="8" t="str">
        <f t="shared" si="21"/>
        <v>Rahul Patel(E1007) - HR</v>
      </c>
      <c r="F125" s="9" t="str">
        <f t="shared" si="22"/>
        <v>Rahul Patel(E1007) -</v>
      </c>
      <c r="G125" s="9" t="str">
        <f t="shared" si="23"/>
        <v>HR</v>
      </c>
      <c r="H125" s="9">
        <f t="shared" si="24"/>
        <v>20</v>
      </c>
      <c r="I125" s="9">
        <f t="shared" si="25"/>
        <v>3</v>
      </c>
      <c r="J125" s="8" t="s">
        <v>61</v>
      </c>
      <c r="K125" s="9" t="str">
        <f t="shared" si="26"/>
        <v>Chenn@i</v>
      </c>
      <c r="L125" s="8" t="s">
        <v>578</v>
      </c>
      <c r="M125" s="8" t="str">
        <f t="shared" si="27"/>
        <v>Sunday</v>
      </c>
      <c r="N125" s="8" t="str">
        <f t="shared" si="28"/>
        <v>Sun</v>
      </c>
      <c r="O125" s="8" t="str">
        <f t="shared" si="29"/>
        <v>day</v>
      </c>
      <c r="P125" s="8">
        <f t="shared" si="30"/>
        <v>6</v>
      </c>
      <c r="Q125" s="8">
        <f t="shared" si="31"/>
        <v>2021</v>
      </c>
      <c r="R125" s="8" t="s">
        <v>579</v>
      </c>
      <c r="S125" s="8">
        <f t="shared" si="32"/>
        <v>8</v>
      </c>
      <c r="T125" s="8">
        <f t="shared" si="33"/>
        <v>55</v>
      </c>
      <c r="U125" s="8">
        <f t="shared" si="34"/>
        <v>6</v>
      </c>
      <c r="V125" s="8">
        <v>68128</v>
      </c>
      <c r="W125" s="8">
        <v>64911</v>
      </c>
      <c r="X125" s="9" t="str">
        <f t="shared" si="35"/>
        <v>Highe Target</v>
      </c>
      <c r="Y125" s="9" t="str">
        <f t="shared" si="36"/>
        <v>Highe target</v>
      </c>
      <c r="Z125" s="9" t="str" cm="1">
        <f t="array" ref="Z125">_xlfn.IFS(W125&lt;60000,"LOWERTarget",W125&lt;80000,"Medium Target",W125,"Highe Target")</f>
        <v>Medium Target</v>
      </c>
      <c r="AA125" s="8" t="s">
        <v>179</v>
      </c>
      <c r="AB125" s="5" t="str">
        <f t="shared" si="37"/>
        <v>HELPFUL ATTITUDE</v>
      </c>
      <c r="AC125" s="5" t="str">
        <f t="shared" si="38"/>
        <v>helpful attitude</v>
      </c>
      <c r="AD125" s="5" t="str">
        <f t="shared" si="39"/>
        <v>Helpful Attitude</v>
      </c>
      <c r="AF125" s="6"/>
    </row>
    <row r="126" ht="14.25" customHeight="1" spans="1:32">
      <c r="A126" s="8" t="s">
        <v>580</v>
      </c>
      <c r="B126" s="8" t="s">
        <v>581</v>
      </c>
      <c r="C126" s="9">
        <f t="shared" si="20"/>
        <v>15</v>
      </c>
      <c r="D126" s="8" t="s">
        <v>35</v>
      </c>
      <c r="E126" s="8" t="str">
        <f t="shared" si="21"/>
        <v>Vikram Malhotra(E1115) - Finance</v>
      </c>
      <c r="F126" s="9" t="str">
        <f t="shared" si="22"/>
        <v>Vikram Malhotra(E1115) -</v>
      </c>
      <c r="G126" s="9" t="str">
        <f t="shared" si="23"/>
        <v>Finance</v>
      </c>
      <c r="H126" s="9">
        <f t="shared" si="24"/>
        <v>24</v>
      </c>
      <c r="I126" s="9">
        <f t="shared" si="25"/>
        <v>8</v>
      </c>
      <c r="J126" s="8" t="s">
        <v>45</v>
      </c>
      <c r="K126" s="9" t="str">
        <f t="shared" si="26"/>
        <v>B@ngalore</v>
      </c>
      <c r="L126" s="8" t="s">
        <v>582</v>
      </c>
      <c r="M126" s="8" t="str">
        <f t="shared" si="27"/>
        <v>Monday</v>
      </c>
      <c r="N126" s="8" t="str">
        <f t="shared" si="28"/>
        <v>Mon</v>
      </c>
      <c r="O126" s="8" t="str">
        <f t="shared" si="29"/>
        <v>day</v>
      </c>
      <c r="P126" s="8">
        <f t="shared" si="30"/>
        <v>2</v>
      </c>
      <c r="Q126" s="8">
        <f t="shared" si="31"/>
        <v>2023</v>
      </c>
      <c r="R126" s="8" t="s">
        <v>583</v>
      </c>
      <c r="S126" s="8">
        <f t="shared" si="32"/>
        <v>9</v>
      </c>
      <c r="T126" s="8">
        <f t="shared" si="33"/>
        <v>6</v>
      </c>
      <c r="U126" s="8">
        <f t="shared" si="34"/>
        <v>15</v>
      </c>
      <c r="V126" s="8">
        <v>73517</v>
      </c>
      <c r="W126" s="8">
        <v>64993</v>
      </c>
      <c r="X126" s="9" t="str">
        <f t="shared" si="35"/>
        <v>Highe Target</v>
      </c>
      <c r="Y126" s="9" t="str">
        <f t="shared" si="36"/>
        <v>Highe target</v>
      </c>
      <c r="Z126" s="9" t="str" cm="1">
        <f t="array" ref="Z126">_xlfn.IFS(W126&lt;60000,"LOWERTarget",W126&lt;80000,"Medium Target",W126,"Highe Target")</f>
        <v>Medium Target</v>
      </c>
      <c r="AA126" s="8" t="s">
        <v>79</v>
      </c>
      <c r="AB126" s="5" t="str">
        <f t="shared" si="37"/>
        <v>EXCELLENT LEADERSHIP</v>
      </c>
      <c r="AC126" s="5" t="str">
        <f t="shared" si="38"/>
        <v>excellent leadership</v>
      </c>
      <c r="AD126" s="5" t="str">
        <f t="shared" si="39"/>
        <v>Excellent Leadership</v>
      </c>
      <c r="AF126" s="6"/>
    </row>
    <row r="127" ht="14.25" customHeight="1" spans="1:32">
      <c r="A127" s="8" t="s">
        <v>584</v>
      </c>
      <c r="B127" s="8" t="s">
        <v>585</v>
      </c>
      <c r="C127" s="9">
        <f t="shared" si="20"/>
        <v>13</v>
      </c>
      <c r="D127" s="8" t="s">
        <v>35</v>
      </c>
      <c r="E127" s="8" t="str">
        <f t="shared" si="21"/>
        <v>Shreya Chopra(E1046) - Finance</v>
      </c>
      <c r="F127" s="9" t="str">
        <f t="shared" si="22"/>
        <v>Shreya Chopra(E1046) -</v>
      </c>
      <c r="G127" s="9" t="str">
        <f t="shared" si="23"/>
        <v>Finance</v>
      </c>
      <c r="H127" s="9">
        <f t="shared" si="24"/>
        <v>22</v>
      </c>
      <c r="I127" s="9">
        <f t="shared" si="25"/>
        <v>8</v>
      </c>
      <c r="J127" s="8" t="s">
        <v>172</v>
      </c>
      <c r="K127" s="9" t="str">
        <f t="shared" si="26"/>
        <v>Hyder@bad</v>
      </c>
      <c r="L127" s="8" t="s">
        <v>586</v>
      </c>
      <c r="M127" s="8" t="str">
        <f t="shared" si="27"/>
        <v>Tuesday</v>
      </c>
      <c r="N127" s="8" t="str">
        <f t="shared" si="28"/>
        <v>Tue</v>
      </c>
      <c r="O127" s="8" t="str">
        <f t="shared" si="29"/>
        <v>day</v>
      </c>
      <c r="P127" s="8">
        <f t="shared" si="30"/>
        <v>6</v>
      </c>
      <c r="Q127" s="8">
        <f t="shared" si="31"/>
        <v>2023</v>
      </c>
      <c r="R127" s="8" t="s">
        <v>587</v>
      </c>
      <c r="S127" s="8">
        <f t="shared" si="32"/>
        <v>10</v>
      </c>
      <c r="T127" s="8">
        <f t="shared" si="33"/>
        <v>32</v>
      </c>
      <c r="U127" s="8">
        <f t="shared" si="34"/>
        <v>7</v>
      </c>
      <c r="V127" s="8">
        <v>62701</v>
      </c>
      <c r="W127" s="8">
        <v>65244</v>
      </c>
      <c r="X127" s="9" t="str">
        <f t="shared" si="35"/>
        <v>Highe Target</v>
      </c>
      <c r="Y127" s="9" t="str">
        <f t="shared" si="36"/>
        <v>Highe target</v>
      </c>
      <c r="Z127" s="9" t="str" cm="1">
        <f t="array" ref="Z127">_xlfn.IFS(W127&lt;60000,"LOWERTarget",W127&lt;80000,"Medium Target",W127,"Highe Target")</f>
        <v>Medium Target</v>
      </c>
      <c r="AA127" s="8" t="s">
        <v>64</v>
      </c>
      <c r="AB127" s="5" t="str">
        <f t="shared" si="37"/>
        <v>NEEDS IMPROVEMENT</v>
      </c>
      <c r="AC127" s="5" t="str">
        <f t="shared" si="38"/>
        <v>needs improvement</v>
      </c>
      <c r="AD127" s="5" t="str">
        <f t="shared" si="39"/>
        <v>Needs Improvement</v>
      </c>
      <c r="AF127" s="6"/>
    </row>
    <row r="128" ht="14.25" customHeight="1" spans="1:32">
      <c r="A128" s="8" t="s">
        <v>588</v>
      </c>
      <c r="B128" s="8" t="s">
        <v>589</v>
      </c>
      <c r="C128" s="9">
        <f t="shared" si="20"/>
        <v>11</v>
      </c>
      <c r="D128" s="8" t="s">
        <v>93</v>
      </c>
      <c r="E128" s="8" t="str">
        <f t="shared" si="21"/>
        <v>Rahul Reddy(E1285) - Sales</v>
      </c>
      <c r="F128" s="9" t="str">
        <f t="shared" si="22"/>
        <v>Rahul Reddy(E1285) -</v>
      </c>
      <c r="G128" s="9" t="str">
        <f t="shared" si="23"/>
        <v>Sales</v>
      </c>
      <c r="H128" s="9">
        <f t="shared" si="24"/>
        <v>20</v>
      </c>
      <c r="I128" s="9">
        <f t="shared" si="25"/>
        <v>6</v>
      </c>
      <c r="J128" s="8" t="s">
        <v>172</v>
      </c>
      <c r="K128" s="9" t="str">
        <f t="shared" si="26"/>
        <v>Hyder@bad</v>
      </c>
      <c r="L128" s="8" t="s">
        <v>590</v>
      </c>
      <c r="M128" s="8" t="str">
        <f t="shared" si="27"/>
        <v>Tuesday</v>
      </c>
      <c r="N128" s="8" t="str">
        <f t="shared" si="28"/>
        <v>Tue</v>
      </c>
      <c r="O128" s="8" t="str">
        <f t="shared" si="29"/>
        <v>day</v>
      </c>
      <c r="P128" s="8">
        <f t="shared" si="30"/>
        <v>2</v>
      </c>
      <c r="Q128" s="8">
        <f t="shared" si="31"/>
        <v>2023</v>
      </c>
      <c r="R128" s="8" t="s">
        <v>591</v>
      </c>
      <c r="S128" s="8">
        <f t="shared" si="32"/>
        <v>8</v>
      </c>
      <c r="T128" s="8">
        <f t="shared" si="33"/>
        <v>18</v>
      </c>
      <c r="U128" s="8">
        <f t="shared" si="34"/>
        <v>26</v>
      </c>
      <c r="V128" s="8">
        <v>55964</v>
      </c>
      <c r="W128" s="8">
        <v>65414</v>
      </c>
      <c r="X128" s="9" t="str">
        <f t="shared" si="35"/>
        <v>Highe Target</v>
      </c>
      <c r="Y128" s="9" t="str">
        <f t="shared" si="36"/>
        <v>Highe target</v>
      </c>
      <c r="Z128" s="9" t="str" cm="1">
        <f t="array" ref="Z128">_xlfn.IFS(W128&lt;60000,"LOWERTarget",W128&lt;80000,"Medium Target",W128,"Highe Target")</f>
        <v>Medium Target</v>
      </c>
      <c r="AA128" s="8" t="s">
        <v>96</v>
      </c>
      <c r="AB128" s="5" t="str">
        <f t="shared" si="37"/>
        <v>FAST DELIVERY</v>
      </c>
      <c r="AC128" s="5" t="str">
        <f t="shared" si="38"/>
        <v>fast delivery</v>
      </c>
      <c r="AD128" s="5" t="str">
        <f t="shared" si="39"/>
        <v>Fast Delivery</v>
      </c>
      <c r="AF128" s="6"/>
    </row>
    <row r="129" ht="14.25" customHeight="1" spans="1:32">
      <c r="A129" s="8" t="s">
        <v>592</v>
      </c>
      <c r="B129" s="8" t="s">
        <v>593</v>
      </c>
      <c r="C129" s="9">
        <f t="shared" si="20"/>
        <v>11</v>
      </c>
      <c r="D129" s="8" t="s">
        <v>60</v>
      </c>
      <c r="E129" s="8" t="str">
        <f t="shared" si="21"/>
        <v>Rahul Kumar(E1121) - HR</v>
      </c>
      <c r="F129" s="9" t="str">
        <f t="shared" si="22"/>
        <v>Rahul Kumar(E1121) -</v>
      </c>
      <c r="G129" s="9" t="str">
        <f t="shared" si="23"/>
        <v>HR</v>
      </c>
      <c r="H129" s="9">
        <f t="shared" si="24"/>
        <v>20</v>
      </c>
      <c r="I129" s="9">
        <f t="shared" si="25"/>
        <v>3</v>
      </c>
      <c r="J129" s="8" t="s">
        <v>182</v>
      </c>
      <c r="K129" s="9" t="str">
        <f t="shared" si="26"/>
        <v>Kolk@ta</v>
      </c>
      <c r="L129" s="8" t="s">
        <v>594</v>
      </c>
      <c r="M129" s="8" t="str">
        <f t="shared" si="27"/>
        <v>Friday</v>
      </c>
      <c r="N129" s="8" t="str">
        <f t="shared" si="28"/>
        <v>Fri</v>
      </c>
      <c r="O129" s="8" t="str">
        <f t="shared" si="29"/>
        <v>day</v>
      </c>
      <c r="P129" s="8">
        <f t="shared" si="30"/>
        <v>2</v>
      </c>
      <c r="Q129" s="8">
        <f t="shared" si="31"/>
        <v>2024</v>
      </c>
      <c r="R129" s="8" t="s">
        <v>595</v>
      </c>
      <c r="S129" s="8">
        <f t="shared" si="32"/>
        <v>9</v>
      </c>
      <c r="T129" s="8">
        <f t="shared" si="33"/>
        <v>5</v>
      </c>
      <c r="U129" s="8">
        <f t="shared" si="34"/>
        <v>50</v>
      </c>
      <c r="V129" s="8">
        <v>51770</v>
      </c>
      <c r="W129" s="8">
        <v>65858</v>
      </c>
      <c r="X129" s="9" t="str">
        <f t="shared" si="35"/>
        <v>Highe Target</v>
      </c>
      <c r="Y129" s="9" t="str">
        <f t="shared" si="36"/>
        <v>Highe target</v>
      </c>
      <c r="Z129" s="9" t="str" cm="1">
        <f t="array" ref="Z129">_xlfn.IFS(W129&lt;60000,"LOWERTarget",W129&lt;80000,"Medium Target",W129,"Highe Target")</f>
        <v>Medium Target</v>
      </c>
      <c r="AA129" s="8" t="s">
        <v>64</v>
      </c>
      <c r="AB129" s="5" t="str">
        <f t="shared" si="37"/>
        <v>NEEDS IMPROVEMENT</v>
      </c>
      <c r="AC129" s="5" t="str">
        <f t="shared" si="38"/>
        <v>needs improvement</v>
      </c>
      <c r="AD129" s="5" t="str">
        <f t="shared" si="39"/>
        <v>Needs Improvement</v>
      </c>
      <c r="AF129" s="6"/>
    </row>
    <row r="130" ht="14.25" customHeight="1" spans="1:32">
      <c r="A130" s="8" t="s">
        <v>596</v>
      </c>
      <c r="B130" s="8" t="s">
        <v>597</v>
      </c>
      <c r="C130" s="9">
        <f t="shared" ref="C130:C193" si="40">LEN(B130)</f>
        <v>11</v>
      </c>
      <c r="D130" s="8" t="s">
        <v>44</v>
      </c>
      <c r="E130" s="8" t="str">
        <f t="shared" ref="E130:E193" si="41">_xlfn.CONCAT(B130,"(",A130,")"," - ",D130)</f>
        <v>Karan Singh(E1262) - Marketing</v>
      </c>
      <c r="F130" s="9" t="str">
        <f t="shared" ref="F130:F193" si="42">LEFT(E130,FIND("-",E130))</f>
        <v>Karan Singh(E1262) -</v>
      </c>
      <c r="G130" s="9" t="str">
        <f t="shared" ref="G130:G193" si="43">RIGHT(E130,LEN(E130)-FIND("-",E130)-1)</f>
        <v>Marketing</v>
      </c>
      <c r="H130" s="9">
        <f t="shared" ref="H130:H193" si="44">FIND("-",E130)</f>
        <v>20</v>
      </c>
      <c r="I130" s="9">
        <f t="shared" ref="I130:I193" si="45">LEN(E130)-FIND("-",E130)</f>
        <v>10</v>
      </c>
      <c r="J130" s="8" t="s">
        <v>45</v>
      </c>
      <c r="K130" s="9" t="str">
        <f t="shared" ref="K130:K193" si="46">SUBSTITUTE(J130,"a","@",1)</f>
        <v>B@ngalore</v>
      </c>
      <c r="L130" s="8" t="s">
        <v>598</v>
      </c>
      <c r="M130" s="8" t="str">
        <f t="shared" ref="M130:M193" si="47">TEXT(L130,"dddd")</f>
        <v>Monday</v>
      </c>
      <c r="N130" s="8" t="str">
        <f t="shared" ref="N130:N193" si="48">LEFT(M130,3)</f>
        <v>Mon</v>
      </c>
      <c r="O130" s="8" t="str">
        <f t="shared" ref="O130:O193" si="49">RIGHT(M130,3)</f>
        <v>day</v>
      </c>
      <c r="P130" s="8">
        <f t="shared" ref="P130:P193" si="50">MONTH(L130)</f>
        <v>11</v>
      </c>
      <c r="Q130" s="8">
        <f t="shared" ref="Q130:Q193" si="51">YEAR(L130)</f>
        <v>2024</v>
      </c>
      <c r="R130" s="8" t="s">
        <v>599</v>
      </c>
      <c r="S130" s="8">
        <f t="shared" ref="S130:S193" si="52">HOUR(R130)</f>
        <v>10</v>
      </c>
      <c r="T130" s="8">
        <f t="shared" ref="T130:T193" si="53">MINUTE(R130)</f>
        <v>45</v>
      </c>
      <c r="U130" s="8">
        <f t="shared" ref="U130:U193" si="54">SECOND(R130)</f>
        <v>13</v>
      </c>
      <c r="V130" s="8">
        <v>66677</v>
      </c>
      <c r="W130" s="8">
        <v>65993</v>
      </c>
      <c r="X130" s="9" t="str">
        <f t="shared" ref="X130:X193" si="55">IF(W130&gt;50000,"Highe Target","Low Target")</f>
        <v>Highe Target</v>
      </c>
      <c r="Y130" s="9" t="str">
        <f t="shared" ref="Y130:Y193" si="56">IF(NOT(W130&lt;50000),"Highe target","Lower Target")</f>
        <v>Highe target</v>
      </c>
      <c r="Z130" s="9" t="str" cm="1">
        <f t="array" ref="Z130">_xlfn.IFS(W130&lt;60000,"LOWERTarget",W130&lt;80000,"Medium Target",W130,"Highe Target")</f>
        <v>Medium Target</v>
      </c>
      <c r="AA130" s="8" t="s">
        <v>229</v>
      </c>
      <c r="AB130" s="5" t="str">
        <f t="shared" ref="AB130:AB193" si="57">UPPER(AA130)</f>
        <v>STRONG PRESENTATION</v>
      </c>
      <c r="AC130" s="5" t="str">
        <f t="shared" ref="AC130:AC193" si="58">LOWER(AA130)</f>
        <v>strong presentation</v>
      </c>
      <c r="AD130" s="5" t="str">
        <f t="shared" ref="AD130:AD193" si="59">PROPER(AA130)</f>
        <v>Strong Presentation</v>
      </c>
      <c r="AF130" s="6"/>
    </row>
    <row r="131" ht="14.25" customHeight="1" spans="1:32">
      <c r="A131" s="8" t="s">
        <v>600</v>
      </c>
      <c r="B131" s="8" t="s">
        <v>601</v>
      </c>
      <c r="C131" s="9">
        <f t="shared" si="40"/>
        <v>12</v>
      </c>
      <c r="D131" s="8" t="s">
        <v>60</v>
      </c>
      <c r="E131" s="8" t="str">
        <f t="shared" si="41"/>
        <v>Madhuri Nair(E1027) - HR</v>
      </c>
      <c r="F131" s="9" t="str">
        <f t="shared" si="42"/>
        <v>Madhuri Nair(E1027) -</v>
      </c>
      <c r="G131" s="9" t="str">
        <f t="shared" si="43"/>
        <v>HR</v>
      </c>
      <c r="H131" s="9">
        <f t="shared" si="44"/>
        <v>21</v>
      </c>
      <c r="I131" s="9">
        <f t="shared" si="45"/>
        <v>3</v>
      </c>
      <c r="J131" s="8" t="s">
        <v>182</v>
      </c>
      <c r="K131" s="9" t="str">
        <f t="shared" si="46"/>
        <v>Kolk@ta</v>
      </c>
      <c r="L131" s="8" t="s">
        <v>602</v>
      </c>
      <c r="M131" s="8" t="str">
        <f t="shared" si="47"/>
        <v>Friday</v>
      </c>
      <c r="N131" s="8" t="str">
        <f t="shared" si="48"/>
        <v>Fri</v>
      </c>
      <c r="O131" s="8" t="str">
        <f t="shared" si="49"/>
        <v>day</v>
      </c>
      <c r="P131" s="8">
        <f t="shared" si="50"/>
        <v>9</v>
      </c>
      <c r="Q131" s="8">
        <f t="shared" si="51"/>
        <v>2023</v>
      </c>
      <c r="R131" s="8" t="s">
        <v>603</v>
      </c>
      <c r="S131" s="8">
        <f t="shared" si="52"/>
        <v>9</v>
      </c>
      <c r="T131" s="8">
        <f t="shared" si="53"/>
        <v>13</v>
      </c>
      <c r="U131" s="8">
        <f t="shared" si="54"/>
        <v>55</v>
      </c>
      <c r="V131" s="8">
        <v>55124</v>
      </c>
      <c r="W131" s="8">
        <v>66282</v>
      </c>
      <c r="X131" s="9" t="str">
        <f t="shared" si="55"/>
        <v>Highe Target</v>
      </c>
      <c r="Y131" s="9" t="str">
        <f t="shared" si="56"/>
        <v>Highe target</v>
      </c>
      <c r="Z131" s="9" t="str" cm="1">
        <f t="array" ref="Z131">_xlfn.IFS(W131&lt;60000,"LOWERTarget",W131&lt;80000,"Medium Target",W131,"Highe Target")</f>
        <v>Medium Target</v>
      </c>
      <c r="AA131" s="8" t="s">
        <v>285</v>
      </c>
      <c r="AB131" s="5" t="str">
        <f t="shared" si="57"/>
        <v>QUICK RESPONSE</v>
      </c>
      <c r="AC131" s="5" t="str">
        <f t="shared" si="58"/>
        <v>quick response</v>
      </c>
      <c r="AD131" s="5" t="str">
        <f t="shared" si="59"/>
        <v>Quick Response</v>
      </c>
      <c r="AF131" s="6"/>
    </row>
    <row r="132" ht="14.25" customHeight="1" spans="1:32">
      <c r="A132" s="8" t="s">
        <v>604</v>
      </c>
      <c r="B132" s="8" t="s">
        <v>605</v>
      </c>
      <c r="C132" s="9">
        <f t="shared" si="40"/>
        <v>9</v>
      </c>
      <c r="D132" s="8" t="s">
        <v>60</v>
      </c>
      <c r="E132" s="8" t="str">
        <f t="shared" si="41"/>
        <v>Amit Jain(E1099) - HR</v>
      </c>
      <c r="F132" s="9" t="str">
        <f t="shared" si="42"/>
        <v>Amit Jain(E1099) -</v>
      </c>
      <c r="G132" s="9" t="str">
        <f t="shared" si="43"/>
        <v>HR</v>
      </c>
      <c r="H132" s="9">
        <f t="shared" si="44"/>
        <v>18</v>
      </c>
      <c r="I132" s="9">
        <f t="shared" si="45"/>
        <v>3</v>
      </c>
      <c r="J132" s="8" t="s">
        <v>53</v>
      </c>
      <c r="K132" s="9" t="str">
        <f t="shared" si="46"/>
        <v>Delhi</v>
      </c>
      <c r="L132" s="8" t="s">
        <v>606</v>
      </c>
      <c r="M132" s="8" t="str">
        <f t="shared" si="47"/>
        <v>Thursday</v>
      </c>
      <c r="N132" s="8" t="str">
        <f t="shared" si="48"/>
        <v>Thu</v>
      </c>
      <c r="O132" s="8" t="str">
        <f t="shared" si="49"/>
        <v>day</v>
      </c>
      <c r="P132" s="8">
        <f t="shared" si="50"/>
        <v>9</v>
      </c>
      <c r="Q132" s="8">
        <f t="shared" si="51"/>
        <v>2022</v>
      </c>
      <c r="R132" s="8" t="s">
        <v>607</v>
      </c>
      <c r="S132" s="8">
        <f t="shared" si="52"/>
        <v>10</v>
      </c>
      <c r="T132" s="8">
        <f t="shared" si="53"/>
        <v>0</v>
      </c>
      <c r="U132" s="8">
        <f t="shared" si="54"/>
        <v>35</v>
      </c>
      <c r="V132" s="8">
        <v>57846</v>
      </c>
      <c r="W132" s="8">
        <v>66738</v>
      </c>
      <c r="X132" s="9" t="str">
        <f t="shared" si="55"/>
        <v>Highe Target</v>
      </c>
      <c r="Y132" s="9" t="str">
        <f t="shared" si="56"/>
        <v>Highe target</v>
      </c>
      <c r="Z132" s="9" t="str" cm="1">
        <f t="array" ref="Z132">_xlfn.IFS(W132&lt;60000,"LOWERTarget",W132&lt;80000,"Medium Target",W132,"Highe Target")</f>
        <v>Medium Target</v>
      </c>
      <c r="AA132" s="8" t="s">
        <v>126</v>
      </c>
      <c r="AB132" s="5" t="str">
        <f t="shared" si="57"/>
        <v>ACCURATE REPORTS</v>
      </c>
      <c r="AC132" s="5" t="str">
        <f t="shared" si="58"/>
        <v>accurate reports</v>
      </c>
      <c r="AD132" s="5" t="str">
        <f t="shared" si="59"/>
        <v>Accurate Reports</v>
      </c>
      <c r="AF132" s="6"/>
    </row>
    <row r="133" ht="14.25" customHeight="1" spans="1:32">
      <c r="A133" s="8" t="s">
        <v>608</v>
      </c>
      <c r="B133" s="8" t="s">
        <v>609</v>
      </c>
      <c r="C133" s="9">
        <f t="shared" si="40"/>
        <v>11</v>
      </c>
      <c r="D133" s="8" t="s">
        <v>60</v>
      </c>
      <c r="E133" s="8" t="str">
        <f t="shared" si="41"/>
        <v>Arjun Verma(E1284) - HR</v>
      </c>
      <c r="F133" s="9" t="str">
        <f t="shared" si="42"/>
        <v>Arjun Verma(E1284) -</v>
      </c>
      <c r="G133" s="9" t="str">
        <f t="shared" si="43"/>
        <v>HR</v>
      </c>
      <c r="H133" s="9">
        <f t="shared" si="44"/>
        <v>20</v>
      </c>
      <c r="I133" s="9">
        <f t="shared" si="45"/>
        <v>3</v>
      </c>
      <c r="J133" s="8" t="s">
        <v>182</v>
      </c>
      <c r="K133" s="9" t="str">
        <f t="shared" si="46"/>
        <v>Kolk@ta</v>
      </c>
      <c r="L133" s="8" t="s">
        <v>610</v>
      </c>
      <c r="M133" s="8" t="str">
        <f t="shared" si="47"/>
        <v>Sunday</v>
      </c>
      <c r="N133" s="8" t="str">
        <f t="shared" si="48"/>
        <v>Sun</v>
      </c>
      <c r="O133" s="8" t="str">
        <f t="shared" si="49"/>
        <v>day</v>
      </c>
      <c r="P133" s="8">
        <f t="shared" si="50"/>
        <v>7</v>
      </c>
      <c r="Q133" s="8">
        <f t="shared" si="51"/>
        <v>2023</v>
      </c>
      <c r="R133" s="8" t="s">
        <v>611</v>
      </c>
      <c r="S133" s="8">
        <f t="shared" si="52"/>
        <v>10</v>
      </c>
      <c r="T133" s="8">
        <f t="shared" si="53"/>
        <v>35</v>
      </c>
      <c r="U133" s="8">
        <f t="shared" si="54"/>
        <v>32</v>
      </c>
      <c r="V133" s="8">
        <v>58510</v>
      </c>
      <c r="W133" s="8">
        <v>66741</v>
      </c>
      <c r="X133" s="9" t="str">
        <f t="shared" si="55"/>
        <v>Highe Target</v>
      </c>
      <c r="Y133" s="9" t="str">
        <f t="shared" si="56"/>
        <v>Highe target</v>
      </c>
      <c r="Z133" s="9" t="str" cm="1">
        <f t="array" ref="Z133">_xlfn.IFS(W133&lt;60000,"LOWERTarget",W133&lt;80000,"Medium Target",W133,"Highe Target")</f>
        <v>Medium Target</v>
      </c>
      <c r="AA133" s="8" t="s">
        <v>87</v>
      </c>
      <c r="AB133" s="5" t="str">
        <f t="shared" si="57"/>
        <v>EXCELLENT SERVICE</v>
      </c>
      <c r="AC133" s="5" t="str">
        <f t="shared" si="58"/>
        <v>excellent service</v>
      </c>
      <c r="AD133" s="5" t="str">
        <f t="shared" si="59"/>
        <v>Excellent Service</v>
      </c>
      <c r="AF133" s="6"/>
    </row>
    <row r="134" ht="14.25" customHeight="1" spans="1:32">
      <c r="A134" s="8" t="s">
        <v>612</v>
      </c>
      <c r="B134" s="8" t="s">
        <v>613</v>
      </c>
      <c r="C134" s="9">
        <f t="shared" si="40"/>
        <v>11</v>
      </c>
      <c r="D134" s="8" t="s">
        <v>93</v>
      </c>
      <c r="E134" s="8" t="str">
        <f t="shared" si="41"/>
        <v>Nisha Reddy(E1247) - Sales</v>
      </c>
      <c r="F134" s="9" t="str">
        <f t="shared" si="42"/>
        <v>Nisha Reddy(E1247) -</v>
      </c>
      <c r="G134" s="9" t="str">
        <f t="shared" si="43"/>
        <v>Sales</v>
      </c>
      <c r="H134" s="9">
        <f t="shared" si="44"/>
        <v>20</v>
      </c>
      <c r="I134" s="9">
        <f t="shared" si="45"/>
        <v>6</v>
      </c>
      <c r="J134" s="8" t="s">
        <v>153</v>
      </c>
      <c r="K134" s="9" t="str">
        <f t="shared" si="46"/>
        <v>Mumb@i</v>
      </c>
      <c r="L134" s="8" t="s">
        <v>614</v>
      </c>
      <c r="M134" s="8" t="str">
        <f t="shared" si="47"/>
        <v>Saturday</v>
      </c>
      <c r="N134" s="8" t="str">
        <f t="shared" si="48"/>
        <v>Sat</v>
      </c>
      <c r="O134" s="8" t="str">
        <f t="shared" si="49"/>
        <v>day</v>
      </c>
      <c r="P134" s="8">
        <f t="shared" si="50"/>
        <v>5</v>
      </c>
      <c r="Q134" s="8">
        <f t="shared" si="51"/>
        <v>2021</v>
      </c>
      <c r="R134" s="8" t="s">
        <v>615</v>
      </c>
      <c r="S134" s="8">
        <f t="shared" si="52"/>
        <v>9</v>
      </c>
      <c r="T134" s="8">
        <f t="shared" si="53"/>
        <v>2</v>
      </c>
      <c r="U134" s="8">
        <f t="shared" si="54"/>
        <v>18</v>
      </c>
      <c r="V134" s="8">
        <v>63590</v>
      </c>
      <c r="W134" s="8">
        <v>66795</v>
      </c>
      <c r="X134" s="9" t="str">
        <f t="shared" si="55"/>
        <v>Highe Target</v>
      </c>
      <c r="Y134" s="9" t="str">
        <f t="shared" si="56"/>
        <v>Highe target</v>
      </c>
      <c r="Z134" s="9" t="str" cm="1">
        <f t="array" ref="Z134">_xlfn.IFS(W134&lt;60000,"LOWERTarget",W134&lt;80000,"Medium Target",W134,"Highe Target")</f>
        <v>Medium Target</v>
      </c>
      <c r="AA134" s="8" t="s">
        <v>118</v>
      </c>
      <c r="AB134" s="5" t="str">
        <f t="shared" si="57"/>
        <v>CUSTOMER FOCUSED</v>
      </c>
      <c r="AC134" s="5" t="str">
        <f t="shared" si="58"/>
        <v>customer focused</v>
      </c>
      <c r="AD134" s="5" t="str">
        <f t="shared" si="59"/>
        <v>Customer Focused</v>
      </c>
      <c r="AF134" s="6"/>
    </row>
    <row r="135" ht="14.25" customHeight="1" spans="1:32">
      <c r="A135" s="8" t="s">
        <v>616</v>
      </c>
      <c r="B135" s="8" t="s">
        <v>617</v>
      </c>
      <c r="C135" s="9">
        <f t="shared" si="40"/>
        <v>11</v>
      </c>
      <c r="D135" s="8" t="s">
        <v>44</v>
      </c>
      <c r="E135" s="8" t="str">
        <f t="shared" si="41"/>
        <v>Meera Patel(E1270) - Marketing</v>
      </c>
      <c r="F135" s="9" t="str">
        <f t="shared" si="42"/>
        <v>Meera Patel(E1270) -</v>
      </c>
      <c r="G135" s="9" t="str">
        <f t="shared" si="43"/>
        <v>Marketing</v>
      </c>
      <c r="H135" s="9">
        <f t="shared" si="44"/>
        <v>20</v>
      </c>
      <c r="I135" s="9">
        <f t="shared" si="45"/>
        <v>10</v>
      </c>
      <c r="J135" s="8" t="s">
        <v>36</v>
      </c>
      <c r="K135" s="9" t="str">
        <f t="shared" si="46"/>
        <v>Ahmed@bad</v>
      </c>
      <c r="L135" s="8" t="s">
        <v>618</v>
      </c>
      <c r="M135" s="8" t="str">
        <f t="shared" si="47"/>
        <v>Tuesday</v>
      </c>
      <c r="N135" s="8" t="str">
        <f t="shared" si="48"/>
        <v>Tue</v>
      </c>
      <c r="O135" s="8" t="str">
        <f t="shared" si="49"/>
        <v>day</v>
      </c>
      <c r="P135" s="8">
        <f t="shared" si="50"/>
        <v>2</v>
      </c>
      <c r="Q135" s="8">
        <f t="shared" si="51"/>
        <v>2021</v>
      </c>
      <c r="R135" s="8" t="s">
        <v>619</v>
      </c>
      <c r="S135" s="8">
        <f t="shared" si="52"/>
        <v>8</v>
      </c>
      <c r="T135" s="8">
        <f t="shared" si="53"/>
        <v>34</v>
      </c>
      <c r="U135" s="8">
        <f t="shared" si="54"/>
        <v>35</v>
      </c>
      <c r="V135" s="8">
        <v>52733</v>
      </c>
      <c r="W135" s="8">
        <v>66957</v>
      </c>
      <c r="X135" s="9" t="str">
        <f t="shared" si="55"/>
        <v>Highe Target</v>
      </c>
      <c r="Y135" s="9" t="str">
        <f t="shared" si="56"/>
        <v>Highe target</v>
      </c>
      <c r="Z135" s="9" t="str" cm="1">
        <f t="array" ref="Z135">_xlfn.IFS(W135&lt;60000,"LOWERTarget",W135&lt;80000,"Medium Target",W135,"Highe Target")</f>
        <v>Medium Target</v>
      </c>
      <c r="AA135" s="8" t="s">
        <v>87</v>
      </c>
      <c r="AB135" s="5" t="str">
        <f t="shared" si="57"/>
        <v>EXCELLENT SERVICE</v>
      </c>
      <c r="AC135" s="5" t="str">
        <f t="shared" si="58"/>
        <v>excellent service</v>
      </c>
      <c r="AD135" s="5" t="str">
        <f t="shared" si="59"/>
        <v>Excellent Service</v>
      </c>
      <c r="AF135" s="6"/>
    </row>
    <row r="136" ht="14.25" customHeight="1" spans="1:32">
      <c r="A136" s="8" t="s">
        <v>620</v>
      </c>
      <c r="B136" s="8" t="s">
        <v>621</v>
      </c>
      <c r="C136" s="9">
        <f t="shared" si="40"/>
        <v>12</v>
      </c>
      <c r="D136" s="8" t="s">
        <v>93</v>
      </c>
      <c r="E136" s="8" t="str">
        <f t="shared" si="41"/>
        <v>Varun Chopra(E1175) - Sales</v>
      </c>
      <c r="F136" s="9" t="str">
        <f t="shared" si="42"/>
        <v>Varun Chopra(E1175) -</v>
      </c>
      <c r="G136" s="9" t="str">
        <f t="shared" si="43"/>
        <v>Sales</v>
      </c>
      <c r="H136" s="9">
        <f t="shared" si="44"/>
        <v>21</v>
      </c>
      <c r="I136" s="9">
        <f t="shared" si="45"/>
        <v>6</v>
      </c>
      <c r="J136" s="8" t="s">
        <v>45</v>
      </c>
      <c r="K136" s="9" t="str">
        <f t="shared" si="46"/>
        <v>B@ngalore</v>
      </c>
      <c r="L136" s="8" t="s">
        <v>622</v>
      </c>
      <c r="M136" s="8" t="str">
        <f t="shared" si="47"/>
        <v>Thursday</v>
      </c>
      <c r="N136" s="8" t="str">
        <f t="shared" si="48"/>
        <v>Thu</v>
      </c>
      <c r="O136" s="8" t="str">
        <f t="shared" si="49"/>
        <v>day</v>
      </c>
      <c r="P136" s="8">
        <f t="shared" si="50"/>
        <v>7</v>
      </c>
      <c r="Q136" s="8">
        <f t="shared" si="51"/>
        <v>2023</v>
      </c>
      <c r="R136" s="8" t="s">
        <v>623</v>
      </c>
      <c r="S136" s="8">
        <f t="shared" si="52"/>
        <v>9</v>
      </c>
      <c r="T136" s="8">
        <f t="shared" si="53"/>
        <v>59</v>
      </c>
      <c r="U136" s="8">
        <f t="shared" si="54"/>
        <v>1</v>
      </c>
      <c r="V136" s="8">
        <v>55680</v>
      </c>
      <c r="W136" s="8">
        <v>67190</v>
      </c>
      <c r="X136" s="9" t="str">
        <f t="shared" si="55"/>
        <v>Highe Target</v>
      </c>
      <c r="Y136" s="9" t="str">
        <f t="shared" si="56"/>
        <v>Highe target</v>
      </c>
      <c r="Z136" s="9" t="str" cm="1">
        <f t="array" ref="Z136">_xlfn.IFS(W136&lt;60000,"LOWERTarget",W136&lt;80000,"Medium Target",W136,"Highe Target")</f>
        <v>Medium Target</v>
      </c>
      <c r="AA136" s="8" t="s">
        <v>39</v>
      </c>
      <c r="AB136" s="5" t="str">
        <f t="shared" si="57"/>
        <v>DETAILED ANALYSIS</v>
      </c>
      <c r="AC136" s="5" t="str">
        <f t="shared" si="58"/>
        <v>detailed analysis</v>
      </c>
      <c r="AD136" s="5" t="str">
        <f t="shared" si="59"/>
        <v>Detailed Analysis</v>
      </c>
      <c r="AF136" s="6"/>
    </row>
    <row r="137" ht="14.25" customHeight="1" spans="1:32">
      <c r="A137" s="8" t="s">
        <v>624</v>
      </c>
      <c r="B137" s="8" t="s">
        <v>625</v>
      </c>
      <c r="C137" s="9">
        <f t="shared" si="40"/>
        <v>9</v>
      </c>
      <c r="D137" s="8" t="s">
        <v>35</v>
      </c>
      <c r="E137" s="8" t="str">
        <f t="shared" si="41"/>
        <v>Isha Nair(E1258) - Finance</v>
      </c>
      <c r="F137" s="9" t="str">
        <f t="shared" si="42"/>
        <v>Isha Nair(E1258) -</v>
      </c>
      <c r="G137" s="9" t="str">
        <f t="shared" si="43"/>
        <v>Finance</v>
      </c>
      <c r="H137" s="9">
        <f t="shared" si="44"/>
        <v>18</v>
      </c>
      <c r="I137" s="9">
        <f t="shared" si="45"/>
        <v>8</v>
      </c>
      <c r="J137" s="8" t="s">
        <v>53</v>
      </c>
      <c r="K137" s="9" t="str">
        <f t="shared" si="46"/>
        <v>Delhi</v>
      </c>
      <c r="L137" s="8" t="s">
        <v>626</v>
      </c>
      <c r="M137" s="8" t="str">
        <f t="shared" si="47"/>
        <v>Monday</v>
      </c>
      <c r="N137" s="8" t="str">
        <f t="shared" si="48"/>
        <v>Mon</v>
      </c>
      <c r="O137" s="8" t="str">
        <f t="shared" si="49"/>
        <v>day</v>
      </c>
      <c r="P137" s="8">
        <f t="shared" si="50"/>
        <v>8</v>
      </c>
      <c r="Q137" s="8">
        <f t="shared" si="51"/>
        <v>2023</v>
      </c>
      <c r="R137" s="8" t="s">
        <v>627</v>
      </c>
      <c r="S137" s="8">
        <f t="shared" si="52"/>
        <v>8</v>
      </c>
      <c r="T137" s="8">
        <f t="shared" si="53"/>
        <v>35</v>
      </c>
      <c r="U137" s="8">
        <f t="shared" si="54"/>
        <v>26</v>
      </c>
      <c r="V137" s="8">
        <v>87029</v>
      </c>
      <c r="W137" s="8">
        <v>67296</v>
      </c>
      <c r="X137" s="9" t="str">
        <f t="shared" si="55"/>
        <v>Highe Target</v>
      </c>
      <c r="Y137" s="9" t="str">
        <f t="shared" si="56"/>
        <v>Highe target</v>
      </c>
      <c r="Z137" s="9" t="str" cm="1">
        <f t="array" ref="Z137">_xlfn.IFS(W137&lt;60000,"LOWERTarget",W137&lt;80000,"Medium Target",W137,"Highe Target")</f>
        <v>Medium Target</v>
      </c>
      <c r="AA137" s="8" t="s">
        <v>285</v>
      </c>
      <c r="AB137" s="5" t="str">
        <f t="shared" si="57"/>
        <v>QUICK RESPONSE</v>
      </c>
      <c r="AC137" s="5" t="str">
        <f t="shared" si="58"/>
        <v>quick response</v>
      </c>
      <c r="AD137" s="5" t="str">
        <f t="shared" si="59"/>
        <v>Quick Response</v>
      </c>
      <c r="AF137" s="6"/>
    </row>
    <row r="138" ht="14.25" customHeight="1" spans="1:32">
      <c r="A138" s="8" t="s">
        <v>628</v>
      </c>
      <c r="B138" s="8" t="s">
        <v>396</v>
      </c>
      <c r="C138" s="9">
        <f t="shared" si="40"/>
        <v>10</v>
      </c>
      <c r="D138" s="8" t="s">
        <v>93</v>
      </c>
      <c r="E138" s="8" t="str">
        <f t="shared" si="41"/>
        <v>Varun Nair(E1223) - Sales</v>
      </c>
      <c r="F138" s="9" t="str">
        <f t="shared" si="42"/>
        <v>Varun Nair(E1223) -</v>
      </c>
      <c r="G138" s="9" t="str">
        <f t="shared" si="43"/>
        <v>Sales</v>
      </c>
      <c r="H138" s="9">
        <f t="shared" si="44"/>
        <v>19</v>
      </c>
      <c r="I138" s="9">
        <f t="shared" si="45"/>
        <v>6</v>
      </c>
      <c r="J138" s="8" t="s">
        <v>76</v>
      </c>
      <c r="K138" s="9" t="str">
        <f t="shared" si="46"/>
        <v>Pune</v>
      </c>
      <c r="L138" s="8" t="s">
        <v>629</v>
      </c>
      <c r="M138" s="8" t="str">
        <f t="shared" si="47"/>
        <v>Wednesday</v>
      </c>
      <c r="N138" s="8" t="str">
        <f t="shared" si="48"/>
        <v>Wed</v>
      </c>
      <c r="O138" s="8" t="str">
        <f t="shared" si="49"/>
        <v>day</v>
      </c>
      <c r="P138" s="8">
        <f t="shared" si="50"/>
        <v>1</v>
      </c>
      <c r="Q138" s="8">
        <f t="shared" si="51"/>
        <v>2022</v>
      </c>
      <c r="R138" s="8" t="s">
        <v>630</v>
      </c>
      <c r="S138" s="8">
        <f t="shared" si="52"/>
        <v>8</v>
      </c>
      <c r="T138" s="8">
        <f t="shared" si="53"/>
        <v>28</v>
      </c>
      <c r="U138" s="8">
        <f t="shared" si="54"/>
        <v>20</v>
      </c>
      <c r="V138" s="8">
        <v>62369</v>
      </c>
      <c r="W138" s="8">
        <v>67445</v>
      </c>
      <c r="X138" s="9" t="str">
        <f t="shared" si="55"/>
        <v>Highe Target</v>
      </c>
      <c r="Y138" s="9" t="str">
        <f t="shared" si="56"/>
        <v>Highe target</v>
      </c>
      <c r="Z138" s="9" t="str" cm="1">
        <f t="array" ref="Z138">_xlfn.IFS(W138&lt;60000,"LOWERTarget",W138&lt;80000,"Medium Target",W138,"Highe Target")</f>
        <v>Medium Target</v>
      </c>
      <c r="AA138" s="8" t="s">
        <v>39</v>
      </c>
      <c r="AB138" s="5" t="str">
        <f t="shared" si="57"/>
        <v>DETAILED ANALYSIS</v>
      </c>
      <c r="AC138" s="5" t="str">
        <f t="shared" si="58"/>
        <v>detailed analysis</v>
      </c>
      <c r="AD138" s="5" t="str">
        <f t="shared" si="59"/>
        <v>Detailed Analysis</v>
      </c>
      <c r="AF138" s="6"/>
    </row>
    <row r="139" ht="14.25" customHeight="1" spans="1:32">
      <c r="A139" s="8" t="s">
        <v>631</v>
      </c>
      <c r="B139" s="8" t="s">
        <v>632</v>
      </c>
      <c r="C139" s="9">
        <f t="shared" si="40"/>
        <v>14</v>
      </c>
      <c r="D139" s="8" t="s">
        <v>35</v>
      </c>
      <c r="E139" s="8" t="str">
        <f t="shared" si="41"/>
        <v>Karan Malhotra(E1064) - Finance</v>
      </c>
      <c r="F139" s="9" t="str">
        <f t="shared" si="42"/>
        <v>Karan Malhotra(E1064) -</v>
      </c>
      <c r="G139" s="9" t="str">
        <f t="shared" si="43"/>
        <v>Finance</v>
      </c>
      <c r="H139" s="9">
        <f t="shared" si="44"/>
        <v>23</v>
      </c>
      <c r="I139" s="9">
        <f t="shared" si="45"/>
        <v>8</v>
      </c>
      <c r="J139" s="8" t="s">
        <v>172</v>
      </c>
      <c r="K139" s="9" t="str">
        <f t="shared" si="46"/>
        <v>Hyder@bad</v>
      </c>
      <c r="L139" s="8" t="s">
        <v>633</v>
      </c>
      <c r="M139" s="8" t="str">
        <f t="shared" si="47"/>
        <v>Thursday</v>
      </c>
      <c r="N139" s="8" t="str">
        <f t="shared" si="48"/>
        <v>Thu</v>
      </c>
      <c r="O139" s="8" t="str">
        <f t="shared" si="49"/>
        <v>day</v>
      </c>
      <c r="P139" s="8">
        <f t="shared" si="50"/>
        <v>2</v>
      </c>
      <c r="Q139" s="8">
        <f t="shared" si="51"/>
        <v>2023</v>
      </c>
      <c r="R139" s="8" t="s">
        <v>634</v>
      </c>
      <c r="S139" s="8">
        <f t="shared" si="52"/>
        <v>9</v>
      </c>
      <c r="T139" s="8">
        <f t="shared" si="53"/>
        <v>48</v>
      </c>
      <c r="U139" s="8">
        <f t="shared" si="54"/>
        <v>53</v>
      </c>
      <c r="V139" s="8">
        <v>69159</v>
      </c>
      <c r="W139" s="8">
        <v>67627</v>
      </c>
      <c r="X139" s="9" t="str">
        <f t="shared" si="55"/>
        <v>Highe Target</v>
      </c>
      <c r="Y139" s="9" t="str">
        <f t="shared" si="56"/>
        <v>Highe target</v>
      </c>
      <c r="Z139" s="9" t="str" cm="1">
        <f t="array" ref="Z139">_xlfn.IFS(W139&lt;60000,"LOWERTarget",W139&lt;80000,"Medium Target",W139,"Highe Target")</f>
        <v>Medium Target</v>
      </c>
      <c r="AA139" s="8" t="s">
        <v>243</v>
      </c>
      <c r="AB139" s="5" t="str">
        <f t="shared" si="57"/>
        <v>POSITIVE ATTITUDE</v>
      </c>
      <c r="AC139" s="5" t="str">
        <f t="shared" si="58"/>
        <v>positive attitude</v>
      </c>
      <c r="AD139" s="5" t="str">
        <f t="shared" si="59"/>
        <v>Positive Attitude</v>
      </c>
      <c r="AF139" s="6"/>
    </row>
    <row r="140" ht="14.25" customHeight="1" spans="1:32">
      <c r="A140" s="8" t="s">
        <v>635</v>
      </c>
      <c r="B140" s="8" t="s">
        <v>636</v>
      </c>
      <c r="C140" s="9">
        <f t="shared" si="40"/>
        <v>11</v>
      </c>
      <c r="D140" s="8" t="s">
        <v>60</v>
      </c>
      <c r="E140" s="8" t="str">
        <f t="shared" si="41"/>
        <v>Rohan Singh(E1025) - HR</v>
      </c>
      <c r="F140" s="9" t="str">
        <f t="shared" si="42"/>
        <v>Rohan Singh(E1025) -</v>
      </c>
      <c r="G140" s="9" t="str">
        <f t="shared" si="43"/>
        <v>HR</v>
      </c>
      <c r="H140" s="9">
        <f t="shared" si="44"/>
        <v>20</v>
      </c>
      <c r="I140" s="9">
        <f t="shared" si="45"/>
        <v>3</v>
      </c>
      <c r="J140" s="8" t="s">
        <v>45</v>
      </c>
      <c r="K140" s="9" t="str">
        <f t="shared" si="46"/>
        <v>B@ngalore</v>
      </c>
      <c r="L140" s="8" t="s">
        <v>637</v>
      </c>
      <c r="M140" s="8" t="str">
        <f t="shared" si="47"/>
        <v>Tuesday</v>
      </c>
      <c r="N140" s="8" t="str">
        <f t="shared" si="48"/>
        <v>Tue</v>
      </c>
      <c r="O140" s="8" t="str">
        <f t="shared" si="49"/>
        <v>day</v>
      </c>
      <c r="P140" s="8">
        <f t="shared" si="50"/>
        <v>1</v>
      </c>
      <c r="Q140" s="8">
        <f t="shared" si="51"/>
        <v>2022</v>
      </c>
      <c r="R140" s="8" t="s">
        <v>638</v>
      </c>
      <c r="S140" s="8">
        <f t="shared" si="52"/>
        <v>10</v>
      </c>
      <c r="T140" s="8">
        <f t="shared" si="53"/>
        <v>28</v>
      </c>
      <c r="U140" s="8">
        <f t="shared" si="54"/>
        <v>8</v>
      </c>
      <c r="V140" s="8">
        <v>64673</v>
      </c>
      <c r="W140" s="8">
        <v>67648</v>
      </c>
      <c r="X140" s="9" t="str">
        <f t="shared" si="55"/>
        <v>Highe Target</v>
      </c>
      <c r="Y140" s="9" t="str">
        <f t="shared" si="56"/>
        <v>Highe target</v>
      </c>
      <c r="Z140" s="9" t="str" cm="1">
        <f t="array" ref="Z140">_xlfn.IFS(W140&lt;60000,"LOWERTarget",W140&lt;80000,"Medium Target",W140,"Highe Target")</f>
        <v>Medium Target</v>
      </c>
      <c r="AA140" s="8" t="s">
        <v>64</v>
      </c>
      <c r="AB140" s="5" t="str">
        <f t="shared" si="57"/>
        <v>NEEDS IMPROVEMENT</v>
      </c>
      <c r="AC140" s="5" t="str">
        <f t="shared" si="58"/>
        <v>needs improvement</v>
      </c>
      <c r="AD140" s="5" t="str">
        <f t="shared" si="59"/>
        <v>Needs Improvement</v>
      </c>
      <c r="AF140" s="6"/>
    </row>
    <row r="141" ht="14.25" customHeight="1" spans="1:32">
      <c r="A141" s="8" t="s">
        <v>639</v>
      </c>
      <c r="B141" s="8" t="s">
        <v>640</v>
      </c>
      <c r="C141" s="9">
        <f t="shared" si="40"/>
        <v>11</v>
      </c>
      <c r="D141" s="8" t="s">
        <v>35</v>
      </c>
      <c r="E141" s="8" t="str">
        <f t="shared" si="41"/>
        <v>Rohan Mehta(E1037) - Finance</v>
      </c>
      <c r="F141" s="9" t="str">
        <f t="shared" si="42"/>
        <v>Rohan Mehta(E1037) -</v>
      </c>
      <c r="G141" s="9" t="str">
        <f t="shared" si="43"/>
        <v>Finance</v>
      </c>
      <c r="H141" s="9">
        <f t="shared" si="44"/>
        <v>20</v>
      </c>
      <c r="I141" s="9">
        <f t="shared" si="45"/>
        <v>8</v>
      </c>
      <c r="J141" s="8" t="s">
        <v>36</v>
      </c>
      <c r="K141" s="9" t="str">
        <f t="shared" si="46"/>
        <v>Ahmed@bad</v>
      </c>
      <c r="L141" s="8" t="s">
        <v>330</v>
      </c>
      <c r="M141" s="8" t="str">
        <f t="shared" si="47"/>
        <v>Monday</v>
      </c>
      <c r="N141" s="8" t="str">
        <f t="shared" si="48"/>
        <v>Mon</v>
      </c>
      <c r="O141" s="8" t="str">
        <f t="shared" si="49"/>
        <v>day</v>
      </c>
      <c r="P141" s="8">
        <f t="shared" si="50"/>
        <v>5</v>
      </c>
      <c r="Q141" s="8">
        <f t="shared" si="51"/>
        <v>2022</v>
      </c>
      <c r="R141" s="8" t="s">
        <v>641</v>
      </c>
      <c r="S141" s="8">
        <f t="shared" si="52"/>
        <v>8</v>
      </c>
      <c r="T141" s="8">
        <f t="shared" si="53"/>
        <v>5</v>
      </c>
      <c r="U141" s="8">
        <f t="shared" si="54"/>
        <v>40</v>
      </c>
      <c r="V141" s="8">
        <v>70891</v>
      </c>
      <c r="W141" s="8">
        <v>67759</v>
      </c>
      <c r="X141" s="9" t="str">
        <f t="shared" si="55"/>
        <v>Highe Target</v>
      </c>
      <c r="Y141" s="9" t="str">
        <f t="shared" si="56"/>
        <v>Highe target</v>
      </c>
      <c r="Z141" s="9" t="str" cm="1">
        <f t="array" ref="Z141">_xlfn.IFS(W141&lt;60000,"LOWERTarget",W141&lt;80000,"Medium Target",W141,"Highe Target")</f>
        <v>Medium Target</v>
      </c>
      <c r="AA141" s="8" t="s">
        <v>87</v>
      </c>
      <c r="AB141" s="5" t="str">
        <f t="shared" si="57"/>
        <v>EXCELLENT SERVICE</v>
      </c>
      <c r="AC141" s="5" t="str">
        <f t="shared" si="58"/>
        <v>excellent service</v>
      </c>
      <c r="AD141" s="5" t="str">
        <f t="shared" si="59"/>
        <v>Excellent Service</v>
      </c>
      <c r="AF141" s="6"/>
    </row>
    <row r="142" ht="14.25" customHeight="1" spans="1:32">
      <c r="A142" s="8" t="s">
        <v>642</v>
      </c>
      <c r="B142" s="8" t="s">
        <v>643</v>
      </c>
      <c r="C142" s="9">
        <f t="shared" si="40"/>
        <v>11</v>
      </c>
      <c r="D142" s="8" t="s">
        <v>44</v>
      </c>
      <c r="E142" s="8" t="str">
        <f t="shared" si="41"/>
        <v>Kavita Jain(E1214) - Marketing</v>
      </c>
      <c r="F142" s="9" t="str">
        <f t="shared" si="42"/>
        <v>Kavita Jain(E1214) -</v>
      </c>
      <c r="G142" s="9" t="str">
        <f t="shared" si="43"/>
        <v>Marketing</v>
      </c>
      <c r="H142" s="9">
        <f t="shared" si="44"/>
        <v>20</v>
      </c>
      <c r="I142" s="9">
        <f t="shared" si="45"/>
        <v>10</v>
      </c>
      <c r="J142" s="8" t="s">
        <v>61</v>
      </c>
      <c r="K142" s="9" t="str">
        <f t="shared" si="46"/>
        <v>Chenn@i</v>
      </c>
      <c r="L142" s="8" t="s">
        <v>644</v>
      </c>
      <c r="M142" s="8" t="str">
        <f t="shared" si="47"/>
        <v>Friday</v>
      </c>
      <c r="N142" s="8" t="str">
        <f t="shared" si="48"/>
        <v>Fri</v>
      </c>
      <c r="O142" s="8" t="str">
        <f t="shared" si="49"/>
        <v>day</v>
      </c>
      <c r="P142" s="8">
        <f t="shared" si="50"/>
        <v>1</v>
      </c>
      <c r="Q142" s="8">
        <f t="shared" si="51"/>
        <v>2024</v>
      </c>
      <c r="R142" s="8" t="s">
        <v>645</v>
      </c>
      <c r="S142" s="8">
        <f t="shared" si="52"/>
        <v>8</v>
      </c>
      <c r="T142" s="8">
        <f t="shared" si="53"/>
        <v>54</v>
      </c>
      <c r="U142" s="8">
        <f t="shared" si="54"/>
        <v>6</v>
      </c>
      <c r="V142" s="8">
        <v>62018</v>
      </c>
      <c r="W142" s="8">
        <v>68241</v>
      </c>
      <c r="X142" s="9" t="str">
        <f t="shared" si="55"/>
        <v>Highe Target</v>
      </c>
      <c r="Y142" s="9" t="str">
        <f t="shared" si="56"/>
        <v>Highe target</v>
      </c>
      <c r="Z142" s="9" t="str" cm="1">
        <f t="array" ref="Z142">_xlfn.IFS(W142&lt;60000,"LOWERTarget",W142&lt;80000,"Medium Target",W142,"Highe Target")</f>
        <v>Medium Target</v>
      </c>
      <c r="AA142" s="8" t="s">
        <v>71</v>
      </c>
      <c r="AB142" s="5" t="str">
        <f t="shared" si="57"/>
        <v>GREAT SUPPORT</v>
      </c>
      <c r="AC142" s="5" t="str">
        <f t="shared" si="58"/>
        <v>great support</v>
      </c>
      <c r="AD142" s="5" t="str">
        <f t="shared" si="59"/>
        <v>Great Support</v>
      </c>
      <c r="AF142" s="6"/>
    </row>
    <row r="143" ht="14.25" customHeight="1" spans="1:32">
      <c r="A143" s="8" t="s">
        <v>646</v>
      </c>
      <c r="B143" s="8" t="s">
        <v>647</v>
      </c>
      <c r="C143" s="9">
        <f t="shared" si="40"/>
        <v>13</v>
      </c>
      <c r="D143" s="8" t="s">
        <v>35</v>
      </c>
      <c r="E143" s="8" t="str">
        <f t="shared" si="41"/>
        <v>Neha Malhotra(E1091) - Finance</v>
      </c>
      <c r="F143" s="9" t="str">
        <f t="shared" si="42"/>
        <v>Neha Malhotra(E1091) -</v>
      </c>
      <c r="G143" s="9" t="str">
        <f t="shared" si="43"/>
        <v>Finance</v>
      </c>
      <c r="H143" s="9">
        <f t="shared" si="44"/>
        <v>22</v>
      </c>
      <c r="I143" s="9">
        <f t="shared" si="45"/>
        <v>8</v>
      </c>
      <c r="J143" s="8" t="s">
        <v>182</v>
      </c>
      <c r="K143" s="9" t="str">
        <f t="shared" si="46"/>
        <v>Kolk@ta</v>
      </c>
      <c r="L143" s="8" t="s">
        <v>648</v>
      </c>
      <c r="M143" s="8" t="str">
        <f t="shared" si="47"/>
        <v>Tuesday</v>
      </c>
      <c r="N143" s="8" t="str">
        <f t="shared" si="48"/>
        <v>Tue</v>
      </c>
      <c r="O143" s="8" t="str">
        <f t="shared" si="49"/>
        <v>day</v>
      </c>
      <c r="P143" s="8">
        <f t="shared" si="50"/>
        <v>7</v>
      </c>
      <c r="Q143" s="8">
        <f t="shared" si="51"/>
        <v>2022</v>
      </c>
      <c r="R143" s="8" t="s">
        <v>649</v>
      </c>
      <c r="S143" s="8">
        <f t="shared" si="52"/>
        <v>10</v>
      </c>
      <c r="T143" s="8">
        <f t="shared" si="53"/>
        <v>34</v>
      </c>
      <c r="U143" s="8">
        <f t="shared" si="54"/>
        <v>31</v>
      </c>
      <c r="V143" s="8">
        <v>58959</v>
      </c>
      <c r="W143" s="8">
        <v>68688</v>
      </c>
      <c r="X143" s="9" t="str">
        <f t="shared" si="55"/>
        <v>Highe Target</v>
      </c>
      <c r="Y143" s="9" t="str">
        <f t="shared" si="56"/>
        <v>Highe target</v>
      </c>
      <c r="Z143" s="9" t="str" cm="1">
        <f t="array" ref="Z143">_xlfn.IFS(W143&lt;60000,"LOWERTarget",W143&lt;80000,"Medium Target",W143,"Highe Target")</f>
        <v>Medium Target</v>
      </c>
      <c r="AA143" s="8" t="s">
        <v>79</v>
      </c>
      <c r="AB143" s="5" t="str">
        <f t="shared" si="57"/>
        <v>EXCELLENT LEADERSHIP</v>
      </c>
      <c r="AC143" s="5" t="str">
        <f t="shared" si="58"/>
        <v>excellent leadership</v>
      </c>
      <c r="AD143" s="5" t="str">
        <f t="shared" si="59"/>
        <v>Excellent Leadership</v>
      </c>
      <c r="AF143" s="6"/>
    </row>
    <row r="144" ht="14.25" customHeight="1" spans="1:32">
      <c r="A144" s="8" t="s">
        <v>650</v>
      </c>
      <c r="B144" s="8" t="s">
        <v>651</v>
      </c>
      <c r="C144" s="9">
        <f t="shared" si="40"/>
        <v>12</v>
      </c>
      <c r="D144" s="8" t="s">
        <v>60</v>
      </c>
      <c r="E144" s="8" t="str">
        <f t="shared" si="41"/>
        <v>Deepak Patel(E1098) - HR</v>
      </c>
      <c r="F144" s="9" t="str">
        <f t="shared" si="42"/>
        <v>Deepak Patel(E1098) -</v>
      </c>
      <c r="G144" s="9" t="str">
        <f t="shared" si="43"/>
        <v>HR</v>
      </c>
      <c r="H144" s="9">
        <f t="shared" si="44"/>
        <v>21</v>
      </c>
      <c r="I144" s="9">
        <f t="shared" si="45"/>
        <v>3</v>
      </c>
      <c r="J144" s="8" t="s">
        <v>61</v>
      </c>
      <c r="K144" s="9" t="str">
        <f t="shared" si="46"/>
        <v>Chenn@i</v>
      </c>
      <c r="L144" s="8" t="s">
        <v>652</v>
      </c>
      <c r="M144" s="8" t="str">
        <f t="shared" si="47"/>
        <v>Tuesday</v>
      </c>
      <c r="N144" s="8" t="str">
        <f t="shared" si="48"/>
        <v>Tue</v>
      </c>
      <c r="O144" s="8" t="str">
        <f t="shared" si="49"/>
        <v>day</v>
      </c>
      <c r="P144" s="8">
        <f t="shared" si="50"/>
        <v>1</v>
      </c>
      <c r="Q144" s="8">
        <f t="shared" si="51"/>
        <v>2024</v>
      </c>
      <c r="R144" s="8" t="s">
        <v>653</v>
      </c>
      <c r="S144" s="8">
        <f t="shared" si="52"/>
        <v>8</v>
      </c>
      <c r="T144" s="8">
        <f t="shared" si="53"/>
        <v>59</v>
      </c>
      <c r="U144" s="8">
        <f t="shared" si="54"/>
        <v>18</v>
      </c>
      <c r="V144" s="8">
        <v>85478</v>
      </c>
      <c r="W144" s="8">
        <v>68712</v>
      </c>
      <c r="X144" s="9" t="str">
        <f t="shared" si="55"/>
        <v>Highe Target</v>
      </c>
      <c r="Y144" s="9" t="str">
        <f t="shared" si="56"/>
        <v>Highe target</v>
      </c>
      <c r="Z144" s="9" t="str" cm="1">
        <f t="array" ref="Z144">_xlfn.IFS(W144&lt;60000,"LOWERTarget",W144&lt;80000,"Medium Target",W144,"Highe Target")</f>
        <v>Medium Target</v>
      </c>
      <c r="AA144" s="8" t="s">
        <v>160</v>
      </c>
      <c r="AB144" s="5" t="str">
        <f t="shared" si="57"/>
        <v>GOOD COMMUNICATION</v>
      </c>
      <c r="AC144" s="5" t="str">
        <f t="shared" si="58"/>
        <v>good communication</v>
      </c>
      <c r="AD144" s="5" t="str">
        <f t="shared" si="59"/>
        <v>Good Communication</v>
      </c>
      <c r="AF144" s="6"/>
    </row>
    <row r="145" ht="14.25" customHeight="1" spans="1:32">
      <c r="A145" s="8" t="s">
        <v>654</v>
      </c>
      <c r="B145" s="8" t="s">
        <v>487</v>
      </c>
      <c r="C145" s="9">
        <f t="shared" si="40"/>
        <v>10</v>
      </c>
      <c r="D145" s="8" t="s">
        <v>93</v>
      </c>
      <c r="E145" s="8" t="str">
        <f t="shared" si="41"/>
        <v>Tanya Iyer(E1162) - Sales</v>
      </c>
      <c r="F145" s="9" t="str">
        <f t="shared" si="42"/>
        <v>Tanya Iyer(E1162) -</v>
      </c>
      <c r="G145" s="9" t="str">
        <f t="shared" si="43"/>
        <v>Sales</v>
      </c>
      <c r="H145" s="9">
        <f t="shared" si="44"/>
        <v>19</v>
      </c>
      <c r="I145" s="9">
        <f t="shared" si="45"/>
        <v>6</v>
      </c>
      <c r="J145" s="8" t="s">
        <v>53</v>
      </c>
      <c r="K145" s="9" t="str">
        <f t="shared" si="46"/>
        <v>Delhi</v>
      </c>
      <c r="L145" s="8" t="s">
        <v>655</v>
      </c>
      <c r="M145" s="8" t="str">
        <f t="shared" si="47"/>
        <v>Monday</v>
      </c>
      <c r="N145" s="8" t="str">
        <f t="shared" si="48"/>
        <v>Mon</v>
      </c>
      <c r="O145" s="8" t="str">
        <f t="shared" si="49"/>
        <v>day</v>
      </c>
      <c r="P145" s="8">
        <f t="shared" si="50"/>
        <v>3</v>
      </c>
      <c r="Q145" s="8">
        <f t="shared" si="51"/>
        <v>2021</v>
      </c>
      <c r="R145" s="8" t="s">
        <v>656</v>
      </c>
      <c r="S145" s="8">
        <f t="shared" si="52"/>
        <v>8</v>
      </c>
      <c r="T145" s="8">
        <f t="shared" si="53"/>
        <v>45</v>
      </c>
      <c r="U145" s="8">
        <f t="shared" si="54"/>
        <v>28</v>
      </c>
      <c r="V145" s="8">
        <v>88142</v>
      </c>
      <c r="W145" s="8">
        <v>68797</v>
      </c>
      <c r="X145" s="9" t="str">
        <f t="shared" si="55"/>
        <v>Highe Target</v>
      </c>
      <c r="Y145" s="9" t="str">
        <f t="shared" si="56"/>
        <v>Highe target</v>
      </c>
      <c r="Z145" s="9" t="str" cm="1">
        <f t="array" ref="Z145">_xlfn.IFS(W145&lt;60000,"LOWERTarget",W145&lt;80000,"Medium Target",W145,"Highe Target")</f>
        <v>Medium Target</v>
      </c>
      <c r="AA145" s="8" t="s">
        <v>229</v>
      </c>
      <c r="AB145" s="5" t="str">
        <f t="shared" si="57"/>
        <v>STRONG PRESENTATION</v>
      </c>
      <c r="AC145" s="5" t="str">
        <f t="shared" si="58"/>
        <v>strong presentation</v>
      </c>
      <c r="AD145" s="5" t="str">
        <f t="shared" si="59"/>
        <v>Strong Presentation</v>
      </c>
      <c r="AF145" s="6"/>
    </row>
    <row r="146" ht="14.25" customHeight="1" spans="1:32">
      <c r="A146" s="8" t="s">
        <v>657</v>
      </c>
      <c r="B146" s="8" t="s">
        <v>658</v>
      </c>
      <c r="C146" s="9">
        <f t="shared" si="40"/>
        <v>12</v>
      </c>
      <c r="D146" s="8" t="s">
        <v>35</v>
      </c>
      <c r="E146" s="8" t="str">
        <f t="shared" si="41"/>
        <v>Pooja Bansal(E1208) - Finance</v>
      </c>
      <c r="F146" s="9" t="str">
        <f t="shared" si="42"/>
        <v>Pooja Bansal(E1208) -</v>
      </c>
      <c r="G146" s="9" t="str">
        <f t="shared" si="43"/>
        <v>Finance</v>
      </c>
      <c r="H146" s="9">
        <f t="shared" si="44"/>
        <v>21</v>
      </c>
      <c r="I146" s="9">
        <f t="shared" si="45"/>
        <v>8</v>
      </c>
      <c r="J146" s="8" t="s">
        <v>36</v>
      </c>
      <c r="K146" s="9" t="str">
        <f t="shared" si="46"/>
        <v>Ahmed@bad</v>
      </c>
      <c r="L146" s="8" t="s">
        <v>659</v>
      </c>
      <c r="M146" s="8" t="str">
        <f t="shared" si="47"/>
        <v>Sunday</v>
      </c>
      <c r="N146" s="8" t="str">
        <f t="shared" si="48"/>
        <v>Sun</v>
      </c>
      <c r="O146" s="8" t="str">
        <f t="shared" si="49"/>
        <v>day</v>
      </c>
      <c r="P146" s="8">
        <f t="shared" si="50"/>
        <v>5</v>
      </c>
      <c r="Q146" s="8">
        <f t="shared" si="51"/>
        <v>2021</v>
      </c>
      <c r="R146" s="8" t="s">
        <v>660</v>
      </c>
      <c r="S146" s="8">
        <f t="shared" si="52"/>
        <v>10</v>
      </c>
      <c r="T146" s="8">
        <f t="shared" si="53"/>
        <v>3</v>
      </c>
      <c r="U146" s="8">
        <f t="shared" si="54"/>
        <v>10</v>
      </c>
      <c r="V146" s="8">
        <v>81047</v>
      </c>
      <c r="W146" s="8">
        <v>68809</v>
      </c>
      <c r="X146" s="9" t="str">
        <f t="shared" si="55"/>
        <v>Highe Target</v>
      </c>
      <c r="Y146" s="9" t="str">
        <f t="shared" si="56"/>
        <v>Highe target</v>
      </c>
      <c r="Z146" s="9" t="str" cm="1">
        <f t="array" ref="Z146">_xlfn.IFS(W146&lt;60000,"LOWERTarget",W146&lt;80000,"Medium Target",W146,"Highe Target")</f>
        <v>Medium Target</v>
      </c>
      <c r="AA146" s="8" t="s">
        <v>56</v>
      </c>
      <c r="AB146" s="5" t="str">
        <f t="shared" si="57"/>
        <v>   HELPFUL ATTITUDE   </v>
      </c>
      <c r="AC146" s="5" t="str">
        <f t="shared" si="58"/>
        <v>   helpful attitude   </v>
      </c>
      <c r="AD146" s="5" t="str">
        <f t="shared" si="59"/>
        <v>   Helpful Attitude   </v>
      </c>
      <c r="AF146" s="6"/>
    </row>
    <row r="147" ht="14.25" customHeight="1" spans="1:32">
      <c r="A147" s="8" t="s">
        <v>661</v>
      </c>
      <c r="B147" s="8" t="s">
        <v>662</v>
      </c>
      <c r="C147" s="9">
        <f t="shared" si="40"/>
        <v>13</v>
      </c>
      <c r="D147" s="8" t="s">
        <v>93</v>
      </c>
      <c r="E147" s="8" t="str">
        <f t="shared" si="41"/>
        <v>Suresh Mishra(E1194) - Sales</v>
      </c>
      <c r="F147" s="9" t="str">
        <f t="shared" si="42"/>
        <v>Suresh Mishra(E1194) -</v>
      </c>
      <c r="G147" s="9" t="str">
        <f t="shared" si="43"/>
        <v>Sales</v>
      </c>
      <c r="H147" s="9">
        <f t="shared" si="44"/>
        <v>22</v>
      </c>
      <c r="I147" s="9">
        <f t="shared" si="45"/>
        <v>6</v>
      </c>
      <c r="J147" s="8" t="s">
        <v>53</v>
      </c>
      <c r="K147" s="9" t="str">
        <f t="shared" si="46"/>
        <v>Delhi</v>
      </c>
      <c r="L147" s="8" t="s">
        <v>663</v>
      </c>
      <c r="M147" s="8" t="str">
        <f t="shared" si="47"/>
        <v>Tuesday</v>
      </c>
      <c r="N147" s="8" t="str">
        <f t="shared" si="48"/>
        <v>Tue</v>
      </c>
      <c r="O147" s="8" t="str">
        <f t="shared" si="49"/>
        <v>day</v>
      </c>
      <c r="P147" s="8">
        <f t="shared" si="50"/>
        <v>10</v>
      </c>
      <c r="Q147" s="8">
        <f t="shared" si="51"/>
        <v>2024</v>
      </c>
      <c r="R147" s="8" t="s">
        <v>664</v>
      </c>
      <c r="S147" s="8">
        <f t="shared" si="52"/>
        <v>9</v>
      </c>
      <c r="T147" s="8">
        <f t="shared" si="53"/>
        <v>23</v>
      </c>
      <c r="U147" s="8">
        <f t="shared" si="54"/>
        <v>23</v>
      </c>
      <c r="V147" s="8">
        <v>59132</v>
      </c>
      <c r="W147" s="8">
        <v>69094</v>
      </c>
      <c r="X147" s="9" t="str">
        <f t="shared" si="55"/>
        <v>Highe Target</v>
      </c>
      <c r="Y147" s="9" t="str">
        <f t="shared" si="56"/>
        <v>Highe target</v>
      </c>
      <c r="Z147" s="9" t="str" cm="1">
        <f t="array" ref="Z147">_xlfn.IFS(W147&lt;60000,"LOWERTarget",W147&lt;80000,"Medium Target",W147,"Highe Target")</f>
        <v>Medium Target</v>
      </c>
      <c r="AA147" s="8" t="s">
        <v>79</v>
      </c>
      <c r="AB147" s="5" t="str">
        <f t="shared" si="57"/>
        <v>EXCELLENT LEADERSHIP</v>
      </c>
      <c r="AC147" s="5" t="str">
        <f t="shared" si="58"/>
        <v>excellent leadership</v>
      </c>
      <c r="AD147" s="5" t="str">
        <f t="shared" si="59"/>
        <v>Excellent Leadership</v>
      </c>
      <c r="AF147" s="6"/>
    </row>
    <row r="148" ht="14.25" customHeight="1" spans="1:32">
      <c r="A148" s="8" t="s">
        <v>665</v>
      </c>
      <c r="B148" s="8" t="s">
        <v>222</v>
      </c>
      <c r="C148" s="9">
        <f t="shared" si="40"/>
        <v>11</v>
      </c>
      <c r="D148" s="8" t="s">
        <v>93</v>
      </c>
      <c r="E148" s="8" t="str">
        <f t="shared" si="41"/>
        <v>Anjali Iyer(E1190) - Sales</v>
      </c>
      <c r="F148" s="9" t="str">
        <f t="shared" si="42"/>
        <v>Anjali Iyer(E1190) -</v>
      </c>
      <c r="G148" s="9" t="str">
        <f t="shared" si="43"/>
        <v>Sales</v>
      </c>
      <c r="H148" s="9">
        <f t="shared" si="44"/>
        <v>20</v>
      </c>
      <c r="I148" s="9">
        <f t="shared" si="45"/>
        <v>6</v>
      </c>
      <c r="J148" s="8" t="s">
        <v>76</v>
      </c>
      <c r="K148" s="9" t="str">
        <f t="shared" si="46"/>
        <v>Pune</v>
      </c>
      <c r="L148" s="8" t="s">
        <v>666</v>
      </c>
      <c r="M148" s="8" t="str">
        <f t="shared" si="47"/>
        <v>Thursday</v>
      </c>
      <c r="N148" s="8" t="str">
        <f t="shared" si="48"/>
        <v>Thu</v>
      </c>
      <c r="O148" s="8" t="str">
        <f t="shared" si="49"/>
        <v>day</v>
      </c>
      <c r="P148" s="8">
        <f t="shared" si="50"/>
        <v>11</v>
      </c>
      <c r="Q148" s="8">
        <f t="shared" si="51"/>
        <v>2022</v>
      </c>
      <c r="R148" s="8" t="s">
        <v>667</v>
      </c>
      <c r="S148" s="8">
        <f t="shared" si="52"/>
        <v>10</v>
      </c>
      <c r="T148" s="8">
        <f t="shared" si="53"/>
        <v>18</v>
      </c>
      <c r="U148" s="8">
        <f t="shared" si="54"/>
        <v>19</v>
      </c>
      <c r="V148" s="8">
        <v>82148</v>
      </c>
      <c r="W148" s="8">
        <v>69223</v>
      </c>
      <c r="X148" s="9" t="str">
        <f t="shared" si="55"/>
        <v>Highe Target</v>
      </c>
      <c r="Y148" s="9" t="str">
        <f t="shared" si="56"/>
        <v>Highe target</v>
      </c>
      <c r="Z148" s="9" t="str" cm="1">
        <f t="array" ref="Z148">_xlfn.IFS(W148&lt;60000,"LOWERTarget",W148&lt;80000,"Medium Target",W148,"Highe Target")</f>
        <v>Medium Target</v>
      </c>
      <c r="AA148" s="8" t="s">
        <v>285</v>
      </c>
      <c r="AB148" s="5" t="str">
        <f t="shared" si="57"/>
        <v>QUICK RESPONSE</v>
      </c>
      <c r="AC148" s="5" t="str">
        <f t="shared" si="58"/>
        <v>quick response</v>
      </c>
      <c r="AD148" s="5" t="str">
        <f t="shared" si="59"/>
        <v>Quick Response</v>
      </c>
      <c r="AF148" s="6"/>
    </row>
    <row r="149" ht="14.25" customHeight="1" spans="1:32">
      <c r="A149" s="8" t="s">
        <v>668</v>
      </c>
      <c r="B149" s="8" t="s">
        <v>669</v>
      </c>
      <c r="C149" s="9">
        <f t="shared" si="40"/>
        <v>11</v>
      </c>
      <c r="D149" s="8" t="s">
        <v>93</v>
      </c>
      <c r="E149" s="8" t="str">
        <f t="shared" si="41"/>
        <v>Arjun Reddy(E1210) - Sales</v>
      </c>
      <c r="F149" s="9" t="str">
        <f t="shared" si="42"/>
        <v>Arjun Reddy(E1210) -</v>
      </c>
      <c r="G149" s="9" t="str">
        <f t="shared" si="43"/>
        <v>Sales</v>
      </c>
      <c r="H149" s="9">
        <f t="shared" si="44"/>
        <v>20</v>
      </c>
      <c r="I149" s="9">
        <f t="shared" si="45"/>
        <v>6</v>
      </c>
      <c r="J149" s="8" t="s">
        <v>172</v>
      </c>
      <c r="K149" s="9" t="str">
        <f t="shared" si="46"/>
        <v>Hyder@bad</v>
      </c>
      <c r="L149" s="8" t="s">
        <v>670</v>
      </c>
      <c r="M149" s="8" t="str">
        <f t="shared" si="47"/>
        <v>Wednesday</v>
      </c>
      <c r="N149" s="8" t="str">
        <f t="shared" si="48"/>
        <v>Wed</v>
      </c>
      <c r="O149" s="8" t="str">
        <f t="shared" si="49"/>
        <v>day</v>
      </c>
      <c r="P149" s="8">
        <f t="shared" si="50"/>
        <v>5</v>
      </c>
      <c r="Q149" s="8">
        <f t="shared" si="51"/>
        <v>2022</v>
      </c>
      <c r="R149" s="8" t="s">
        <v>671</v>
      </c>
      <c r="S149" s="8">
        <f t="shared" si="52"/>
        <v>9</v>
      </c>
      <c r="T149" s="8">
        <f t="shared" si="53"/>
        <v>7</v>
      </c>
      <c r="U149" s="8">
        <f t="shared" si="54"/>
        <v>17</v>
      </c>
      <c r="V149" s="8">
        <v>70711</v>
      </c>
      <c r="W149" s="8">
        <v>69464</v>
      </c>
      <c r="X149" s="9" t="str">
        <f t="shared" si="55"/>
        <v>Highe Target</v>
      </c>
      <c r="Y149" s="9" t="str">
        <f t="shared" si="56"/>
        <v>Highe target</v>
      </c>
      <c r="Z149" s="9" t="str" cm="1">
        <f t="array" ref="Z149">_xlfn.IFS(W149&lt;60000,"LOWERTarget",W149&lt;80000,"Medium Target",W149,"Highe Target")</f>
        <v>Medium Target</v>
      </c>
      <c r="AA149" s="8" t="s">
        <v>285</v>
      </c>
      <c r="AB149" s="5" t="str">
        <f t="shared" si="57"/>
        <v>QUICK RESPONSE</v>
      </c>
      <c r="AC149" s="5" t="str">
        <f t="shared" si="58"/>
        <v>quick response</v>
      </c>
      <c r="AD149" s="5" t="str">
        <f t="shared" si="59"/>
        <v>Quick Response</v>
      </c>
      <c r="AF149" s="6"/>
    </row>
    <row r="150" ht="14.25" customHeight="1" spans="1:32">
      <c r="A150" s="8" t="s">
        <v>672</v>
      </c>
      <c r="B150" s="8" t="s">
        <v>673</v>
      </c>
      <c r="C150" s="9">
        <f t="shared" si="40"/>
        <v>11</v>
      </c>
      <c r="D150" s="8" t="s">
        <v>35</v>
      </c>
      <c r="E150" s="8" t="str">
        <f t="shared" si="41"/>
        <v>Suresh Nair(E1259) - Finance</v>
      </c>
      <c r="F150" s="9" t="str">
        <f t="shared" si="42"/>
        <v>Suresh Nair(E1259) -</v>
      </c>
      <c r="G150" s="9" t="str">
        <f t="shared" si="43"/>
        <v>Finance</v>
      </c>
      <c r="H150" s="9">
        <f t="shared" si="44"/>
        <v>20</v>
      </c>
      <c r="I150" s="9">
        <f t="shared" si="45"/>
        <v>8</v>
      </c>
      <c r="J150" s="8" t="s">
        <v>45</v>
      </c>
      <c r="K150" s="9" t="str">
        <f t="shared" si="46"/>
        <v>B@ngalore</v>
      </c>
      <c r="L150" s="8" t="s">
        <v>674</v>
      </c>
      <c r="M150" s="8" t="str">
        <f t="shared" si="47"/>
        <v>Tuesday</v>
      </c>
      <c r="N150" s="8" t="str">
        <f t="shared" si="48"/>
        <v>Tue</v>
      </c>
      <c r="O150" s="8" t="str">
        <f t="shared" si="49"/>
        <v>day</v>
      </c>
      <c r="P150" s="8">
        <f t="shared" si="50"/>
        <v>11</v>
      </c>
      <c r="Q150" s="8">
        <f t="shared" si="51"/>
        <v>2022</v>
      </c>
      <c r="R150" s="8" t="s">
        <v>675</v>
      </c>
      <c r="S150" s="8">
        <f t="shared" si="52"/>
        <v>10</v>
      </c>
      <c r="T150" s="8">
        <f t="shared" si="53"/>
        <v>5</v>
      </c>
      <c r="U150" s="8">
        <f t="shared" si="54"/>
        <v>59</v>
      </c>
      <c r="V150" s="8">
        <v>78795</v>
      </c>
      <c r="W150" s="8">
        <v>69477</v>
      </c>
      <c r="X150" s="9" t="str">
        <f t="shared" si="55"/>
        <v>Highe Target</v>
      </c>
      <c r="Y150" s="9" t="str">
        <f t="shared" si="56"/>
        <v>Highe target</v>
      </c>
      <c r="Z150" s="9" t="str" cm="1">
        <f t="array" ref="Z150">_xlfn.IFS(W150&lt;60000,"LOWERTarget",W150&lt;80000,"Medium Target",W150,"Highe Target")</f>
        <v>Medium Target</v>
      </c>
      <c r="AA150" s="8" t="s">
        <v>160</v>
      </c>
      <c r="AB150" s="5" t="str">
        <f t="shared" si="57"/>
        <v>GOOD COMMUNICATION</v>
      </c>
      <c r="AC150" s="5" t="str">
        <f t="shared" si="58"/>
        <v>good communication</v>
      </c>
      <c r="AD150" s="5" t="str">
        <f t="shared" si="59"/>
        <v>Good Communication</v>
      </c>
      <c r="AF150" s="6"/>
    </row>
    <row r="151" ht="14.25" customHeight="1" spans="1:32">
      <c r="A151" s="8" t="s">
        <v>676</v>
      </c>
      <c r="B151" s="8" t="s">
        <v>677</v>
      </c>
      <c r="C151" s="9">
        <f t="shared" si="40"/>
        <v>11</v>
      </c>
      <c r="D151" s="8" t="s">
        <v>44</v>
      </c>
      <c r="E151" s="8" t="str">
        <f t="shared" si="41"/>
        <v>Shreya Jain(E1280) - Marketing</v>
      </c>
      <c r="F151" s="9" t="str">
        <f t="shared" si="42"/>
        <v>Shreya Jain(E1280) -</v>
      </c>
      <c r="G151" s="9" t="str">
        <f t="shared" si="43"/>
        <v>Marketing</v>
      </c>
      <c r="H151" s="9">
        <f t="shared" si="44"/>
        <v>20</v>
      </c>
      <c r="I151" s="9">
        <f t="shared" si="45"/>
        <v>10</v>
      </c>
      <c r="J151" s="8" t="s">
        <v>172</v>
      </c>
      <c r="K151" s="9" t="str">
        <f t="shared" si="46"/>
        <v>Hyder@bad</v>
      </c>
      <c r="L151" s="8" t="s">
        <v>678</v>
      </c>
      <c r="M151" s="8" t="str">
        <f t="shared" si="47"/>
        <v>Tuesday</v>
      </c>
      <c r="N151" s="8" t="str">
        <f t="shared" si="48"/>
        <v>Tue</v>
      </c>
      <c r="O151" s="8" t="str">
        <f t="shared" si="49"/>
        <v>day</v>
      </c>
      <c r="P151" s="8">
        <f t="shared" si="50"/>
        <v>3</v>
      </c>
      <c r="Q151" s="8">
        <f t="shared" si="51"/>
        <v>2021</v>
      </c>
      <c r="R151" s="8" t="s">
        <v>679</v>
      </c>
      <c r="S151" s="8">
        <f t="shared" si="52"/>
        <v>10</v>
      </c>
      <c r="T151" s="8">
        <f t="shared" si="53"/>
        <v>17</v>
      </c>
      <c r="U151" s="8">
        <f t="shared" si="54"/>
        <v>50</v>
      </c>
      <c r="V151" s="8">
        <v>86679</v>
      </c>
      <c r="W151" s="8">
        <v>69527</v>
      </c>
      <c r="X151" s="9" t="str">
        <f t="shared" si="55"/>
        <v>Highe Target</v>
      </c>
      <c r="Y151" s="9" t="str">
        <f t="shared" si="56"/>
        <v>Highe target</v>
      </c>
      <c r="Z151" s="9" t="str" cm="1">
        <f t="array" ref="Z151">_xlfn.IFS(W151&lt;60000,"LOWERTarget",W151&lt;80000,"Medium Target",W151,"Highe Target")</f>
        <v>Medium Target</v>
      </c>
      <c r="AA151" s="8" t="s">
        <v>126</v>
      </c>
      <c r="AB151" s="5" t="str">
        <f t="shared" si="57"/>
        <v>ACCURATE REPORTS</v>
      </c>
      <c r="AC151" s="5" t="str">
        <f t="shared" si="58"/>
        <v>accurate reports</v>
      </c>
      <c r="AD151" s="5" t="str">
        <f t="shared" si="59"/>
        <v>Accurate Reports</v>
      </c>
      <c r="AF151" s="6"/>
    </row>
    <row r="152" ht="14.25" customHeight="1" spans="1:32">
      <c r="A152" s="8" t="s">
        <v>680</v>
      </c>
      <c r="B152" s="8" t="s">
        <v>681</v>
      </c>
      <c r="C152" s="9">
        <f t="shared" si="40"/>
        <v>12</v>
      </c>
      <c r="D152" s="8" t="s">
        <v>35</v>
      </c>
      <c r="E152" s="8" t="str">
        <f t="shared" si="41"/>
        <v>Komal Mishra(E1073) - Finance</v>
      </c>
      <c r="F152" s="9" t="str">
        <f t="shared" si="42"/>
        <v>Komal Mishra(E1073) -</v>
      </c>
      <c r="G152" s="9" t="str">
        <f t="shared" si="43"/>
        <v>Finance</v>
      </c>
      <c r="H152" s="9">
        <f t="shared" si="44"/>
        <v>21</v>
      </c>
      <c r="I152" s="9">
        <f t="shared" si="45"/>
        <v>8</v>
      </c>
      <c r="J152" s="8" t="s">
        <v>172</v>
      </c>
      <c r="K152" s="9" t="str">
        <f t="shared" si="46"/>
        <v>Hyder@bad</v>
      </c>
      <c r="L152" s="8" t="s">
        <v>682</v>
      </c>
      <c r="M152" s="8" t="str">
        <f t="shared" si="47"/>
        <v>Wednesday</v>
      </c>
      <c r="N152" s="8" t="str">
        <f t="shared" si="48"/>
        <v>Wed</v>
      </c>
      <c r="O152" s="8" t="str">
        <f t="shared" si="49"/>
        <v>day</v>
      </c>
      <c r="P152" s="8">
        <f t="shared" si="50"/>
        <v>5</v>
      </c>
      <c r="Q152" s="8">
        <f t="shared" si="51"/>
        <v>2022</v>
      </c>
      <c r="R152" s="8" t="s">
        <v>683</v>
      </c>
      <c r="S152" s="8">
        <f t="shared" si="52"/>
        <v>8</v>
      </c>
      <c r="T152" s="8">
        <f t="shared" si="53"/>
        <v>17</v>
      </c>
      <c r="U152" s="8">
        <f t="shared" si="54"/>
        <v>56</v>
      </c>
      <c r="V152" s="8">
        <v>70524</v>
      </c>
      <c r="W152" s="8">
        <v>69543</v>
      </c>
      <c r="X152" s="9" t="str">
        <f t="shared" si="55"/>
        <v>Highe Target</v>
      </c>
      <c r="Y152" s="9" t="str">
        <f t="shared" si="56"/>
        <v>Highe target</v>
      </c>
      <c r="Z152" s="9" t="str" cm="1">
        <f t="array" ref="Z152">_xlfn.IFS(W152&lt;60000,"LOWERTarget",W152&lt;80000,"Medium Target",W152,"Highe Target")</f>
        <v>Medium Target</v>
      </c>
      <c r="AA152" s="8" t="s">
        <v>118</v>
      </c>
      <c r="AB152" s="5" t="str">
        <f t="shared" si="57"/>
        <v>CUSTOMER FOCUSED</v>
      </c>
      <c r="AC152" s="5" t="str">
        <f t="shared" si="58"/>
        <v>customer focused</v>
      </c>
      <c r="AD152" s="5" t="str">
        <f t="shared" si="59"/>
        <v>Customer Focused</v>
      </c>
      <c r="AF152" s="6"/>
    </row>
    <row r="153" ht="14.25" customHeight="1" spans="1:32">
      <c r="A153" s="8" t="s">
        <v>684</v>
      </c>
      <c r="B153" s="8" t="s">
        <v>685</v>
      </c>
      <c r="C153" s="9">
        <f t="shared" si="40"/>
        <v>10</v>
      </c>
      <c r="D153" s="8" t="s">
        <v>44</v>
      </c>
      <c r="E153" s="8" t="str">
        <f t="shared" si="41"/>
        <v>Neha Verma(E1133) - Marketing</v>
      </c>
      <c r="F153" s="9" t="str">
        <f t="shared" si="42"/>
        <v>Neha Verma(E1133) -</v>
      </c>
      <c r="G153" s="9" t="str">
        <f t="shared" si="43"/>
        <v>Marketing</v>
      </c>
      <c r="H153" s="9">
        <f t="shared" si="44"/>
        <v>19</v>
      </c>
      <c r="I153" s="9">
        <f t="shared" si="45"/>
        <v>10</v>
      </c>
      <c r="J153" s="8" t="s">
        <v>36</v>
      </c>
      <c r="K153" s="9" t="str">
        <f t="shared" si="46"/>
        <v>Ahmed@bad</v>
      </c>
      <c r="L153" s="8" t="s">
        <v>686</v>
      </c>
      <c r="M153" s="8" t="str">
        <f t="shared" si="47"/>
        <v>Thursday</v>
      </c>
      <c r="N153" s="8" t="str">
        <f t="shared" si="48"/>
        <v>Thu</v>
      </c>
      <c r="O153" s="8" t="str">
        <f t="shared" si="49"/>
        <v>day</v>
      </c>
      <c r="P153" s="8">
        <f t="shared" si="50"/>
        <v>1</v>
      </c>
      <c r="Q153" s="8">
        <f t="shared" si="51"/>
        <v>2023</v>
      </c>
      <c r="R153" s="8" t="s">
        <v>687</v>
      </c>
      <c r="S153" s="8">
        <f t="shared" si="52"/>
        <v>10</v>
      </c>
      <c r="T153" s="8">
        <f t="shared" si="53"/>
        <v>37</v>
      </c>
      <c r="U153" s="8">
        <f t="shared" si="54"/>
        <v>6</v>
      </c>
      <c r="V153" s="8">
        <v>87641</v>
      </c>
      <c r="W153" s="8">
        <v>69622</v>
      </c>
      <c r="X153" s="9" t="str">
        <f t="shared" si="55"/>
        <v>Highe Target</v>
      </c>
      <c r="Y153" s="9" t="str">
        <f t="shared" si="56"/>
        <v>Highe target</v>
      </c>
      <c r="Z153" s="9" t="str" cm="1">
        <f t="array" ref="Z153">_xlfn.IFS(W153&lt;60000,"LOWERTarget",W153&lt;80000,"Medium Target",W153,"Highe Target")</f>
        <v>Medium Target</v>
      </c>
      <c r="AA153" s="8" t="s">
        <v>126</v>
      </c>
      <c r="AB153" s="5" t="str">
        <f t="shared" si="57"/>
        <v>ACCURATE REPORTS</v>
      </c>
      <c r="AC153" s="5" t="str">
        <f t="shared" si="58"/>
        <v>accurate reports</v>
      </c>
      <c r="AD153" s="5" t="str">
        <f t="shared" si="59"/>
        <v>Accurate Reports</v>
      </c>
      <c r="AF153" s="6"/>
    </row>
    <row r="154" ht="14.25" customHeight="1" spans="1:32">
      <c r="A154" s="8" t="s">
        <v>688</v>
      </c>
      <c r="B154" s="8" t="s">
        <v>689</v>
      </c>
      <c r="C154" s="9">
        <f t="shared" si="40"/>
        <v>14</v>
      </c>
      <c r="D154" s="8" t="s">
        <v>44</v>
      </c>
      <c r="E154" s="8" t="str">
        <f t="shared" si="41"/>
        <v>Harsh Malhotra(E1185) - Marketing</v>
      </c>
      <c r="F154" s="9" t="str">
        <f t="shared" si="42"/>
        <v>Harsh Malhotra(E1185) -</v>
      </c>
      <c r="G154" s="9" t="str">
        <f t="shared" si="43"/>
        <v>Marketing</v>
      </c>
      <c r="H154" s="9">
        <f t="shared" si="44"/>
        <v>23</v>
      </c>
      <c r="I154" s="9">
        <f t="shared" si="45"/>
        <v>10</v>
      </c>
      <c r="J154" s="8" t="s">
        <v>53</v>
      </c>
      <c r="K154" s="9" t="str">
        <f t="shared" si="46"/>
        <v>Delhi</v>
      </c>
      <c r="L154" s="8" t="s">
        <v>690</v>
      </c>
      <c r="M154" s="8" t="str">
        <f t="shared" si="47"/>
        <v>Monday</v>
      </c>
      <c r="N154" s="8" t="str">
        <f t="shared" si="48"/>
        <v>Mon</v>
      </c>
      <c r="O154" s="8" t="str">
        <f t="shared" si="49"/>
        <v>day</v>
      </c>
      <c r="P154" s="8">
        <f t="shared" si="50"/>
        <v>10</v>
      </c>
      <c r="Q154" s="8">
        <f t="shared" si="51"/>
        <v>2021</v>
      </c>
      <c r="R154" s="8" t="s">
        <v>691</v>
      </c>
      <c r="S154" s="8">
        <f t="shared" si="52"/>
        <v>8</v>
      </c>
      <c r="T154" s="8">
        <f t="shared" si="53"/>
        <v>45</v>
      </c>
      <c r="U154" s="8">
        <f t="shared" si="54"/>
        <v>49</v>
      </c>
      <c r="V154" s="8">
        <v>57417</v>
      </c>
      <c r="W154" s="8">
        <v>69994</v>
      </c>
      <c r="X154" s="9" t="str">
        <f t="shared" si="55"/>
        <v>Highe Target</v>
      </c>
      <c r="Y154" s="9" t="str">
        <f t="shared" si="56"/>
        <v>Highe target</v>
      </c>
      <c r="Z154" s="9" t="str" cm="1">
        <f t="array" ref="Z154">_xlfn.IFS(W154&lt;60000,"LOWERTarget",W154&lt;80000,"Medium Target",W154,"Highe Target")</f>
        <v>Medium Target</v>
      </c>
      <c r="AA154" s="8" t="s">
        <v>64</v>
      </c>
      <c r="AB154" s="5" t="str">
        <f t="shared" si="57"/>
        <v>NEEDS IMPROVEMENT</v>
      </c>
      <c r="AC154" s="5" t="str">
        <f t="shared" si="58"/>
        <v>needs improvement</v>
      </c>
      <c r="AD154" s="5" t="str">
        <f t="shared" si="59"/>
        <v>Needs Improvement</v>
      </c>
      <c r="AF154" s="6"/>
    </row>
    <row r="155" ht="14.25" customHeight="1" spans="1:32">
      <c r="A155" s="8" t="s">
        <v>692</v>
      </c>
      <c r="B155" s="8" t="s">
        <v>693</v>
      </c>
      <c r="C155" s="9">
        <f t="shared" si="40"/>
        <v>12</v>
      </c>
      <c r="D155" s="8" t="s">
        <v>60</v>
      </c>
      <c r="E155" s="8" t="str">
        <f t="shared" si="41"/>
        <v>Arjun Chopra(E1072) - HR</v>
      </c>
      <c r="F155" s="9" t="str">
        <f t="shared" si="42"/>
        <v>Arjun Chopra(E1072) -</v>
      </c>
      <c r="G155" s="9" t="str">
        <f t="shared" si="43"/>
        <v>HR</v>
      </c>
      <c r="H155" s="9">
        <f t="shared" si="44"/>
        <v>21</v>
      </c>
      <c r="I155" s="9">
        <f t="shared" si="45"/>
        <v>3</v>
      </c>
      <c r="J155" s="8" t="s">
        <v>61</v>
      </c>
      <c r="K155" s="9" t="str">
        <f t="shared" si="46"/>
        <v>Chenn@i</v>
      </c>
      <c r="L155" s="8" t="s">
        <v>694</v>
      </c>
      <c r="M155" s="8" t="str">
        <f t="shared" si="47"/>
        <v>Saturday</v>
      </c>
      <c r="N155" s="8" t="str">
        <f t="shared" si="48"/>
        <v>Sat</v>
      </c>
      <c r="O155" s="8" t="str">
        <f t="shared" si="49"/>
        <v>day</v>
      </c>
      <c r="P155" s="8">
        <f t="shared" si="50"/>
        <v>6</v>
      </c>
      <c r="Q155" s="8">
        <f t="shared" si="51"/>
        <v>2024</v>
      </c>
      <c r="R155" s="8" t="s">
        <v>695</v>
      </c>
      <c r="S155" s="8">
        <f t="shared" si="52"/>
        <v>10</v>
      </c>
      <c r="T155" s="8">
        <f t="shared" si="53"/>
        <v>49</v>
      </c>
      <c r="U155" s="8">
        <f t="shared" si="54"/>
        <v>30</v>
      </c>
      <c r="V155" s="8">
        <v>84010</v>
      </c>
      <c r="W155" s="8">
        <v>70465</v>
      </c>
      <c r="X155" s="9" t="str">
        <f t="shared" si="55"/>
        <v>Highe Target</v>
      </c>
      <c r="Y155" s="9" t="str">
        <f t="shared" si="56"/>
        <v>Highe target</v>
      </c>
      <c r="Z155" s="9" t="str" cm="1">
        <f t="array" ref="Z155">_xlfn.IFS(W155&lt;60000,"LOWERTarget",W155&lt;80000,"Medium Target",W155,"Highe Target")</f>
        <v>Medium Target</v>
      </c>
      <c r="AA155" s="8" t="s">
        <v>243</v>
      </c>
      <c r="AB155" s="5" t="str">
        <f t="shared" si="57"/>
        <v>POSITIVE ATTITUDE</v>
      </c>
      <c r="AC155" s="5" t="str">
        <f t="shared" si="58"/>
        <v>positive attitude</v>
      </c>
      <c r="AD155" s="5" t="str">
        <f t="shared" si="59"/>
        <v>Positive Attitude</v>
      </c>
      <c r="AF155" s="6"/>
    </row>
    <row r="156" ht="14.25" customHeight="1" spans="1:32">
      <c r="A156" s="8" t="s">
        <v>696</v>
      </c>
      <c r="B156" s="8" t="s">
        <v>697</v>
      </c>
      <c r="C156" s="9">
        <f t="shared" si="40"/>
        <v>14</v>
      </c>
      <c r="D156" s="8" t="s">
        <v>60</v>
      </c>
      <c r="E156" s="8" t="str">
        <f t="shared" si="41"/>
        <v>Siddharth Iyer(E1177) - HR</v>
      </c>
      <c r="F156" s="9" t="str">
        <f t="shared" si="42"/>
        <v>Siddharth Iyer(E1177) -</v>
      </c>
      <c r="G156" s="9" t="str">
        <f t="shared" si="43"/>
        <v>HR</v>
      </c>
      <c r="H156" s="9">
        <f t="shared" si="44"/>
        <v>23</v>
      </c>
      <c r="I156" s="9">
        <f t="shared" si="45"/>
        <v>3</v>
      </c>
      <c r="J156" s="8" t="s">
        <v>53</v>
      </c>
      <c r="K156" s="9" t="str">
        <f t="shared" si="46"/>
        <v>Delhi</v>
      </c>
      <c r="L156" s="8" t="s">
        <v>698</v>
      </c>
      <c r="M156" s="8" t="str">
        <f t="shared" si="47"/>
        <v>Saturday</v>
      </c>
      <c r="N156" s="8" t="str">
        <f t="shared" si="48"/>
        <v>Sat</v>
      </c>
      <c r="O156" s="8" t="str">
        <f t="shared" si="49"/>
        <v>day</v>
      </c>
      <c r="P156" s="8">
        <f t="shared" si="50"/>
        <v>3</v>
      </c>
      <c r="Q156" s="8">
        <f t="shared" si="51"/>
        <v>2021</v>
      </c>
      <c r="R156" s="8" t="s">
        <v>699</v>
      </c>
      <c r="S156" s="8">
        <f t="shared" si="52"/>
        <v>9</v>
      </c>
      <c r="T156" s="8">
        <f t="shared" si="53"/>
        <v>58</v>
      </c>
      <c r="U156" s="8">
        <f t="shared" si="54"/>
        <v>53</v>
      </c>
      <c r="V156" s="8">
        <v>65057</v>
      </c>
      <c r="W156" s="8">
        <v>70962</v>
      </c>
      <c r="X156" s="9" t="str">
        <f t="shared" si="55"/>
        <v>Highe Target</v>
      </c>
      <c r="Y156" s="9" t="str">
        <f t="shared" si="56"/>
        <v>Highe target</v>
      </c>
      <c r="Z156" s="9" t="str" cm="1">
        <f t="array" ref="Z156">_xlfn.IFS(W156&lt;60000,"LOWERTarget",W156&lt;80000,"Medium Target",W156,"Highe Target")</f>
        <v>Medium Target</v>
      </c>
      <c r="AA156" s="8" t="s">
        <v>118</v>
      </c>
      <c r="AB156" s="5" t="str">
        <f t="shared" si="57"/>
        <v>CUSTOMER FOCUSED</v>
      </c>
      <c r="AC156" s="5" t="str">
        <f t="shared" si="58"/>
        <v>customer focused</v>
      </c>
      <c r="AD156" s="5" t="str">
        <f t="shared" si="59"/>
        <v>Customer Focused</v>
      </c>
      <c r="AF156" s="6"/>
    </row>
    <row r="157" ht="14.25" customHeight="1" spans="1:32">
      <c r="A157" s="8" t="s">
        <v>700</v>
      </c>
      <c r="B157" s="8" t="s">
        <v>701</v>
      </c>
      <c r="C157" s="9">
        <f t="shared" si="40"/>
        <v>12</v>
      </c>
      <c r="D157" s="8" t="s">
        <v>44</v>
      </c>
      <c r="E157" s="8" t="str">
        <f t="shared" si="41"/>
        <v>Pooja Mishra(E1105) - Marketing</v>
      </c>
      <c r="F157" s="9" t="str">
        <f t="shared" si="42"/>
        <v>Pooja Mishra(E1105) -</v>
      </c>
      <c r="G157" s="9" t="str">
        <f t="shared" si="43"/>
        <v>Marketing</v>
      </c>
      <c r="H157" s="9">
        <f t="shared" si="44"/>
        <v>21</v>
      </c>
      <c r="I157" s="9">
        <f t="shared" si="45"/>
        <v>10</v>
      </c>
      <c r="J157" s="8" t="s">
        <v>45</v>
      </c>
      <c r="K157" s="9" t="str">
        <f t="shared" si="46"/>
        <v>B@ngalore</v>
      </c>
      <c r="L157" s="8" t="s">
        <v>702</v>
      </c>
      <c r="M157" s="8" t="str">
        <f t="shared" si="47"/>
        <v>Saturday</v>
      </c>
      <c r="N157" s="8" t="str">
        <f t="shared" si="48"/>
        <v>Sat</v>
      </c>
      <c r="O157" s="8" t="str">
        <f t="shared" si="49"/>
        <v>day</v>
      </c>
      <c r="P157" s="8">
        <f t="shared" si="50"/>
        <v>4</v>
      </c>
      <c r="Q157" s="8">
        <f t="shared" si="51"/>
        <v>2023</v>
      </c>
      <c r="R157" s="8" t="s">
        <v>703</v>
      </c>
      <c r="S157" s="8">
        <f t="shared" si="52"/>
        <v>8</v>
      </c>
      <c r="T157" s="8">
        <f t="shared" si="53"/>
        <v>20</v>
      </c>
      <c r="U157" s="8">
        <f t="shared" si="54"/>
        <v>47</v>
      </c>
      <c r="V157" s="8">
        <v>80980</v>
      </c>
      <c r="W157" s="8">
        <v>70996</v>
      </c>
      <c r="X157" s="9" t="str">
        <f t="shared" si="55"/>
        <v>Highe Target</v>
      </c>
      <c r="Y157" s="9" t="str">
        <f t="shared" si="56"/>
        <v>Highe target</v>
      </c>
      <c r="Z157" s="9" t="str" cm="1">
        <f t="array" ref="Z157">_xlfn.IFS(W157&lt;60000,"LOWERTarget",W157&lt;80000,"Medium Target",W157,"Highe Target")</f>
        <v>Medium Target</v>
      </c>
      <c r="AA157" s="8" t="s">
        <v>39</v>
      </c>
      <c r="AB157" s="5" t="str">
        <f t="shared" si="57"/>
        <v>DETAILED ANALYSIS</v>
      </c>
      <c r="AC157" s="5" t="str">
        <f t="shared" si="58"/>
        <v>detailed analysis</v>
      </c>
      <c r="AD157" s="5" t="str">
        <f t="shared" si="59"/>
        <v>Detailed Analysis</v>
      </c>
      <c r="AF157" s="6"/>
    </row>
    <row r="158" ht="14.25" customHeight="1" spans="1:32">
      <c r="A158" s="8" t="s">
        <v>704</v>
      </c>
      <c r="B158" s="8" t="s">
        <v>705</v>
      </c>
      <c r="C158" s="9">
        <f t="shared" si="40"/>
        <v>9</v>
      </c>
      <c r="D158" s="8" t="s">
        <v>60</v>
      </c>
      <c r="E158" s="8" t="str">
        <f t="shared" si="41"/>
        <v>Amit Nair(E1066) - HR</v>
      </c>
      <c r="F158" s="9" t="str">
        <f t="shared" si="42"/>
        <v>Amit Nair(E1066) -</v>
      </c>
      <c r="G158" s="9" t="str">
        <f t="shared" si="43"/>
        <v>HR</v>
      </c>
      <c r="H158" s="9">
        <f t="shared" si="44"/>
        <v>18</v>
      </c>
      <c r="I158" s="9">
        <f t="shared" si="45"/>
        <v>3</v>
      </c>
      <c r="J158" s="8" t="s">
        <v>153</v>
      </c>
      <c r="K158" s="9" t="str">
        <f t="shared" si="46"/>
        <v>Mumb@i</v>
      </c>
      <c r="L158" s="8" t="s">
        <v>706</v>
      </c>
      <c r="M158" s="8" t="str">
        <f t="shared" si="47"/>
        <v>Wednesday</v>
      </c>
      <c r="N158" s="8" t="str">
        <f t="shared" si="48"/>
        <v>Wed</v>
      </c>
      <c r="O158" s="8" t="str">
        <f t="shared" si="49"/>
        <v>day</v>
      </c>
      <c r="P158" s="8">
        <f t="shared" si="50"/>
        <v>6</v>
      </c>
      <c r="Q158" s="8">
        <f t="shared" si="51"/>
        <v>2024</v>
      </c>
      <c r="R158" s="8" t="s">
        <v>707</v>
      </c>
      <c r="S158" s="8">
        <f t="shared" si="52"/>
        <v>8</v>
      </c>
      <c r="T158" s="8">
        <f t="shared" si="53"/>
        <v>15</v>
      </c>
      <c r="U158" s="8">
        <f t="shared" si="54"/>
        <v>8</v>
      </c>
      <c r="V158" s="8">
        <v>63531</v>
      </c>
      <c r="W158" s="8">
        <v>71035</v>
      </c>
      <c r="X158" s="9" t="str">
        <f t="shared" si="55"/>
        <v>Highe Target</v>
      </c>
      <c r="Y158" s="9" t="str">
        <f t="shared" si="56"/>
        <v>Highe target</v>
      </c>
      <c r="Z158" s="9" t="str" cm="1">
        <f t="array" ref="Z158">_xlfn.IFS(W158&lt;60000,"LOWERTarget",W158&lt;80000,"Medium Target",W158,"Highe Target")</f>
        <v>Medium Target</v>
      </c>
      <c r="AA158" s="8" t="s">
        <v>79</v>
      </c>
      <c r="AB158" s="5" t="str">
        <f t="shared" si="57"/>
        <v>EXCELLENT LEADERSHIP</v>
      </c>
      <c r="AC158" s="5" t="str">
        <f t="shared" si="58"/>
        <v>excellent leadership</v>
      </c>
      <c r="AD158" s="5" t="str">
        <f t="shared" si="59"/>
        <v>Excellent Leadership</v>
      </c>
      <c r="AF158" s="6"/>
    </row>
    <row r="159" ht="14.25" customHeight="1" spans="1:32">
      <c r="A159" s="8" t="s">
        <v>708</v>
      </c>
      <c r="B159" s="8" t="s">
        <v>135</v>
      </c>
      <c r="C159" s="9">
        <f t="shared" si="40"/>
        <v>12</v>
      </c>
      <c r="D159" s="8" t="s">
        <v>93</v>
      </c>
      <c r="E159" s="8" t="str">
        <f t="shared" si="41"/>
        <v>Aakash Patel(E1218) - Sales</v>
      </c>
      <c r="F159" s="9" t="str">
        <f t="shared" si="42"/>
        <v>Aakash Patel(E1218) -</v>
      </c>
      <c r="G159" s="9" t="str">
        <f t="shared" si="43"/>
        <v>Sales</v>
      </c>
      <c r="H159" s="9">
        <f t="shared" si="44"/>
        <v>21</v>
      </c>
      <c r="I159" s="9">
        <f t="shared" si="45"/>
        <v>6</v>
      </c>
      <c r="J159" s="8" t="s">
        <v>153</v>
      </c>
      <c r="K159" s="9" t="str">
        <f t="shared" si="46"/>
        <v>Mumb@i</v>
      </c>
      <c r="L159" s="8" t="s">
        <v>709</v>
      </c>
      <c r="M159" s="8" t="str">
        <f t="shared" si="47"/>
        <v>Friday</v>
      </c>
      <c r="N159" s="8" t="str">
        <f t="shared" si="48"/>
        <v>Fri</v>
      </c>
      <c r="O159" s="8" t="str">
        <f t="shared" si="49"/>
        <v>day</v>
      </c>
      <c r="P159" s="8">
        <f t="shared" si="50"/>
        <v>10</v>
      </c>
      <c r="Q159" s="8">
        <f t="shared" si="51"/>
        <v>2021</v>
      </c>
      <c r="R159" s="8" t="s">
        <v>710</v>
      </c>
      <c r="S159" s="8">
        <f t="shared" si="52"/>
        <v>10</v>
      </c>
      <c r="T159" s="8">
        <f t="shared" si="53"/>
        <v>21</v>
      </c>
      <c r="U159" s="8">
        <f t="shared" si="54"/>
        <v>51</v>
      </c>
      <c r="V159" s="8">
        <v>90081</v>
      </c>
      <c r="W159" s="8">
        <v>71047</v>
      </c>
      <c r="X159" s="9" t="str">
        <f t="shared" si="55"/>
        <v>Highe Target</v>
      </c>
      <c r="Y159" s="9" t="str">
        <f t="shared" si="56"/>
        <v>Highe target</v>
      </c>
      <c r="Z159" s="9" t="str" cm="1">
        <f t="array" ref="Z159">_xlfn.IFS(W159&lt;60000,"LOWERTarget",W159&lt;80000,"Medium Target",W159,"Highe Target")</f>
        <v>Medium Target</v>
      </c>
      <c r="AA159" s="8" t="s">
        <v>179</v>
      </c>
      <c r="AB159" s="5" t="str">
        <f t="shared" si="57"/>
        <v>HELPFUL ATTITUDE</v>
      </c>
      <c r="AC159" s="5" t="str">
        <f t="shared" si="58"/>
        <v>helpful attitude</v>
      </c>
      <c r="AD159" s="5" t="str">
        <f t="shared" si="59"/>
        <v>Helpful Attitude</v>
      </c>
      <c r="AF159" s="6"/>
    </row>
    <row r="160" ht="14.25" customHeight="1" spans="1:32">
      <c r="A160" s="8" t="s">
        <v>711</v>
      </c>
      <c r="B160" s="8" t="s">
        <v>712</v>
      </c>
      <c r="C160" s="9">
        <f t="shared" si="40"/>
        <v>11</v>
      </c>
      <c r="D160" s="8" t="s">
        <v>93</v>
      </c>
      <c r="E160" s="8" t="str">
        <f t="shared" si="41"/>
        <v>Nidhi Verma(E1274) - Sales</v>
      </c>
      <c r="F160" s="9" t="str">
        <f t="shared" si="42"/>
        <v>Nidhi Verma(E1274) -</v>
      </c>
      <c r="G160" s="9" t="str">
        <f t="shared" si="43"/>
        <v>Sales</v>
      </c>
      <c r="H160" s="9">
        <f t="shared" si="44"/>
        <v>20</v>
      </c>
      <c r="I160" s="9">
        <f t="shared" si="45"/>
        <v>6</v>
      </c>
      <c r="J160" s="8" t="s">
        <v>76</v>
      </c>
      <c r="K160" s="9" t="str">
        <f t="shared" si="46"/>
        <v>Pune</v>
      </c>
      <c r="L160" s="8" t="s">
        <v>713</v>
      </c>
      <c r="M160" s="8" t="str">
        <f t="shared" si="47"/>
        <v>Tuesday</v>
      </c>
      <c r="N160" s="8" t="str">
        <f t="shared" si="48"/>
        <v>Tue</v>
      </c>
      <c r="O160" s="8" t="str">
        <f t="shared" si="49"/>
        <v>day</v>
      </c>
      <c r="P160" s="8">
        <f t="shared" si="50"/>
        <v>4</v>
      </c>
      <c r="Q160" s="8">
        <f t="shared" si="51"/>
        <v>2023</v>
      </c>
      <c r="R160" s="8" t="s">
        <v>714</v>
      </c>
      <c r="S160" s="8">
        <f t="shared" si="52"/>
        <v>9</v>
      </c>
      <c r="T160" s="8">
        <f t="shared" si="53"/>
        <v>24</v>
      </c>
      <c r="U160" s="8">
        <f t="shared" si="54"/>
        <v>35</v>
      </c>
      <c r="V160" s="8">
        <v>59872</v>
      </c>
      <c r="W160" s="8">
        <v>71195</v>
      </c>
      <c r="X160" s="9" t="str">
        <f t="shared" si="55"/>
        <v>Highe Target</v>
      </c>
      <c r="Y160" s="9" t="str">
        <f t="shared" si="56"/>
        <v>Highe target</v>
      </c>
      <c r="Z160" s="9" t="str" cm="1">
        <f t="array" ref="Z160">_xlfn.IFS(W160&lt;60000,"LOWERTarget",W160&lt;80000,"Medium Target",W160,"Highe Target")</f>
        <v>Medium Target</v>
      </c>
      <c r="AA160" s="8" t="s">
        <v>138</v>
      </c>
      <c r="AB160" s="5" t="str">
        <f t="shared" si="57"/>
        <v>GOOD TEAMWORK</v>
      </c>
      <c r="AC160" s="5" t="str">
        <f t="shared" si="58"/>
        <v>good teamwork</v>
      </c>
      <c r="AD160" s="5" t="str">
        <f t="shared" si="59"/>
        <v>Good Teamwork</v>
      </c>
      <c r="AF160" s="6"/>
    </row>
    <row r="161" ht="14.25" customHeight="1" spans="1:32">
      <c r="A161" s="8" t="s">
        <v>715</v>
      </c>
      <c r="B161" s="8" t="s">
        <v>716</v>
      </c>
      <c r="C161" s="9">
        <f t="shared" si="40"/>
        <v>12</v>
      </c>
      <c r="D161" s="8" t="s">
        <v>93</v>
      </c>
      <c r="E161" s="8" t="str">
        <f t="shared" si="41"/>
        <v>Kavita Kumar(E1287) - Sales</v>
      </c>
      <c r="F161" s="9" t="str">
        <f t="shared" si="42"/>
        <v>Kavita Kumar(E1287) -</v>
      </c>
      <c r="G161" s="9" t="str">
        <f t="shared" si="43"/>
        <v>Sales</v>
      </c>
      <c r="H161" s="9">
        <f t="shared" si="44"/>
        <v>21</v>
      </c>
      <c r="I161" s="9">
        <f t="shared" si="45"/>
        <v>6</v>
      </c>
      <c r="J161" s="8" t="s">
        <v>53</v>
      </c>
      <c r="K161" s="9" t="str">
        <f t="shared" si="46"/>
        <v>Delhi</v>
      </c>
      <c r="L161" s="8" t="s">
        <v>717</v>
      </c>
      <c r="M161" s="8" t="str">
        <f t="shared" si="47"/>
        <v>Saturday</v>
      </c>
      <c r="N161" s="8" t="str">
        <f t="shared" si="48"/>
        <v>Sat</v>
      </c>
      <c r="O161" s="8" t="str">
        <f t="shared" si="49"/>
        <v>day</v>
      </c>
      <c r="P161" s="8">
        <f t="shared" si="50"/>
        <v>6</v>
      </c>
      <c r="Q161" s="8">
        <f t="shared" si="51"/>
        <v>2023</v>
      </c>
      <c r="R161" s="8" t="s">
        <v>718</v>
      </c>
      <c r="S161" s="8">
        <f t="shared" si="52"/>
        <v>9</v>
      </c>
      <c r="T161" s="8">
        <f t="shared" si="53"/>
        <v>26</v>
      </c>
      <c r="U161" s="8">
        <f t="shared" si="54"/>
        <v>19</v>
      </c>
      <c r="V161" s="8">
        <v>61775</v>
      </c>
      <c r="W161" s="8">
        <v>71734</v>
      </c>
      <c r="X161" s="9" t="str">
        <f t="shared" si="55"/>
        <v>Highe Target</v>
      </c>
      <c r="Y161" s="9" t="str">
        <f t="shared" si="56"/>
        <v>Highe target</v>
      </c>
      <c r="Z161" s="9" t="str" cm="1">
        <f t="array" ref="Z161">_xlfn.IFS(W161&lt;60000,"LOWERTarget",W161&lt;80000,"Medium Target",W161,"Highe Target")</f>
        <v>Medium Target</v>
      </c>
      <c r="AA161" s="8" t="s">
        <v>220</v>
      </c>
      <c r="AB161" s="5" t="str">
        <f t="shared" si="57"/>
        <v>   CREATIVE IDEAS   </v>
      </c>
      <c r="AC161" s="5" t="str">
        <f t="shared" si="58"/>
        <v>   creative ideas   </v>
      </c>
      <c r="AD161" s="5" t="str">
        <f t="shared" si="59"/>
        <v>   Creative Ideas   </v>
      </c>
      <c r="AF161" s="6"/>
    </row>
    <row r="162" ht="14.25" customHeight="1" spans="1:32">
      <c r="A162" s="8" t="s">
        <v>719</v>
      </c>
      <c r="B162" s="8" t="s">
        <v>720</v>
      </c>
      <c r="C162" s="9">
        <f t="shared" si="40"/>
        <v>12</v>
      </c>
      <c r="D162" s="8" t="s">
        <v>35</v>
      </c>
      <c r="E162" s="8" t="str">
        <f t="shared" si="41"/>
        <v>Aditya Patel(E1022) - Finance</v>
      </c>
      <c r="F162" s="9" t="str">
        <f t="shared" si="42"/>
        <v>Aditya Patel(E1022) -</v>
      </c>
      <c r="G162" s="9" t="str">
        <f t="shared" si="43"/>
        <v>Finance</v>
      </c>
      <c r="H162" s="9">
        <f t="shared" si="44"/>
        <v>21</v>
      </c>
      <c r="I162" s="9">
        <f t="shared" si="45"/>
        <v>8</v>
      </c>
      <c r="J162" s="8" t="s">
        <v>76</v>
      </c>
      <c r="K162" s="9" t="str">
        <f t="shared" si="46"/>
        <v>Pune</v>
      </c>
      <c r="L162" s="8" t="s">
        <v>721</v>
      </c>
      <c r="M162" s="8" t="str">
        <f t="shared" si="47"/>
        <v>Sunday</v>
      </c>
      <c r="N162" s="8" t="str">
        <f t="shared" si="48"/>
        <v>Sun</v>
      </c>
      <c r="O162" s="8" t="str">
        <f t="shared" si="49"/>
        <v>day</v>
      </c>
      <c r="P162" s="8">
        <f t="shared" si="50"/>
        <v>11</v>
      </c>
      <c r="Q162" s="8">
        <f t="shared" si="51"/>
        <v>2023</v>
      </c>
      <c r="R162" s="8" t="s">
        <v>722</v>
      </c>
      <c r="S162" s="8">
        <f t="shared" si="52"/>
        <v>8</v>
      </c>
      <c r="T162" s="8">
        <f t="shared" si="53"/>
        <v>17</v>
      </c>
      <c r="U162" s="8">
        <f t="shared" si="54"/>
        <v>42</v>
      </c>
      <c r="V162" s="8">
        <v>70852</v>
      </c>
      <c r="W162" s="8">
        <v>71812</v>
      </c>
      <c r="X162" s="9" t="str">
        <f t="shared" si="55"/>
        <v>Highe Target</v>
      </c>
      <c r="Y162" s="9" t="str">
        <f t="shared" si="56"/>
        <v>Highe target</v>
      </c>
      <c r="Z162" s="9" t="str" cm="1">
        <f t="array" ref="Z162">_xlfn.IFS(W162&lt;60000,"LOWERTarget",W162&lt;80000,"Medium Target",W162,"Highe Target")</f>
        <v>Medium Target</v>
      </c>
      <c r="AA162" s="8" t="s">
        <v>229</v>
      </c>
      <c r="AB162" s="5" t="str">
        <f t="shared" si="57"/>
        <v>STRONG PRESENTATION</v>
      </c>
      <c r="AC162" s="5" t="str">
        <f t="shared" si="58"/>
        <v>strong presentation</v>
      </c>
      <c r="AD162" s="5" t="str">
        <f t="shared" si="59"/>
        <v>Strong Presentation</v>
      </c>
      <c r="AF162" s="6"/>
    </row>
    <row r="163" ht="14.25" customHeight="1" spans="1:32">
      <c r="A163" s="8" t="s">
        <v>723</v>
      </c>
      <c r="B163" s="8" t="s">
        <v>724</v>
      </c>
      <c r="C163" s="9">
        <f t="shared" si="40"/>
        <v>12</v>
      </c>
      <c r="D163" s="8" t="s">
        <v>44</v>
      </c>
      <c r="E163" s="8" t="str">
        <f t="shared" si="41"/>
        <v>Rohan Saxena(E1244) - Marketing</v>
      </c>
      <c r="F163" s="9" t="str">
        <f t="shared" si="42"/>
        <v>Rohan Saxena(E1244) -</v>
      </c>
      <c r="G163" s="9" t="str">
        <f t="shared" si="43"/>
        <v>Marketing</v>
      </c>
      <c r="H163" s="9">
        <f t="shared" si="44"/>
        <v>21</v>
      </c>
      <c r="I163" s="9">
        <f t="shared" si="45"/>
        <v>10</v>
      </c>
      <c r="J163" s="8" t="s">
        <v>76</v>
      </c>
      <c r="K163" s="9" t="str">
        <f t="shared" si="46"/>
        <v>Pune</v>
      </c>
      <c r="L163" s="8" t="s">
        <v>207</v>
      </c>
      <c r="M163" s="8" t="str">
        <f t="shared" si="47"/>
        <v>Friday</v>
      </c>
      <c r="N163" s="8" t="str">
        <f t="shared" si="48"/>
        <v>Fri</v>
      </c>
      <c r="O163" s="8" t="str">
        <f t="shared" si="49"/>
        <v>day</v>
      </c>
      <c r="P163" s="8">
        <f t="shared" si="50"/>
        <v>10</v>
      </c>
      <c r="Q163" s="8">
        <f t="shared" si="51"/>
        <v>2024</v>
      </c>
      <c r="R163" s="8" t="s">
        <v>725</v>
      </c>
      <c r="S163" s="8">
        <f t="shared" si="52"/>
        <v>8</v>
      </c>
      <c r="T163" s="8">
        <f t="shared" si="53"/>
        <v>45</v>
      </c>
      <c r="U163" s="8">
        <f t="shared" si="54"/>
        <v>37</v>
      </c>
      <c r="V163" s="8">
        <v>62994</v>
      </c>
      <c r="W163" s="8">
        <v>72035</v>
      </c>
      <c r="X163" s="9" t="str">
        <f t="shared" si="55"/>
        <v>Highe Target</v>
      </c>
      <c r="Y163" s="9" t="str">
        <f t="shared" si="56"/>
        <v>Highe target</v>
      </c>
      <c r="Z163" s="9" t="str" cm="1">
        <f t="array" ref="Z163">_xlfn.IFS(W163&lt;60000,"LOWERTarget",W163&lt;80000,"Medium Target",W163,"Highe Target")</f>
        <v>Medium Target</v>
      </c>
      <c r="AA163" s="8" t="s">
        <v>71</v>
      </c>
      <c r="AB163" s="5" t="str">
        <f t="shared" si="57"/>
        <v>GREAT SUPPORT</v>
      </c>
      <c r="AC163" s="5" t="str">
        <f t="shared" si="58"/>
        <v>great support</v>
      </c>
      <c r="AD163" s="5" t="str">
        <f t="shared" si="59"/>
        <v>Great Support</v>
      </c>
      <c r="AF163" s="6"/>
    </row>
    <row r="164" ht="14.25" customHeight="1" spans="1:32">
      <c r="A164" s="8" t="s">
        <v>726</v>
      </c>
      <c r="B164" s="8" t="s">
        <v>210</v>
      </c>
      <c r="C164" s="9">
        <f t="shared" si="40"/>
        <v>11</v>
      </c>
      <c r="D164" s="8" t="s">
        <v>44</v>
      </c>
      <c r="E164" s="8" t="str">
        <f t="shared" si="41"/>
        <v>Meera Goyal(E1126) - Marketing</v>
      </c>
      <c r="F164" s="9" t="str">
        <f t="shared" si="42"/>
        <v>Meera Goyal(E1126) -</v>
      </c>
      <c r="G164" s="9" t="str">
        <f t="shared" si="43"/>
        <v>Marketing</v>
      </c>
      <c r="H164" s="9">
        <f t="shared" si="44"/>
        <v>20</v>
      </c>
      <c r="I164" s="9">
        <f t="shared" si="45"/>
        <v>10</v>
      </c>
      <c r="J164" s="8" t="s">
        <v>53</v>
      </c>
      <c r="K164" s="9" t="str">
        <f t="shared" si="46"/>
        <v>Delhi</v>
      </c>
      <c r="L164" s="8" t="s">
        <v>727</v>
      </c>
      <c r="M164" s="8" t="str">
        <f t="shared" si="47"/>
        <v>Sunday</v>
      </c>
      <c r="N164" s="8" t="str">
        <f t="shared" si="48"/>
        <v>Sun</v>
      </c>
      <c r="O164" s="8" t="str">
        <f t="shared" si="49"/>
        <v>day</v>
      </c>
      <c r="P164" s="8">
        <f t="shared" si="50"/>
        <v>4</v>
      </c>
      <c r="Q164" s="8">
        <f t="shared" si="51"/>
        <v>2023</v>
      </c>
      <c r="R164" s="8" t="s">
        <v>728</v>
      </c>
      <c r="S164" s="8">
        <f t="shared" si="52"/>
        <v>10</v>
      </c>
      <c r="T164" s="8">
        <f t="shared" si="53"/>
        <v>6</v>
      </c>
      <c r="U164" s="8">
        <f t="shared" si="54"/>
        <v>53</v>
      </c>
      <c r="V164" s="8">
        <v>83815</v>
      </c>
      <c r="W164" s="8">
        <v>72069</v>
      </c>
      <c r="X164" s="9" t="str">
        <f t="shared" si="55"/>
        <v>Highe Target</v>
      </c>
      <c r="Y164" s="9" t="str">
        <f t="shared" si="56"/>
        <v>Highe target</v>
      </c>
      <c r="Z164" s="9" t="str" cm="1">
        <f t="array" ref="Z164">_xlfn.IFS(W164&lt;60000,"LOWERTarget",W164&lt;80000,"Medium Target",W164,"Highe Target")</f>
        <v>Medium Target</v>
      </c>
      <c r="AA164" s="8" t="s">
        <v>64</v>
      </c>
      <c r="AB164" s="5" t="str">
        <f t="shared" si="57"/>
        <v>NEEDS IMPROVEMENT</v>
      </c>
      <c r="AC164" s="5" t="str">
        <f t="shared" si="58"/>
        <v>needs improvement</v>
      </c>
      <c r="AD164" s="5" t="str">
        <f t="shared" si="59"/>
        <v>Needs Improvement</v>
      </c>
      <c r="AF164" s="6"/>
    </row>
    <row r="165" ht="14.25" customHeight="1" spans="1:32">
      <c r="A165" s="8" t="s">
        <v>729</v>
      </c>
      <c r="B165" s="8" t="s">
        <v>730</v>
      </c>
      <c r="C165" s="9">
        <f t="shared" si="40"/>
        <v>13</v>
      </c>
      <c r="D165" s="8" t="s">
        <v>44</v>
      </c>
      <c r="E165" s="8" t="str">
        <f t="shared" si="41"/>
        <v>Aditya Bansal(E1188) - Marketing</v>
      </c>
      <c r="F165" s="9" t="str">
        <f t="shared" si="42"/>
        <v>Aditya Bansal(E1188) -</v>
      </c>
      <c r="G165" s="9" t="str">
        <f t="shared" si="43"/>
        <v>Marketing</v>
      </c>
      <c r="H165" s="9">
        <f t="shared" si="44"/>
        <v>22</v>
      </c>
      <c r="I165" s="9">
        <f t="shared" si="45"/>
        <v>10</v>
      </c>
      <c r="J165" s="8" t="s">
        <v>182</v>
      </c>
      <c r="K165" s="9" t="str">
        <f t="shared" si="46"/>
        <v>Kolk@ta</v>
      </c>
      <c r="L165" s="8" t="s">
        <v>731</v>
      </c>
      <c r="M165" s="8" t="str">
        <f t="shared" si="47"/>
        <v>Saturday</v>
      </c>
      <c r="N165" s="8" t="str">
        <f t="shared" si="48"/>
        <v>Sat</v>
      </c>
      <c r="O165" s="8" t="str">
        <f t="shared" si="49"/>
        <v>day</v>
      </c>
      <c r="P165" s="8">
        <f t="shared" si="50"/>
        <v>11</v>
      </c>
      <c r="Q165" s="8">
        <f t="shared" si="51"/>
        <v>2022</v>
      </c>
      <c r="R165" s="8" t="s">
        <v>732</v>
      </c>
      <c r="S165" s="8">
        <f t="shared" si="52"/>
        <v>8</v>
      </c>
      <c r="T165" s="8">
        <f t="shared" si="53"/>
        <v>31</v>
      </c>
      <c r="U165" s="8">
        <f t="shared" si="54"/>
        <v>44</v>
      </c>
      <c r="V165" s="8">
        <v>81679</v>
      </c>
      <c r="W165" s="8">
        <v>72605</v>
      </c>
      <c r="X165" s="9" t="str">
        <f t="shared" si="55"/>
        <v>Highe Target</v>
      </c>
      <c r="Y165" s="9" t="str">
        <f t="shared" si="56"/>
        <v>Highe target</v>
      </c>
      <c r="Z165" s="9" t="str" cm="1">
        <f t="array" ref="Z165">_xlfn.IFS(W165&lt;60000,"LOWERTarget",W165&lt;80000,"Medium Target",W165,"Highe Target")</f>
        <v>Medium Target</v>
      </c>
      <c r="AA165" s="8" t="s">
        <v>71</v>
      </c>
      <c r="AB165" s="5" t="str">
        <f t="shared" si="57"/>
        <v>GREAT SUPPORT</v>
      </c>
      <c r="AC165" s="5" t="str">
        <f t="shared" si="58"/>
        <v>great support</v>
      </c>
      <c r="AD165" s="5" t="str">
        <f t="shared" si="59"/>
        <v>Great Support</v>
      </c>
      <c r="AF165" s="6"/>
    </row>
    <row r="166" ht="14.25" customHeight="1" spans="1:32">
      <c r="A166" s="8" t="s">
        <v>733</v>
      </c>
      <c r="B166" s="8" t="s">
        <v>734</v>
      </c>
      <c r="C166" s="9">
        <f t="shared" si="40"/>
        <v>12</v>
      </c>
      <c r="D166" s="8" t="s">
        <v>35</v>
      </c>
      <c r="E166" s="8" t="str">
        <f t="shared" si="41"/>
        <v>Rohan Mishra(E1212) - Finance</v>
      </c>
      <c r="F166" s="9" t="str">
        <f t="shared" si="42"/>
        <v>Rohan Mishra(E1212) -</v>
      </c>
      <c r="G166" s="9" t="str">
        <f t="shared" si="43"/>
        <v>Finance</v>
      </c>
      <c r="H166" s="9">
        <f t="shared" si="44"/>
        <v>21</v>
      </c>
      <c r="I166" s="9">
        <f t="shared" si="45"/>
        <v>8</v>
      </c>
      <c r="J166" s="8" t="s">
        <v>45</v>
      </c>
      <c r="K166" s="9" t="str">
        <f t="shared" si="46"/>
        <v>B@ngalore</v>
      </c>
      <c r="L166" s="8" t="s">
        <v>735</v>
      </c>
      <c r="M166" s="8" t="str">
        <f t="shared" si="47"/>
        <v>Tuesday</v>
      </c>
      <c r="N166" s="8" t="str">
        <f t="shared" si="48"/>
        <v>Tue</v>
      </c>
      <c r="O166" s="8" t="str">
        <f t="shared" si="49"/>
        <v>day</v>
      </c>
      <c r="P166" s="8">
        <f t="shared" si="50"/>
        <v>11</v>
      </c>
      <c r="Q166" s="8">
        <f t="shared" si="51"/>
        <v>2021</v>
      </c>
      <c r="R166" s="8" t="s">
        <v>736</v>
      </c>
      <c r="S166" s="8">
        <f t="shared" si="52"/>
        <v>9</v>
      </c>
      <c r="T166" s="8">
        <f t="shared" si="53"/>
        <v>32</v>
      </c>
      <c r="U166" s="8">
        <f t="shared" si="54"/>
        <v>29</v>
      </c>
      <c r="V166" s="8">
        <v>77906</v>
      </c>
      <c r="W166" s="8">
        <v>72686</v>
      </c>
      <c r="X166" s="9" t="str">
        <f t="shared" si="55"/>
        <v>Highe Target</v>
      </c>
      <c r="Y166" s="9" t="str">
        <f t="shared" si="56"/>
        <v>Highe target</v>
      </c>
      <c r="Z166" s="9" t="str" cm="1">
        <f t="array" ref="Z166">_xlfn.IFS(W166&lt;60000,"LOWERTarget",W166&lt;80000,"Medium Target",W166,"Highe Target")</f>
        <v>Medium Target</v>
      </c>
      <c r="AA166" s="8" t="s">
        <v>179</v>
      </c>
      <c r="AB166" s="5" t="str">
        <f t="shared" si="57"/>
        <v>HELPFUL ATTITUDE</v>
      </c>
      <c r="AC166" s="5" t="str">
        <f t="shared" si="58"/>
        <v>helpful attitude</v>
      </c>
      <c r="AD166" s="5" t="str">
        <f t="shared" si="59"/>
        <v>Helpful Attitude</v>
      </c>
      <c r="AF166" s="6"/>
    </row>
    <row r="167" ht="14.25" customHeight="1" spans="1:32">
      <c r="A167" s="8" t="s">
        <v>737</v>
      </c>
      <c r="B167" s="8" t="s">
        <v>738</v>
      </c>
      <c r="C167" s="9">
        <f t="shared" si="40"/>
        <v>11</v>
      </c>
      <c r="D167" s="8" t="s">
        <v>35</v>
      </c>
      <c r="E167" s="8" t="str">
        <f t="shared" si="41"/>
        <v>Arjun Mehta(E1266) - Finance</v>
      </c>
      <c r="F167" s="9" t="str">
        <f t="shared" si="42"/>
        <v>Arjun Mehta(E1266) -</v>
      </c>
      <c r="G167" s="9" t="str">
        <f t="shared" si="43"/>
        <v>Finance</v>
      </c>
      <c r="H167" s="9">
        <f t="shared" si="44"/>
        <v>20</v>
      </c>
      <c r="I167" s="9">
        <f t="shared" si="45"/>
        <v>8</v>
      </c>
      <c r="J167" s="8" t="s">
        <v>45</v>
      </c>
      <c r="K167" s="9" t="str">
        <f t="shared" si="46"/>
        <v>B@ngalore</v>
      </c>
      <c r="L167" s="8" t="s">
        <v>739</v>
      </c>
      <c r="M167" s="8" t="str">
        <f t="shared" si="47"/>
        <v>Friday</v>
      </c>
      <c r="N167" s="8" t="str">
        <f t="shared" si="48"/>
        <v>Fri</v>
      </c>
      <c r="O167" s="8" t="str">
        <f t="shared" si="49"/>
        <v>day</v>
      </c>
      <c r="P167" s="8">
        <f t="shared" si="50"/>
        <v>2</v>
      </c>
      <c r="Q167" s="8">
        <f t="shared" si="51"/>
        <v>2023</v>
      </c>
      <c r="R167" s="8" t="s">
        <v>740</v>
      </c>
      <c r="S167" s="8">
        <f t="shared" si="52"/>
        <v>10</v>
      </c>
      <c r="T167" s="8">
        <f t="shared" si="53"/>
        <v>53</v>
      </c>
      <c r="U167" s="8">
        <f t="shared" si="54"/>
        <v>15</v>
      </c>
      <c r="V167" s="8">
        <v>79844</v>
      </c>
      <c r="W167" s="8">
        <v>72722</v>
      </c>
      <c r="X167" s="9" t="str">
        <f t="shared" si="55"/>
        <v>Highe Target</v>
      </c>
      <c r="Y167" s="9" t="str">
        <f t="shared" si="56"/>
        <v>Highe target</v>
      </c>
      <c r="Z167" s="9" t="str" cm="1">
        <f t="array" ref="Z167">_xlfn.IFS(W167&lt;60000,"LOWERTarget",W167&lt;80000,"Medium Target",W167,"Highe Target")</f>
        <v>Medium Target</v>
      </c>
      <c r="AA167" s="8" t="s">
        <v>64</v>
      </c>
      <c r="AB167" s="5" t="str">
        <f t="shared" si="57"/>
        <v>NEEDS IMPROVEMENT</v>
      </c>
      <c r="AC167" s="5" t="str">
        <f t="shared" si="58"/>
        <v>needs improvement</v>
      </c>
      <c r="AD167" s="5" t="str">
        <f t="shared" si="59"/>
        <v>Needs Improvement</v>
      </c>
      <c r="AF167" s="6"/>
    </row>
    <row r="168" ht="14.25" customHeight="1" spans="1:32">
      <c r="A168" s="8" t="s">
        <v>741</v>
      </c>
      <c r="B168" s="8" t="s">
        <v>742</v>
      </c>
      <c r="C168" s="9">
        <f t="shared" si="40"/>
        <v>11</v>
      </c>
      <c r="D168" s="8" t="s">
        <v>35</v>
      </c>
      <c r="E168" s="8" t="str">
        <f t="shared" si="41"/>
        <v>Varun Mehta(E1172) - Finance</v>
      </c>
      <c r="F168" s="9" t="str">
        <f t="shared" si="42"/>
        <v>Varun Mehta(E1172) -</v>
      </c>
      <c r="G168" s="9" t="str">
        <f t="shared" si="43"/>
        <v>Finance</v>
      </c>
      <c r="H168" s="9">
        <f t="shared" si="44"/>
        <v>20</v>
      </c>
      <c r="I168" s="9">
        <f t="shared" si="45"/>
        <v>8</v>
      </c>
      <c r="J168" s="8" t="s">
        <v>36</v>
      </c>
      <c r="K168" s="9" t="str">
        <f t="shared" si="46"/>
        <v>Ahmed@bad</v>
      </c>
      <c r="L168" s="8" t="s">
        <v>556</v>
      </c>
      <c r="M168" s="8" t="str">
        <f t="shared" si="47"/>
        <v>Friday</v>
      </c>
      <c r="N168" s="8" t="str">
        <f t="shared" si="48"/>
        <v>Fri</v>
      </c>
      <c r="O168" s="8" t="str">
        <f t="shared" si="49"/>
        <v>day</v>
      </c>
      <c r="P168" s="8">
        <f t="shared" si="50"/>
        <v>8</v>
      </c>
      <c r="Q168" s="8">
        <f t="shared" si="51"/>
        <v>2023</v>
      </c>
      <c r="R168" s="8" t="s">
        <v>743</v>
      </c>
      <c r="S168" s="8">
        <f t="shared" si="52"/>
        <v>9</v>
      </c>
      <c r="T168" s="8">
        <f t="shared" si="53"/>
        <v>49</v>
      </c>
      <c r="U168" s="8">
        <f t="shared" si="54"/>
        <v>24</v>
      </c>
      <c r="V168" s="8">
        <v>92525</v>
      </c>
      <c r="W168" s="8">
        <v>72958</v>
      </c>
      <c r="X168" s="9" t="str">
        <f t="shared" si="55"/>
        <v>Highe Target</v>
      </c>
      <c r="Y168" s="9" t="str">
        <f t="shared" si="56"/>
        <v>Highe target</v>
      </c>
      <c r="Z168" s="9" t="str" cm="1">
        <f t="array" ref="Z168">_xlfn.IFS(W168&lt;60000,"LOWERTarget",W168&lt;80000,"Medium Target",W168,"Highe Target")</f>
        <v>Medium Target</v>
      </c>
      <c r="AA168" s="8" t="s">
        <v>39</v>
      </c>
      <c r="AB168" s="5" t="str">
        <f t="shared" si="57"/>
        <v>DETAILED ANALYSIS</v>
      </c>
      <c r="AC168" s="5" t="str">
        <f t="shared" si="58"/>
        <v>detailed analysis</v>
      </c>
      <c r="AD168" s="5" t="str">
        <f t="shared" si="59"/>
        <v>Detailed Analysis</v>
      </c>
      <c r="AF168" s="6"/>
    </row>
    <row r="169" ht="14.25" customHeight="1" spans="1:32">
      <c r="A169" s="8" t="s">
        <v>744</v>
      </c>
      <c r="B169" s="8" t="s">
        <v>745</v>
      </c>
      <c r="C169" s="9">
        <f t="shared" si="40"/>
        <v>11</v>
      </c>
      <c r="D169" s="8" t="s">
        <v>35</v>
      </c>
      <c r="E169" s="8" t="str">
        <f t="shared" si="41"/>
        <v>Vikram Jain(E1136) - Finance</v>
      </c>
      <c r="F169" s="9" t="str">
        <f t="shared" si="42"/>
        <v>Vikram Jain(E1136) -</v>
      </c>
      <c r="G169" s="9" t="str">
        <f t="shared" si="43"/>
        <v>Finance</v>
      </c>
      <c r="H169" s="9">
        <f t="shared" si="44"/>
        <v>20</v>
      </c>
      <c r="I169" s="9">
        <f t="shared" si="45"/>
        <v>8</v>
      </c>
      <c r="J169" s="8" t="s">
        <v>182</v>
      </c>
      <c r="K169" s="9" t="str">
        <f t="shared" si="46"/>
        <v>Kolk@ta</v>
      </c>
      <c r="L169" s="8" t="s">
        <v>746</v>
      </c>
      <c r="M169" s="8" t="str">
        <f t="shared" si="47"/>
        <v>Wednesday</v>
      </c>
      <c r="N169" s="8" t="str">
        <f t="shared" si="48"/>
        <v>Wed</v>
      </c>
      <c r="O169" s="8" t="str">
        <f t="shared" si="49"/>
        <v>day</v>
      </c>
      <c r="P169" s="8">
        <f t="shared" si="50"/>
        <v>5</v>
      </c>
      <c r="Q169" s="8">
        <f t="shared" si="51"/>
        <v>2024</v>
      </c>
      <c r="R169" s="8" t="s">
        <v>747</v>
      </c>
      <c r="S169" s="8">
        <f t="shared" si="52"/>
        <v>10</v>
      </c>
      <c r="T169" s="8">
        <f t="shared" si="53"/>
        <v>18</v>
      </c>
      <c r="U169" s="8">
        <f t="shared" si="54"/>
        <v>29</v>
      </c>
      <c r="V169" s="8">
        <v>86324</v>
      </c>
      <c r="W169" s="8">
        <v>73131</v>
      </c>
      <c r="X169" s="9" t="str">
        <f t="shared" si="55"/>
        <v>Highe Target</v>
      </c>
      <c r="Y169" s="9" t="str">
        <f t="shared" si="56"/>
        <v>Highe target</v>
      </c>
      <c r="Z169" s="9" t="str" cm="1">
        <f t="array" ref="Z169">_xlfn.IFS(W169&lt;60000,"LOWERTarget",W169&lt;80000,"Medium Target",W169,"Highe Target")</f>
        <v>Medium Target</v>
      </c>
      <c r="AA169" s="8" t="s">
        <v>160</v>
      </c>
      <c r="AB169" s="5" t="str">
        <f t="shared" si="57"/>
        <v>GOOD COMMUNICATION</v>
      </c>
      <c r="AC169" s="5" t="str">
        <f t="shared" si="58"/>
        <v>good communication</v>
      </c>
      <c r="AD169" s="5" t="str">
        <f t="shared" si="59"/>
        <v>Good Communication</v>
      </c>
      <c r="AF169" s="6"/>
    </row>
    <row r="170" ht="14.25" customHeight="1" spans="1:32">
      <c r="A170" s="8" t="s">
        <v>748</v>
      </c>
      <c r="B170" s="8" t="s">
        <v>712</v>
      </c>
      <c r="C170" s="9">
        <f t="shared" si="40"/>
        <v>11</v>
      </c>
      <c r="D170" s="8" t="s">
        <v>35</v>
      </c>
      <c r="E170" s="8" t="str">
        <f t="shared" si="41"/>
        <v>Nidhi Verma(E1182) - Finance</v>
      </c>
      <c r="F170" s="9" t="str">
        <f t="shared" si="42"/>
        <v>Nidhi Verma(E1182) -</v>
      </c>
      <c r="G170" s="9" t="str">
        <f t="shared" si="43"/>
        <v>Finance</v>
      </c>
      <c r="H170" s="9">
        <f t="shared" si="44"/>
        <v>20</v>
      </c>
      <c r="I170" s="9">
        <f t="shared" si="45"/>
        <v>8</v>
      </c>
      <c r="J170" s="8" t="s">
        <v>76</v>
      </c>
      <c r="K170" s="9" t="str">
        <f t="shared" si="46"/>
        <v>Pune</v>
      </c>
      <c r="L170" s="8" t="s">
        <v>749</v>
      </c>
      <c r="M170" s="8" t="str">
        <f t="shared" si="47"/>
        <v>Thursday</v>
      </c>
      <c r="N170" s="8" t="str">
        <f t="shared" si="48"/>
        <v>Thu</v>
      </c>
      <c r="O170" s="8" t="str">
        <f t="shared" si="49"/>
        <v>day</v>
      </c>
      <c r="P170" s="8">
        <f t="shared" si="50"/>
        <v>12</v>
      </c>
      <c r="Q170" s="8">
        <f t="shared" si="51"/>
        <v>2023</v>
      </c>
      <c r="R170" s="8" t="s">
        <v>750</v>
      </c>
      <c r="S170" s="8">
        <f t="shared" si="52"/>
        <v>10</v>
      </c>
      <c r="T170" s="8">
        <f t="shared" si="53"/>
        <v>32</v>
      </c>
      <c r="U170" s="8">
        <f t="shared" si="54"/>
        <v>50</v>
      </c>
      <c r="V170" s="8">
        <v>59599</v>
      </c>
      <c r="W170" s="8">
        <v>73267</v>
      </c>
      <c r="X170" s="9" t="str">
        <f t="shared" si="55"/>
        <v>Highe Target</v>
      </c>
      <c r="Y170" s="9" t="str">
        <f t="shared" si="56"/>
        <v>Highe target</v>
      </c>
      <c r="Z170" s="9" t="str" cm="1">
        <f t="array" ref="Z170">_xlfn.IFS(W170&lt;60000,"LOWERTarget",W170&lt;80000,"Medium Target",W170,"Highe Target")</f>
        <v>Medium Target</v>
      </c>
      <c r="AA170" s="8" t="s">
        <v>39</v>
      </c>
      <c r="AB170" s="5" t="str">
        <f t="shared" si="57"/>
        <v>DETAILED ANALYSIS</v>
      </c>
      <c r="AC170" s="5" t="str">
        <f t="shared" si="58"/>
        <v>detailed analysis</v>
      </c>
      <c r="AD170" s="5" t="str">
        <f t="shared" si="59"/>
        <v>Detailed Analysis</v>
      </c>
      <c r="AF170" s="6"/>
    </row>
    <row r="171" ht="14.25" customHeight="1" spans="1:32">
      <c r="A171" s="8" t="s">
        <v>751</v>
      </c>
      <c r="B171" s="8" t="s">
        <v>752</v>
      </c>
      <c r="C171" s="9">
        <f t="shared" si="40"/>
        <v>13</v>
      </c>
      <c r="D171" s="8" t="s">
        <v>44</v>
      </c>
      <c r="E171" s="8" t="str">
        <f t="shared" si="41"/>
        <v>Deepak Chopra(E1147) - Marketing</v>
      </c>
      <c r="F171" s="9" t="str">
        <f t="shared" si="42"/>
        <v>Deepak Chopra(E1147) -</v>
      </c>
      <c r="G171" s="9" t="str">
        <f t="shared" si="43"/>
        <v>Marketing</v>
      </c>
      <c r="H171" s="9">
        <f t="shared" si="44"/>
        <v>22</v>
      </c>
      <c r="I171" s="9">
        <f t="shared" si="45"/>
        <v>10</v>
      </c>
      <c r="J171" s="8" t="s">
        <v>36</v>
      </c>
      <c r="K171" s="9" t="str">
        <f t="shared" si="46"/>
        <v>Ahmed@bad</v>
      </c>
      <c r="L171" s="8" t="s">
        <v>753</v>
      </c>
      <c r="M171" s="8" t="str">
        <f t="shared" si="47"/>
        <v>Saturday</v>
      </c>
      <c r="N171" s="8" t="str">
        <f t="shared" si="48"/>
        <v>Sat</v>
      </c>
      <c r="O171" s="8" t="str">
        <f t="shared" si="49"/>
        <v>day</v>
      </c>
      <c r="P171" s="8">
        <f t="shared" si="50"/>
        <v>4</v>
      </c>
      <c r="Q171" s="8">
        <f t="shared" si="51"/>
        <v>2023</v>
      </c>
      <c r="R171" s="8" t="s">
        <v>754</v>
      </c>
      <c r="S171" s="8">
        <f t="shared" si="52"/>
        <v>9</v>
      </c>
      <c r="T171" s="8">
        <f t="shared" si="53"/>
        <v>13</v>
      </c>
      <c r="U171" s="8">
        <f t="shared" si="54"/>
        <v>48</v>
      </c>
      <c r="V171" s="8">
        <v>66036</v>
      </c>
      <c r="W171" s="8">
        <v>73577</v>
      </c>
      <c r="X171" s="9" t="str">
        <f t="shared" si="55"/>
        <v>Highe Target</v>
      </c>
      <c r="Y171" s="9" t="str">
        <f t="shared" si="56"/>
        <v>Highe target</v>
      </c>
      <c r="Z171" s="9" t="str" cm="1">
        <f t="array" ref="Z171">_xlfn.IFS(W171&lt;60000,"LOWERTarget",W171&lt;80000,"Medium Target",W171,"Highe Target")</f>
        <v>Medium Target</v>
      </c>
      <c r="AA171" s="8" t="s">
        <v>48</v>
      </c>
      <c r="AB171" s="5" t="str">
        <f t="shared" si="57"/>
        <v>CREATIVE IDEAS</v>
      </c>
      <c r="AC171" s="5" t="str">
        <f t="shared" si="58"/>
        <v>creative ideas</v>
      </c>
      <c r="AD171" s="5" t="str">
        <f t="shared" si="59"/>
        <v>Creative Ideas</v>
      </c>
      <c r="AF171" s="6"/>
    </row>
    <row r="172" ht="14.25" customHeight="1" spans="1:32">
      <c r="A172" s="8" t="s">
        <v>755</v>
      </c>
      <c r="B172" s="8" t="s">
        <v>756</v>
      </c>
      <c r="C172" s="9">
        <f t="shared" si="40"/>
        <v>15</v>
      </c>
      <c r="D172" s="8" t="s">
        <v>60</v>
      </c>
      <c r="E172" s="8" t="str">
        <f t="shared" si="41"/>
        <v>Deepak Malhotra(E1051) - HR</v>
      </c>
      <c r="F172" s="9" t="str">
        <f t="shared" si="42"/>
        <v>Deepak Malhotra(E1051) -</v>
      </c>
      <c r="G172" s="9" t="str">
        <f t="shared" si="43"/>
        <v>HR</v>
      </c>
      <c r="H172" s="9">
        <f t="shared" si="44"/>
        <v>24</v>
      </c>
      <c r="I172" s="9">
        <f t="shared" si="45"/>
        <v>3</v>
      </c>
      <c r="J172" s="8" t="s">
        <v>36</v>
      </c>
      <c r="K172" s="9" t="str">
        <f t="shared" si="46"/>
        <v>Ahmed@bad</v>
      </c>
      <c r="L172" s="8" t="s">
        <v>757</v>
      </c>
      <c r="M172" s="8" t="str">
        <f t="shared" si="47"/>
        <v>Tuesday</v>
      </c>
      <c r="N172" s="8" t="str">
        <f t="shared" si="48"/>
        <v>Tue</v>
      </c>
      <c r="O172" s="8" t="str">
        <f t="shared" si="49"/>
        <v>day</v>
      </c>
      <c r="P172" s="8">
        <f t="shared" si="50"/>
        <v>12</v>
      </c>
      <c r="Q172" s="8">
        <f t="shared" si="51"/>
        <v>2021</v>
      </c>
      <c r="R172" s="8" t="s">
        <v>758</v>
      </c>
      <c r="S172" s="8">
        <f t="shared" si="52"/>
        <v>10</v>
      </c>
      <c r="T172" s="8">
        <f t="shared" si="53"/>
        <v>5</v>
      </c>
      <c r="U172" s="8">
        <f t="shared" si="54"/>
        <v>18</v>
      </c>
      <c r="V172" s="8">
        <v>80746</v>
      </c>
      <c r="W172" s="8">
        <v>73780</v>
      </c>
      <c r="X172" s="9" t="str">
        <f t="shared" si="55"/>
        <v>Highe Target</v>
      </c>
      <c r="Y172" s="9" t="str">
        <f t="shared" si="56"/>
        <v>Highe target</v>
      </c>
      <c r="Z172" s="9" t="str" cm="1">
        <f t="array" ref="Z172">_xlfn.IFS(W172&lt;60000,"LOWERTarget",W172&lt;80000,"Medium Target",W172,"Highe Target")</f>
        <v>Medium Target</v>
      </c>
      <c r="AA172" s="8" t="s">
        <v>160</v>
      </c>
      <c r="AB172" s="5" t="str">
        <f t="shared" si="57"/>
        <v>GOOD COMMUNICATION</v>
      </c>
      <c r="AC172" s="5" t="str">
        <f t="shared" si="58"/>
        <v>good communication</v>
      </c>
      <c r="AD172" s="5" t="str">
        <f t="shared" si="59"/>
        <v>Good Communication</v>
      </c>
      <c r="AF172" s="6"/>
    </row>
    <row r="173" ht="14.25" customHeight="1" spans="1:32">
      <c r="A173" s="8" t="s">
        <v>759</v>
      </c>
      <c r="B173" s="8" t="s">
        <v>345</v>
      </c>
      <c r="C173" s="9">
        <f t="shared" si="40"/>
        <v>11</v>
      </c>
      <c r="D173" s="8" t="s">
        <v>35</v>
      </c>
      <c r="E173" s="8" t="str">
        <f t="shared" si="41"/>
        <v>Rohan Patel(E1111) - Finance</v>
      </c>
      <c r="F173" s="9" t="str">
        <f t="shared" si="42"/>
        <v>Rohan Patel(E1111) -</v>
      </c>
      <c r="G173" s="9" t="str">
        <f t="shared" si="43"/>
        <v>Finance</v>
      </c>
      <c r="H173" s="9">
        <f t="shared" si="44"/>
        <v>20</v>
      </c>
      <c r="I173" s="9">
        <f t="shared" si="45"/>
        <v>8</v>
      </c>
      <c r="J173" s="8" t="s">
        <v>172</v>
      </c>
      <c r="K173" s="9" t="str">
        <f t="shared" si="46"/>
        <v>Hyder@bad</v>
      </c>
      <c r="L173" s="8" t="s">
        <v>760</v>
      </c>
      <c r="M173" s="8" t="str">
        <f t="shared" si="47"/>
        <v>Tuesday</v>
      </c>
      <c r="N173" s="8" t="str">
        <f t="shared" si="48"/>
        <v>Tue</v>
      </c>
      <c r="O173" s="8" t="str">
        <f t="shared" si="49"/>
        <v>day</v>
      </c>
      <c r="P173" s="8">
        <f t="shared" si="50"/>
        <v>2</v>
      </c>
      <c r="Q173" s="8">
        <f t="shared" si="51"/>
        <v>2023</v>
      </c>
      <c r="R173" s="8" t="s">
        <v>761</v>
      </c>
      <c r="S173" s="8">
        <f t="shared" si="52"/>
        <v>9</v>
      </c>
      <c r="T173" s="8">
        <f t="shared" si="53"/>
        <v>9</v>
      </c>
      <c r="U173" s="8">
        <f t="shared" si="54"/>
        <v>15</v>
      </c>
      <c r="V173" s="8">
        <v>86814</v>
      </c>
      <c r="W173" s="8">
        <v>74810</v>
      </c>
      <c r="X173" s="9" t="str">
        <f t="shared" si="55"/>
        <v>Highe Target</v>
      </c>
      <c r="Y173" s="9" t="str">
        <f t="shared" si="56"/>
        <v>Highe target</v>
      </c>
      <c r="Z173" s="9" t="str" cm="1">
        <f t="array" ref="Z173">_xlfn.IFS(W173&lt;60000,"LOWERTarget",W173&lt;80000,"Medium Target",W173,"Highe Target")</f>
        <v>Medium Target</v>
      </c>
      <c r="AA173" s="8" t="s">
        <v>79</v>
      </c>
      <c r="AB173" s="5" t="str">
        <f t="shared" si="57"/>
        <v>EXCELLENT LEADERSHIP</v>
      </c>
      <c r="AC173" s="5" t="str">
        <f t="shared" si="58"/>
        <v>excellent leadership</v>
      </c>
      <c r="AD173" s="5" t="str">
        <f t="shared" si="59"/>
        <v>Excellent Leadership</v>
      </c>
      <c r="AF173" s="6"/>
    </row>
    <row r="174" ht="14.25" customHeight="1" spans="1:32">
      <c r="A174" s="8" t="s">
        <v>762</v>
      </c>
      <c r="B174" s="8" t="s">
        <v>763</v>
      </c>
      <c r="C174" s="9">
        <f t="shared" si="40"/>
        <v>11</v>
      </c>
      <c r="D174" s="8" t="s">
        <v>35</v>
      </c>
      <c r="E174" s="8" t="str">
        <f t="shared" si="41"/>
        <v>Amit Sharma(E1250) - Finance</v>
      </c>
      <c r="F174" s="9" t="str">
        <f t="shared" si="42"/>
        <v>Amit Sharma(E1250) -</v>
      </c>
      <c r="G174" s="9" t="str">
        <f t="shared" si="43"/>
        <v>Finance</v>
      </c>
      <c r="H174" s="9">
        <f t="shared" si="44"/>
        <v>20</v>
      </c>
      <c r="I174" s="9">
        <f t="shared" si="45"/>
        <v>8</v>
      </c>
      <c r="J174" s="8" t="s">
        <v>36</v>
      </c>
      <c r="K174" s="9" t="str">
        <f t="shared" si="46"/>
        <v>Ahmed@bad</v>
      </c>
      <c r="L174" s="8" t="s">
        <v>168</v>
      </c>
      <c r="M174" s="8" t="str">
        <f t="shared" si="47"/>
        <v>Friday</v>
      </c>
      <c r="N174" s="8" t="str">
        <f t="shared" si="48"/>
        <v>Fri</v>
      </c>
      <c r="O174" s="8" t="str">
        <f t="shared" si="49"/>
        <v>day</v>
      </c>
      <c r="P174" s="8">
        <f t="shared" si="50"/>
        <v>10</v>
      </c>
      <c r="Q174" s="8">
        <f t="shared" si="51"/>
        <v>2024</v>
      </c>
      <c r="R174" s="8" t="s">
        <v>764</v>
      </c>
      <c r="S174" s="8">
        <f t="shared" si="52"/>
        <v>10</v>
      </c>
      <c r="T174" s="8">
        <f t="shared" si="53"/>
        <v>34</v>
      </c>
      <c r="U174" s="8">
        <f t="shared" si="54"/>
        <v>27</v>
      </c>
      <c r="V174" s="8">
        <v>84716</v>
      </c>
      <c r="W174" s="8">
        <v>74860</v>
      </c>
      <c r="X174" s="9" t="str">
        <f t="shared" si="55"/>
        <v>Highe Target</v>
      </c>
      <c r="Y174" s="9" t="str">
        <f t="shared" si="56"/>
        <v>Highe target</v>
      </c>
      <c r="Z174" s="9" t="str" cm="1">
        <f t="array" ref="Z174">_xlfn.IFS(W174&lt;60000,"LOWERTarget",W174&lt;80000,"Medium Target",W174,"Highe Target")</f>
        <v>Medium Target</v>
      </c>
      <c r="AA174" s="8" t="s">
        <v>243</v>
      </c>
      <c r="AB174" s="5" t="str">
        <f t="shared" si="57"/>
        <v>POSITIVE ATTITUDE</v>
      </c>
      <c r="AC174" s="5" t="str">
        <f t="shared" si="58"/>
        <v>positive attitude</v>
      </c>
      <c r="AD174" s="5" t="str">
        <f t="shared" si="59"/>
        <v>Positive Attitude</v>
      </c>
      <c r="AF174" s="6"/>
    </row>
    <row r="175" ht="14.25" customHeight="1" spans="1:32">
      <c r="A175" s="8" t="s">
        <v>765</v>
      </c>
      <c r="B175" s="8" t="s">
        <v>766</v>
      </c>
      <c r="C175" s="9">
        <f t="shared" si="40"/>
        <v>12</v>
      </c>
      <c r="D175" s="8" t="s">
        <v>93</v>
      </c>
      <c r="E175" s="8" t="str">
        <f t="shared" si="41"/>
        <v>Nisha Bansal(E1294) - Sales</v>
      </c>
      <c r="F175" s="9" t="str">
        <f t="shared" si="42"/>
        <v>Nisha Bansal(E1294) -</v>
      </c>
      <c r="G175" s="9" t="str">
        <f t="shared" si="43"/>
        <v>Sales</v>
      </c>
      <c r="H175" s="9">
        <f t="shared" si="44"/>
        <v>21</v>
      </c>
      <c r="I175" s="9">
        <f t="shared" si="45"/>
        <v>6</v>
      </c>
      <c r="J175" s="8" t="s">
        <v>36</v>
      </c>
      <c r="K175" s="9" t="str">
        <f t="shared" si="46"/>
        <v>Ahmed@bad</v>
      </c>
      <c r="L175" s="8" t="s">
        <v>767</v>
      </c>
      <c r="M175" s="8" t="str">
        <f t="shared" si="47"/>
        <v>Thursday</v>
      </c>
      <c r="N175" s="8" t="str">
        <f t="shared" si="48"/>
        <v>Thu</v>
      </c>
      <c r="O175" s="8" t="str">
        <f t="shared" si="49"/>
        <v>day</v>
      </c>
      <c r="P175" s="8">
        <f t="shared" si="50"/>
        <v>5</v>
      </c>
      <c r="Q175" s="8">
        <f t="shared" si="51"/>
        <v>2024</v>
      </c>
      <c r="R175" s="8" t="s">
        <v>768</v>
      </c>
      <c r="S175" s="8">
        <f t="shared" si="52"/>
        <v>9</v>
      </c>
      <c r="T175" s="8">
        <f t="shared" si="53"/>
        <v>37</v>
      </c>
      <c r="U175" s="8">
        <f t="shared" si="54"/>
        <v>25</v>
      </c>
      <c r="V175" s="8">
        <v>93221</v>
      </c>
      <c r="W175" s="8">
        <v>75020</v>
      </c>
      <c r="X175" s="9" t="str">
        <f t="shared" si="55"/>
        <v>Highe Target</v>
      </c>
      <c r="Y175" s="9" t="str">
        <f t="shared" si="56"/>
        <v>Highe target</v>
      </c>
      <c r="Z175" s="9" t="str" cm="1">
        <f t="array" ref="Z175">_xlfn.IFS(W175&lt;60000,"LOWERTarget",W175&lt;80000,"Medium Target",W175,"Highe Target")</f>
        <v>Medium Target</v>
      </c>
      <c r="AA175" s="8" t="s">
        <v>71</v>
      </c>
      <c r="AB175" s="5" t="str">
        <f t="shared" si="57"/>
        <v>GREAT SUPPORT</v>
      </c>
      <c r="AC175" s="5" t="str">
        <f t="shared" si="58"/>
        <v>great support</v>
      </c>
      <c r="AD175" s="5" t="str">
        <f t="shared" si="59"/>
        <v>Great Support</v>
      </c>
      <c r="AF175" s="6"/>
    </row>
    <row r="176" ht="14.25" customHeight="1" spans="1:32">
      <c r="A176" s="8" t="s">
        <v>769</v>
      </c>
      <c r="B176" s="8" t="s">
        <v>770</v>
      </c>
      <c r="C176" s="9">
        <f t="shared" si="40"/>
        <v>16</v>
      </c>
      <c r="D176" s="8" t="s">
        <v>44</v>
      </c>
      <c r="E176" s="8" t="str">
        <f t="shared" si="41"/>
        <v>Siddharth Chopra(E1257) - Marketing</v>
      </c>
      <c r="F176" s="9" t="str">
        <f t="shared" si="42"/>
        <v>Siddharth Chopra(E1257) -</v>
      </c>
      <c r="G176" s="9" t="str">
        <f t="shared" si="43"/>
        <v>Marketing</v>
      </c>
      <c r="H176" s="9">
        <f t="shared" si="44"/>
        <v>25</v>
      </c>
      <c r="I176" s="9">
        <f t="shared" si="45"/>
        <v>10</v>
      </c>
      <c r="J176" s="8" t="s">
        <v>53</v>
      </c>
      <c r="K176" s="9" t="str">
        <f t="shared" si="46"/>
        <v>Delhi</v>
      </c>
      <c r="L176" s="8" t="s">
        <v>771</v>
      </c>
      <c r="M176" s="8" t="str">
        <f t="shared" si="47"/>
        <v>Wednesday</v>
      </c>
      <c r="N176" s="8" t="str">
        <f t="shared" si="48"/>
        <v>Wed</v>
      </c>
      <c r="O176" s="8" t="str">
        <f t="shared" si="49"/>
        <v>day</v>
      </c>
      <c r="P176" s="8">
        <f t="shared" si="50"/>
        <v>9</v>
      </c>
      <c r="Q176" s="8">
        <f t="shared" si="51"/>
        <v>2022</v>
      </c>
      <c r="R176" s="8" t="s">
        <v>772</v>
      </c>
      <c r="S176" s="8">
        <f t="shared" si="52"/>
        <v>9</v>
      </c>
      <c r="T176" s="8">
        <f t="shared" si="53"/>
        <v>11</v>
      </c>
      <c r="U176" s="8">
        <f t="shared" si="54"/>
        <v>48</v>
      </c>
      <c r="V176" s="8">
        <v>91285</v>
      </c>
      <c r="W176" s="8">
        <v>75253</v>
      </c>
      <c r="X176" s="9" t="str">
        <f t="shared" si="55"/>
        <v>Highe Target</v>
      </c>
      <c r="Y176" s="9" t="str">
        <f t="shared" si="56"/>
        <v>Highe target</v>
      </c>
      <c r="Z176" s="9" t="str" cm="1">
        <f t="array" ref="Z176">_xlfn.IFS(W176&lt;60000,"LOWERTarget",W176&lt;80000,"Medium Target",W176,"Highe Target")</f>
        <v>Medium Target</v>
      </c>
      <c r="AA176" s="8" t="s">
        <v>126</v>
      </c>
      <c r="AB176" s="5" t="str">
        <f t="shared" si="57"/>
        <v>ACCURATE REPORTS</v>
      </c>
      <c r="AC176" s="5" t="str">
        <f t="shared" si="58"/>
        <v>accurate reports</v>
      </c>
      <c r="AD176" s="5" t="str">
        <f t="shared" si="59"/>
        <v>Accurate Reports</v>
      </c>
      <c r="AF176" s="6"/>
    </row>
    <row r="177" ht="14.25" customHeight="1" spans="1:32">
      <c r="A177" s="8" t="s">
        <v>773</v>
      </c>
      <c r="B177" s="8" t="s">
        <v>774</v>
      </c>
      <c r="C177" s="9">
        <f t="shared" si="40"/>
        <v>13</v>
      </c>
      <c r="D177" s="8" t="s">
        <v>60</v>
      </c>
      <c r="E177" s="8" t="str">
        <f t="shared" si="41"/>
        <v>Nidhi Agarwal(E1019) - HR</v>
      </c>
      <c r="F177" s="9" t="str">
        <f t="shared" si="42"/>
        <v>Nidhi Agarwal(E1019) -</v>
      </c>
      <c r="G177" s="9" t="str">
        <f t="shared" si="43"/>
        <v>HR</v>
      </c>
      <c r="H177" s="9">
        <f t="shared" si="44"/>
        <v>22</v>
      </c>
      <c r="I177" s="9">
        <f t="shared" si="45"/>
        <v>3</v>
      </c>
      <c r="J177" s="8" t="s">
        <v>61</v>
      </c>
      <c r="K177" s="9" t="str">
        <f t="shared" si="46"/>
        <v>Chenn@i</v>
      </c>
      <c r="L177" s="8" t="s">
        <v>775</v>
      </c>
      <c r="M177" s="8" t="str">
        <f t="shared" si="47"/>
        <v>Sunday</v>
      </c>
      <c r="N177" s="8" t="str">
        <f t="shared" si="48"/>
        <v>Sun</v>
      </c>
      <c r="O177" s="8" t="str">
        <f t="shared" si="49"/>
        <v>day</v>
      </c>
      <c r="P177" s="8">
        <f t="shared" si="50"/>
        <v>12</v>
      </c>
      <c r="Q177" s="8">
        <f t="shared" si="51"/>
        <v>2023</v>
      </c>
      <c r="R177" s="8" t="s">
        <v>776</v>
      </c>
      <c r="S177" s="8">
        <f t="shared" si="52"/>
        <v>10</v>
      </c>
      <c r="T177" s="8">
        <f t="shared" si="53"/>
        <v>27</v>
      </c>
      <c r="U177" s="8">
        <f t="shared" si="54"/>
        <v>13</v>
      </c>
      <c r="V177" s="8">
        <v>73525</v>
      </c>
      <c r="W177" s="8">
        <v>75343</v>
      </c>
      <c r="X177" s="9" t="str">
        <f t="shared" si="55"/>
        <v>Highe Target</v>
      </c>
      <c r="Y177" s="9" t="str">
        <f t="shared" si="56"/>
        <v>Highe target</v>
      </c>
      <c r="Z177" s="9" t="str" cm="1">
        <f t="array" ref="Z177">_xlfn.IFS(W177&lt;60000,"LOWERTarget",W177&lt;80000,"Medium Target",W177,"Highe Target")</f>
        <v>Medium Target</v>
      </c>
      <c r="AA177" s="8" t="s">
        <v>96</v>
      </c>
      <c r="AB177" s="5" t="str">
        <f t="shared" si="57"/>
        <v>FAST DELIVERY</v>
      </c>
      <c r="AC177" s="5" t="str">
        <f t="shared" si="58"/>
        <v>fast delivery</v>
      </c>
      <c r="AD177" s="5" t="str">
        <f t="shared" si="59"/>
        <v>Fast Delivery</v>
      </c>
      <c r="AF177" s="6"/>
    </row>
    <row r="178" ht="14.25" customHeight="1" spans="1:32">
      <c r="A178" s="8" t="s">
        <v>777</v>
      </c>
      <c r="B178" s="8" t="s">
        <v>778</v>
      </c>
      <c r="C178" s="9">
        <f t="shared" si="40"/>
        <v>13</v>
      </c>
      <c r="D178" s="8" t="s">
        <v>35</v>
      </c>
      <c r="E178" s="8" t="str">
        <f t="shared" si="41"/>
        <v>Madhuri Gupta(E1119) - Finance</v>
      </c>
      <c r="F178" s="9" t="str">
        <f t="shared" si="42"/>
        <v>Madhuri Gupta(E1119) -</v>
      </c>
      <c r="G178" s="9" t="str">
        <f t="shared" si="43"/>
        <v>Finance</v>
      </c>
      <c r="H178" s="9">
        <f t="shared" si="44"/>
        <v>22</v>
      </c>
      <c r="I178" s="9">
        <f t="shared" si="45"/>
        <v>8</v>
      </c>
      <c r="J178" s="8" t="s">
        <v>182</v>
      </c>
      <c r="K178" s="9" t="str">
        <f t="shared" si="46"/>
        <v>Kolk@ta</v>
      </c>
      <c r="L178" s="8" t="s">
        <v>779</v>
      </c>
      <c r="M178" s="8" t="str">
        <f t="shared" si="47"/>
        <v>Sunday</v>
      </c>
      <c r="N178" s="8" t="str">
        <f t="shared" si="48"/>
        <v>Sun</v>
      </c>
      <c r="O178" s="8" t="str">
        <f t="shared" si="49"/>
        <v>day</v>
      </c>
      <c r="P178" s="8">
        <f t="shared" si="50"/>
        <v>12</v>
      </c>
      <c r="Q178" s="8">
        <f t="shared" si="51"/>
        <v>2021</v>
      </c>
      <c r="R178" s="8" t="s">
        <v>780</v>
      </c>
      <c r="S178" s="8">
        <f t="shared" si="52"/>
        <v>8</v>
      </c>
      <c r="T178" s="8">
        <f t="shared" si="53"/>
        <v>8</v>
      </c>
      <c r="U178" s="8">
        <f t="shared" si="54"/>
        <v>50</v>
      </c>
      <c r="V178" s="8">
        <v>84326</v>
      </c>
      <c r="W178" s="8">
        <v>75350</v>
      </c>
      <c r="X178" s="9" t="str">
        <f t="shared" si="55"/>
        <v>Highe Target</v>
      </c>
      <c r="Y178" s="9" t="str">
        <f t="shared" si="56"/>
        <v>Highe target</v>
      </c>
      <c r="Z178" s="9" t="str" cm="1">
        <f t="array" ref="Z178">_xlfn.IFS(W178&lt;60000,"LOWERTarget",W178&lt;80000,"Medium Target",W178,"Highe Target")</f>
        <v>Medium Target</v>
      </c>
      <c r="AA178" s="8" t="s">
        <v>781</v>
      </c>
      <c r="AB178" s="5" t="str">
        <f t="shared" si="57"/>
        <v>   STRONG PRESENTATION   </v>
      </c>
      <c r="AC178" s="5" t="str">
        <f t="shared" si="58"/>
        <v>   strong presentation   </v>
      </c>
      <c r="AD178" s="5" t="str">
        <f t="shared" si="59"/>
        <v>   Strong Presentation   </v>
      </c>
      <c r="AF178" s="6"/>
    </row>
    <row r="179" ht="14.25" customHeight="1" spans="1:32">
      <c r="A179" s="8" t="s">
        <v>782</v>
      </c>
      <c r="B179" s="8" t="s">
        <v>783</v>
      </c>
      <c r="C179" s="9">
        <f t="shared" si="40"/>
        <v>11</v>
      </c>
      <c r="D179" s="8" t="s">
        <v>60</v>
      </c>
      <c r="E179" s="8" t="str">
        <f t="shared" si="41"/>
        <v>Rahul Gupta(E1278) - HR</v>
      </c>
      <c r="F179" s="9" t="str">
        <f t="shared" si="42"/>
        <v>Rahul Gupta(E1278) -</v>
      </c>
      <c r="G179" s="9" t="str">
        <f t="shared" si="43"/>
        <v>HR</v>
      </c>
      <c r="H179" s="9">
        <f t="shared" si="44"/>
        <v>20</v>
      </c>
      <c r="I179" s="9">
        <f t="shared" si="45"/>
        <v>3</v>
      </c>
      <c r="J179" s="8" t="s">
        <v>45</v>
      </c>
      <c r="K179" s="9" t="str">
        <f t="shared" si="46"/>
        <v>B@ngalore</v>
      </c>
      <c r="L179" s="8" t="s">
        <v>784</v>
      </c>
      <c r="M179" s="8" t="str">
        <f t="shared" si="47"/>
        <v>Wednesday</v>
      </c>
      <c r="N179" s="8" t="str">
        <f t="shared" si="48"/>
        <v>Wed</v>
      </c>
      <c r="O179" s="8" t="str">
        <f t="shared" si="49"/>
        <v>day</v>
      </c>
      <c r="P179" s="8">
        <f t="shared" si="50"/>
        <v>3</v>
      </c>
      <c r="Q179" s="8">
        <f t="shared" si="51"/>
        <v>2024</v>
      </c>
      <c r="R179" s="8" t="s">
        <v>785</v>
      </c>
      <c r="S179" s="8">
        <f t="shared" si="52"/>
        <v>9</v>
      </c>
      <c r="T179" s="8">
        <f t="shared" si="53"/>
        <v>43</v>
      </c>
      <c r="U179" s="8">
        <f t="shared" si="54"/>
        <v>57</v>
      </c>
      <c r="V179" s="8">
        <v>82166</v>
      </c>
      <c r="W179" s="8">
        <v>75426</v>
      </c>
      <c r="X179" s="9" t="str">
        <f t="shared" si="55"/>
        <v>Highe Target</v>
      </c>
      <c r="Y179" s="9" t="str">
        <f t="shared" si="56"/>
        <v>Highe target</v>
      </c>
      <c r="Z179" s="9" t="str" cm="1">
        <f t="array" ref="Z179">_xlfn.IFS(W179&lt;60000,"LOWERTarget",W179&lt;80000,"Medium Target",W179,"Highe Target")</f>
        <v>Medium Target</v>
      </c>
      <c r="AA179" s="8" t="s">
        <v>39</v>
      </c>
      <c r="AB179" s="5" t="str">
        <f t="shared" si="57"/>
        <v>DETAILED ANALYSIS</v>
      </c>
      <c r="AC179" s="5" t="str">
        <f t="shared" si="58"/>
        <v>detailed analysis</v>
      </c>
      <c r="AD179" s="5" t="str">
        <f t="shared" si="59"/>
        <v>Detailed Analysis</v>
      </c>
      <c r="AF179" s="6"/>
    </row>
    <row r="180" ht="14.25" customHeight="1" spans="1:32">
      <c r="A180" s="8" t="s">
        <v>786</v>
      </c>
      <c r="B180" s="8" t="s">
        <v>787</v>
      </c>
      <c r="C180" s="9">
        <f t="shared" si="40"/>
        <v>11</v>
      </c>
      <c r="D180" s="8" t="s">
        <v>93</v>
      </c>
      <c r="E180" s="8" t="str">
        <f t="shared" si="41"/>
        <v>Deepak Nair(E1026) - Sales</v>
      </c>
      <c r="F180" s="9" t="str">
        <f t="shared" si="42"/>
        <v>Deepak Nair(E1026) -</v>
      </c>
      <c r="G180" s="9" t="str">
        <f t="shared" si="43"/>
        <v>Sales</v>
      </c>
      <c r="H180" s="9">
        <f t="shared" si="44"/>
        <v>20</v>
      </c>
      <c r="I180" s="9">
        <f t="shared" si="45"/>
        <v>6</v>
      </c>
      <c r="J180" s="8" t="s">
        <v>36</v>
      </c>
      <c r="K180" s="9" t="str">
        <f t="shared" si="46"/>
        <v>Ahmed@bad</v>
      </c>
      <c r="L180" s="8" t="s">
        <v>788</v>
      </c>
      <c r="M180" s="8" t="str">
        <f t="shared" si="47"/>
        <v>Friday</v>
      </c>
      <c r="N180" s="8" t="str">
        <f t="shared" si="48"/>
        <v>Fri</v>
      </c>
      <c r="O180" s="8" t="str">
        <f t="shared" si="49"/>
        <v>day</v>
      </c>
      <c r="P180" s="8">
        <f t="shared" si="50"/>
        <v>2</v>
      </c>
      <c r="Q180" s="8">
        <f t="shared" si="51"/>
        <v>2024</v>
      </c>
      <c r="R180" s="8" t="s">
        <v>789</v>
      </c>
      <c r="S180" s="8">
        <f t="shared" si="52"/>
        <v>8</v>
      </c>
      <c r="T180" s="8">
        <f t="shared" si="53"/>
        <v>3</v>
      </c>
      <c r="U180" s="8">
        <f t="shared" si="54"/>
        <v>41</v>
      </c>
      <c r="V180" s="8">
        <v>61394</v>
      </c>
      <c r="W180" s="8">
        <v>75427</v>
      </c>
      <c r="X180" s="9" t="str">
        <f t="shared" si="55"/>
        <v>Highe Target</v>
      </c>
      <c r="Y180" s="9" t="str">
        <f t="shared" si="56"/>
        <v>Highe target</v>
      </c>
      <c r="Z180" s="9" t="str" cm="1">
        <f t="array" ref="Z180">_xlfn.IFS(W180&lt;60000,"LOWERTarget",W180&lt;80000,"Medium Target",W180,"Highe Target")</f>
        <v>Medium Target</v>
      </c>
      <c r="AA180" s="8" t="s">
        <v>160</v>
      </c>
      <c r="AB180" s="5" t="str">
        <f t="shared" si="57"/>
        <v>GOOD COMMUNICATION</v>
      </c>
      <c r="AC180" s="5" t="str">
        <f t="shared" si="58"/>
        <v>good communication</v>
      </c>
      <c r="AD180" s="5" t="str">
        <f t="shared" si="59"/>
        <v>Good Communication</v>
      </c>
      <c r="AF180" s="6"/>
    </row>
    <row r="181" ht="14.25" customHeight="1" spans="1:32">
      <c r="A181" s="8" t="s">
        <v>790</v>
      </c>
      <c r="B181" s="8" t="s">
        <v>791</v>
      </c>
      <c r="C181" s="9">
        <f t="shared" si="40"/>
        <v>10</v>
      </c>
      <c r="D181" s="8" t="s">
        <v>35</v>
      </c>
      <c r="E181" s="8" t="str">
        <f t="shared" si="41"/>
        <v>Meera Shah(E1075) - Finance</v>
      </c>
      <c r="F181" s="9" t="str">
        <f t="shared" si="42"/>
        <v>Meera Shah(E1075) -</v>
      </c>
      <c r="G181" s="9" t="str">
        <f t="shared" si="43"/>
        <v>Finance</v>
      </c>
      <c r="H181" s="9">
        <f t="shared" si="44"/>
        <v>19</v>
      </c>
      <c r="I181" s="9">
        <f t="shared" si="45"/>
        <v>8</v>
      </c>
      <c r="J181" s="8" t="s">
        <v>61</v>
      </c>
      <c r="K181" s="9" t="str">
        <f t="shared" si="46"/>
        <v>Chenn@i</v>
      </c>
      <c r="L181" s="8" t="s">
        <v>792</v>
      </c>
      <c r="M181" s="8" t="str">
        <f t="shared" si="47"/>
        <v>Sunday</v>
      </c>
      <c r="N181" s="8" t="str">
        <f t="shared" si="48"/>
        <v>Sun</v>
      </c>
      <c r="O181" s="8" t="str">
        <f t="shared" si="49"/>
        <v>day</v>
      </c>
      <c r="P181" s="8">
        <f t="shared" si="50"/>
        <v>5</v>
      </c>
      <c r="Q181" s="8">
        <f t="shared" si="51"/>
        <v>2024</v>
      </c>
      <c r="R181" s="8" t="s">
        <v>793</v>
      </c>
      <c r="S181" s="8">
        <f t="shared" si="52"/>
        <v>10</v>
      </c>
      <c r="T181" s="8">
        <f t="shared" si="53"/>
        <v>56</v>
      </c>
      <c r="U181" s="8">
        <f t="shared" si="54"/>
        <v>17</v>
      </c>
      <c r="V181" s="8">
        <v>62089</v>
      </c>
      <c r="W181" s="8">
        <v>76424</v>
      </c>
      <c r="X181" s="9" t="str">
        <f t="shared" si="55"/>
        <v>Highe Target</v>
      </c>
      <c r="Y181" s="9" t="str">
        <f t="shared" si="56"/>
        <v>Highe target</v>
      </c>
      <c r="Z181" s="9" t="str" cm="1">
        <f t="array" ref="Z181">_xlfn.IFS(W181&lt;60000,"LOWERTarget",W181&lt;80000,"Medium Target",W181,"Highe Target")</f>
        <v>Medium Target</v>
      </c>
      <c r="AA181" s="8" t="s">
        <v>229</v>
      </c>
      <c r="AB181" s="5" t="str">
        <f t="shared" si="57"/>
        <v>STRONG PRESENTATION</v>
      </c>
      <c r="AC181" s="5" t="str">
        <f t="shared" si="58"/>
        <v>strong presentation</v>
      </c>
      <c r="AD181" s="5" t="str">
        <f t="shared" si="59"/>
        <v>Strong Presentation</v>
      </c>
      <c r="AF181" s="6"/>
    </row>
    <row r="182" ht="14.25" customHeight="1" spans="1:32">
      <c r="A182" s="8" t="s">
        <v>794</v>
      </c>
      <c r="B182" s="8" t="s">
        <v>795</v>
      </c>
      <c r="C182" s="9">
        <f t="shared" si="40"/>
        <v>10</v>
      </c>
      <c r="D182" s="8" t="s">
        <v>93</v>
      </c>
      <c r="E182" s="8" t="str">
        <f t="shared" si="41"/>
        <v>Yash Reddy(E1123) - Sales</v>
      </c>
      <c r="F182" s="9" t="str">
        <f t="shared" si="42"/>
        <v>Yash Reddy(E1123) -</v>
      </c>
      <c r="G182" s="9" t="str">
        <f t="shared" si="43"/>
        <v>Sales</v>
      </c>
      <c r="H182" s="9">
        <f t="shared" si="44"/>
        <v>19</v>
      </c>
      <c r="I182" s="9">
        <f t="shared" si="45"/>
        <v>6</v>
      </c>
      <c r="J182" s="8" t="s">
        <v>45</v>
      </c>
      <c r="K182" s="9" t="str">
        <f t="shared" si="46"/>
        <v>B@ngalore</v>
      </c>
      <c r="L182" s="8" t="s">
        <v>796</v>
      </c>
      <c r="M182" s="8" t="str">
        <f t="shared" si="47"/>
        <v>Thursday</v>
      </c>
      <c r="N182" s="8" t="str">
        <f t="shared" si="48"/>
        <v>Thu</v>
      </c>
      <c r="O182" s="8" t="str">
        <f t="shared" si="49"/>
        <v>day</v>
      </c>
      <c r="P182" s="8">
        <f t="shared" si="50"/>
        <v>8</v>
      </c>
      <c r="Q182" s="8">
        <f t="shared" si="51"/>
        <v>2023</v>
      </c>
      <c r="R182" s="8" t="s">
        <v>212</v>
      </c>
      <c r="S182" s="8">
        <f t="shared" si="52"/>
        <v>8</v>
      </c>
      <c r="T182" s="8">
        <f t="shared" si="53"/>
        <v>39</v>
      </c>
      <c r="U182" s="8">
        <f t="shared" si="54"/>
        <v>56</v>
      </c>
      <c r="V182" s="8">
        <v>83288</v>
      </c>
      <c r="W182" s="8">
        <v>76792</v>
      </c>
      <c r="X182" s="9" t="str">
        <f t="shared" si="55"/>
        <v>Highe Target</v>
      </c>
      <c r="Y182" s="9" t="str">
        <f t="shared" si="56"/>
        <v>Highe target</v>
      </c>
      <c r="Z182" s="9" t="str" cm="1">
        <f t="array" ref="Z182">_xlfn.IFS(W182&lt;60000,"LOWERTarget",W182&lt;80000,"Medium Target",W182,"Highe Target")</f>
        <v>Medium Target</v>
      </c>
      <c r="AA182" s="8" t="s">
        <v>71</v>
      </c>
      <c r="AB182" s="5" t="str">
        <f t="shared" si="57"/>
        <v>GREAT SUPPORT</v>
      </c>
      <c r="AC182" s="5" t="str">
        <f t="shared" si="58"/>
        <v>great support</v>
      </c>
      <c r="AD182" s="5" t="str">
        <f t="shared" si="59"/>
        <v>Great Support</v>
      </c>
      <c r="AF182" s="6"/>
    </row>
    <row r="183" ht="14.25" customHeight="1" spans="1:32">
      <c r="A183" s="8" t="s">
        <v>797</v>
      </c>
      <c r="B183" s="8" t="s">
        <v>798</v>
      </c>
      <c r="C183" s="9">
        <f t="shared" si="40"/>
        <v>12</v>
      </c>
      <c r="D183" s="8" t="s">
        <v>44</v>
      </c>
      <c r="E183" s="8" t="str">
        <f t="shared" si="41"/>
        <v>Vikram Reddy(E1215) - Marketing</v>
      </c>
      <c r="F183" s="9" t="str">
        <f t="shared" si="42"/>
        <v>Vikram Reddy(E1215) -</v>
      </c>
      <c r="G183" s="9" t="str">
        <f t="shared" si="43"/>
        <v>Marketing</v>
      </c>
      <c r="H183" s="9">
        <f t="shared" si="44"/>
        <v>21</v>
      </c>
      <c r="I183" s="9">
        <f t="shared" si="45"/>
        <v>10</v>
      </c>
      <c r="J183" s="8" t="s">
        <v>172</v>
      </c>
      <c r="K183" s="9" t="str">
        <f t="shared" si="46"/>
        <v>Hyder@bad</v>
      </c>
      <c r="L183" s="8" t="s">
        <v>799</v>
      </c>
      <c r="M183" s="8" t="str">
        <f t="shared" si="47"/>
        <v>Saturday</v>
      </c>
      <c r="N183" s="8" t="str">
        <f t="shared" si="48"/>
        <v>Sat</v>
      </c>
      <c r="O183" s="8" t="str">
        <f t="shared" si="49"/>
        <v>day</v>
      </c>
      <c r="P183" s="8">
        <f t="shared" si="50"/>
        <v>4</v>
      </c>
      <c r="Q183" s="8">
        <f t="shared" si="51"/>
        <v>2021</v>
      </c>
      <c r="R183" s="8" t="s">
        <v>800</v>
      </c>
      <c r="S183" s="8">
        <f t="shared" si="52"/>
        <v>9</v>
      </c>
      <c r="T183" s="8">
        <f t="shared" si="53"/>
        <v>3</v>
      </c>
      <c r="U183" s="8">
        <f t="shared" si="54"/>
        <v>36</v>
      </c>
      <c r="V183" s="8">
        <v>74575</v>
      </c>
      <c r="W183" s="8">
        <v>76819</v>
      </c>
      <c r="X183" s="9" t="str">
        <f t="shared" si="55"/>
        <v>Highe Target</v>
      </c>
      <c r="Y183" s="9" t="str">
        <f t="shared" si="56"/>
        <v>Highe target</v>
      </c>
      <c r="Z183" s="9" t="str" cm="1">
        <f t="array" ref="Z183">_xlfn.IFS(W183&lt;60000,"LOWERTarget",W183&lt;80000,"Medium Target",W183,"Highe Target")</f>
        <v>Medium Target</v>
      </c>
      <c r="AA183" s="8" t="s">
        <v>48</v>
      </c>
      <c r="AB183" s="5" t="str">
        <f t="shared" si="57"/>
        <v>CREATIVE IDEAS</v>
      </c>
      <c r="AC183" s="5" t="str">
        <f t="shared" si="58"/>
        <v>creative ideas</v>
      </c>
      <c r="AD183" s="5" t="str">
        <f t="shared" si="59"/>
        <v>Creative Ideas</v>
      </c>
      <c r="AF183" s="6"/>
    </row>
    <row r="184" ht="14.25" customHeight="1" spans="1:32">
      <c r="A184" s="8" t="s">
        <v>801</v>
      </c>
      <c r="B184" s="8" t="s">
        <v>802</v>
      </c>
      <c r="C184" s="9">
        <f t="shared" si="40"/>
        <v>11</v>
      </c>
      <c r="D184" s="8" t="s">
        <v>44</v>
      </c>
      <c r="E184" s="8" t="str">
        <f t="shared" si="41"/>
        <v>Arjun Gupta(E1033) - Marketing</v>
      </c>
      <c r="F184" s="9" t="str">
        <f t="shared" si="42"/>
        <v>Arjun Gupta(E1033) -</v>
      </c>
      <c r="G184" s="9" t="str">
        <f t="shared" si="43"/>
        <v>Marketing</v>
      </c>
      <c r="H184" s="9">
        <f t="shared" si="44"/>
        <v>20</v>
      </c>
      <c r="I184" s="9">
        <f t="shared" si="45"/>
        <v>10</v>
      </c>
      <c r="J184" s="8" t="s">
        <v>172</v>
      </c>
      <c r="K184" s="9" t="str">
        <f t="shared" si="46"/>
        <v>Hyder@bad</v>
      </c>
      <c r="L184" s="8" t="s">
        <v>803</v>
      </c>
      <c r="M184" s="8" t="str">
        <f t="shared" si="47"/>
        <v>Saturday</v>
      </c>
      <c r="N184" s="8" t="str">
        <f t="shared" si="48"/>
        <v>Sat</v>
      </c>
      <c r="O184" s="8" t="str">
        <f t="shared" si="49"/>
        <v>day</v>
      </c>
      <c r="P184" s="8">
        <f t="shared" si="50"/>
        <v>5</v>
      </c>
      <c r="Q184" s="8">
        <f t="shared" si="51"/>
        <v>2021</v>
      </c>
      <c r="R184" s="8" t="s">
        <v>804</v>
      </c>
      <c r="S184" s="8">
        <f t="shared" si="52"/>
        <v>8</v>
      </c>
      <c r="T184" s="8">
        <f t="shared" si="53"/>
        <v>29</v>
      </c>
      <c r="U184" s="8">
        <f t="shared" si="54"/>
        <v>39</v>
      </c>
      <c r="V184" s="8">
        <v>68448</v>
      </c>
      <c r="W184" s="8">
        <v>76896</v>
      </c>
      <c r="X184" s="9" t="str">
        <f t="shared" si="55"/>
        <v>Highe Target</v>
      </c>
      <c r="Y184" s="9" t="str">
        <f t="shared" si="56"/>
        <v>Highe target</v>
      </c>
      <c r="Z184" s="9" t="str" cm="1">
        <f t="array" ref="Z184">_xlfn.IFS(W184&lt;60000,"LOWERTarget",W184&lt;80000,"Medium Target",W184,"Highe Target")</f>
        <v>Medium Target</v>
      </c>
      <c r="AA184" s="8" t="s">
        <v>160</v>
      </c>
      <c r="AB184" s="5" t="str">
        <f t="shared" si="57"/>
        <v>GOOD COMMUNICATION</v>
      </c>
      <c r="AC184" s="5" t="str">
        <f t="shared" si="58"/>
        <v>good communication</v>
      </c>
      <c r="AD184" s="5" t="str">
        <f t="shared" si="59"/>
        <v>Good Communication</v>
      </c>
      <c r="AF184" s="6"/>
    </row>
    <row r="185" ht="14.25" customHeight="1" spans="1:32">
      <c r="A185" s="8" t="s">
        <v>805</v>
      </c>
      <c r="B185" s="8" t="s">
        <v>806</v>
      </c>
      <c r="C185" s="9">
        <f t="shared" si="40"/>
        <v>10</v>
      </c>
      <c r="D185" s="8" t="s">
        <v>35</v>
      </c>
      <c r="E185" s="8" t="str">
        <f t="shared" si="41"/>
        <v>Tanya Nair(E1291) - Finance</v>
      </c>
      <c r="F185" s="9" t="str">
        <f t="shared" si="42"/>
        <v>Tanya Nair(E1291) -</v>
      </c>
      <c r="G185" s="9" t="str">
        <f t="shared" si="43"/>
        <v>Finance</v>
      </c>
      <c r="H185" s="9">
        <f t="shared" si="44"/>
        <v>19</v>
      </c>
      <c r="I185" s="9">
        <f t="shared" si="45"/>
        <v>8</v>
      </c>
      <c r="J185" s="8" t="s">
        <v>182</v>
      </c>
      <c r="K185" s="9" t="str">
        <f t="shared" si="46"/>
        <v>Kolk@ta</v>
      </c>
      <c r="L185" s="8" t="s">
        <v>807</v>
      </c>
      <c r="M185" s="8" t="str">
        <f t="shared" si="47"/>
        <v>Friday</v>
      </c>
      <c r="N185" s="8" t="str">
        <f t="shared" si="48"/>
        <v>Fri</v>
      </c>
      <c r="O185" s="8" t="str">
        <f t="shared" si="49"/>
        <v>day</v>
      </c>
      <c r="P185" s="8">
        <f t="shared" si="50"/>
        <v>7</v>
      </c>
      <c r="Q185" s="8">
        <f t="shared" si="51"/>
        <v>2022</v>
      </c>
      <c r="R185" s="8" t="s">
        <v>808</v>
      </c>
      <c r="S185" s="8">
        <f t="shared" si="52"/>
        <v>9</v>
      </c>
      <c r="T185" s="8">
        <f t="shared" si="53"/>
        <v>23</v>
      </c>
      <c r="U185" s="8">
        <f t="shared" si="54"/>
        <v>7</v>
      </c>
      <c r="V185" s="8">
        <v>75046</v>
      </c>
      <c r="W185" s="8">
        <v>76952</v>
      </c>
      <c r="X185" s="9" t="str">
        <f t="shared" si="55"/>
        <v>Highe Target</v>
      </c>
      <c r="Y185" s="9" t="str">
        <f t="shared" si="56"/>
        <v>Highe target</v>
      </c>
      <c r="Z185" s="9" t="str" cm="1">
        <f t="array" ref="Z185">_xlfn.IFS(W185&lt;60000,"LOWERTarget",W185&lt;80000,"Medium Target",W185,"Highe Target")</f>
        <v>Medium Target</v>
      </c>
      <c r="AA185" s="8" t="s">
        <v>79</v>
      </c>
      <c r="AB185" s="5" t="str">
        <f t="shared" si="57"/>
        <v>EXCELLENT LEADERSHIP</v>
      </c>
      <c r="AC185" s="5" t="str">
        <f t="shared" si="58"/>
        <v>excellent leadership</v>
      </c>
      <c r="AD185" s="5" t="str">
        <f t="shared" si="59"/>
        <v>Excellent Leadership</v>
      </c>
      <c r="AF185" s="6"/>
    </row>
    <row r="186" ht="14.25" customHeight="1" spans="1:32">
      <c r="A186" s="8" t="s">
        <v>809</v>
      </c>
      <c r="B186" s="8" t="s">
        <v>810</v>
      </c>
      <c r="C186" s="9">
        <f t="shared" si="40"/>
        <v>15</v>
      </c>
      <c r="D186" s="8" t="s">
        <v>93</v>
      </c>
      <c r="E186" s="8" t="str">
        <f t="shared" si="41"/>
        <v>Aakash Malhotra(E1245) - Sales</v>
      </c>
      <c r="F186" s="9" t="str">
        <f t="shared" si="42"/>
        <v>Aakash Malhotra(E1245) -</v>
      </c>
      <c r="G186" s="9" t="str">
        <f t="shared" si="43"/>
        <v>Sales</v>
      </c>
      <c r="H186" s="9">
        <f t="shared" si="44"/>
        <v>24</v>
      </c>
      <c r="I186" s="9">
        <f t="shared" si="45"/>
        <v>6</v>
      </c>
      <c r="J186" s="8" t="s">
        <v>36</v>
      </c>
      <c r="K186" s="9" t="str">
        <f t="shared" si="46"/>
        <v>Ahmed@bad</v>
      </c>
      <c r="L186" s="8" t="s">
        <v>811</v>
      </c>
      <c r="M186" s="8" t="str">
        <f t="shared" si="47"/>
        <v>Tuesday</v>
      </c>
      <c r="N186" s="8" t="str">
        <f t="shared" si="48"/>
        <v>Tue</v>
      </c>
      <c r="O186" s="8" t="str">
        <f t="shared" si="49"/>
        <v>day</v>
      </c>
      <c r="P186" s="8">
        <f t="shared" si="50"/>
        <v>9</v>
      </c>
      <c r="Q186" s="8">
        <f t="shared" si="51"/>
        <v>2021</v>
      </c>
      <c r="R186" s="8" t="s">
        <v>812</v>
      </c>
      <c r="S186" s="8">
        <f t="shared" si="52"/>
        <v>10</v>
      </c>
      <c r="T186" s="8">
        <f t="shared" si="53"/>
        <v>26</v>
      </c>
      <c r="U186" s="8">
        <f t="shared" si="54"/>
        <v>29</v>
      </c>
      <c r="V186" s="8">
        <v>65739</v>
      </c>
      <c r="W186" s="8">
        <v>76956</v>
      </c>
      <c r="X186" s="9" t="str">
        <f t="shared" si="55"/>
        <v>Highe Target</v>
      </c>
      <c r="Y186" s="9" t="str">
        <f t="shared" si="56"/>
        <v>Highe target</v>
      </c>
      <c r="Z186" s="9" t="str" cm="1">
        <f t="array" ref="Z186">_xlfn.IFS(W186&lt;60000,"LOWERTarget",W186&lt;80000,"Medium Target",W186,"Highe Target")</f>
        <v>Medium Target</v>
      </c>
      <c r="AA186" s="8" t="s">
        <v>229</v>
      </c>
      <c r="AB186" s="5" t="str">
        <f t="shared" si="57"/>
        <v>STRONG PRESENTATION</v>
      </c>
      <c r="AC186" s="5" t="str">
        <f t="shared" si="58"/>
        <v>strong presentation</v>
      </c>
      <c r="AD186" s="5" t="str">
        <f t="shared" si="59"/>
        <v>Strong Presentation</v>
      </c>
      <c r="AF186" s="6"/>
    </row>
    <row r="187" ht="14.25" customHeight="1" spans="1:32">
      <c r="A187" s="8" t="s">
        <v>813</v>
      </c>
      <c r="B187" s="8" t="s">
        <v>814</v>
      </c>
      <c r="C187" s="9">
        <f t="shared" si="40"/>
        <v>11</v>
      </c>
      <c r="D187" s="8" t="s">
        <v>93</v>
      </c>
      <c r="E187" s="8" t="str">
        <f t="shared" si="41"/>
        <v>Nidhi Mehta(E1129) - Sales</v>
      </c>
      <c r="F187" s="9" t="str">
        <f t="shared" si="42"/>
        <v>Nidhi Mehta(E1129) -</v>
      </c>
      <c r="G187" s="9" t="str">
        <f t="shared" si="43"/>
        <v>Sales</v>
      </c>
      <c r="H187" s="9">
        <f t="shared" si="44"/>
        <v>20</v>
      </c>
      <c r="I187" s="9">
        <f t="shared" si="45"/>
        <v>6</v>
      </c>
      <c r="J187" s="8" t="s">
        <v>153</v>
      </c>
      <c r="K187" s="9" t="str">
        <f t="shared" si="46"/>
        <v>Mumb@i</v>
      </c>
      <c r="L187" s="8" t="s">
        <v>815</v>
      </c>
      <c r="M187" s="8" t="str">
        <f t="shared" si="47"/>
        <v>Tuesday</v>
      </c>
      <c r="N187" s="8" t="str">
        <f t="shared" si="48"/>
        <v>Tue</v>
      </c>
      <c r="O187" s="8" t="str">
        <f t="shared" si="49"/>
        <v>day</v>
      </c>
      <c r="P187" s="8">
        <f t="shared" si="50"/>
        <v>11</v>
      </c>
      <c r="Q187" s="8">
        <f t="shared" si="51"/>
        <v>2022</v>
      </c>
      <c r="R187" s="8" t="s">
        <v>780</v>
      </c>
      <c r="S187" s="8">
        <f t="shared" si="52"/>
        <v>8</v>
      </c>
      <c r="T187" s="8">
        <f t="shared" si="53"/>
        <v>8</v>
      </c>
      <c r="U187" s="8">
        <f t="shared" si="54"/>
        <v>50</v>
      </c>
      <c r="V187" s="8">
        <v>75448</v>
      </c>
      <c r="W187" s="8">
        <v>77000</v>
      </c>
      <c r="X187" s="9" t="str">
        <f t="shared" si="55"/>
        <v>Highe Target</v>
      </c>
      <c r="Y187" s="9" t="str">
        <f t="shared" si="56"/>
        <v>Highe target</v>
      </c>
      <c r="Z187" s="9" t="str" cm="1">
        <f t="array" ref="Z187">_xlfn.IFS(W187&lt;60000,"LOWERTarget",W187&lt;80000,"Medium Target",W187,"Highe Target")</f>
        <v>Medium Target</v>
      </c>
      <c r="AA187" s="8" t="s">
        <v>160</v>
      </c>
      <c r="AB187" s="5" t="str">
        <f t="shared" si="57"/>
        <v>GOOD COMMUNICATION</v>
      </c>
      <c r="AC187" s="5" t="str">
        <f t="shared" si="58"/>
        <v>good communication</v>
      </c>
      <c r="AD187" s="5" t="str">
        <f t="shared" si="59"/>
        <v>Good Communication</v>
      </c>
      <c r="AF187" s="6"/>
    </row>
    <row r="188" ht="14.25" customHeight="1" spans="1:32">
      <c r="A188" s="8" t="s">
        <v>816</v>
      </c>
      <c r="B188" s="8" t="s">
        <v>817</v>
      </c>
      <c r="C188" s="9">
        <f t="shared" si="40"/>
        <v>10</v>
      </c>
      <c r="D188" s="8" t="s">
        <v>93</v>
      </c>
      <c r="E188" s="8" t="str">
        <f t="shared" si="41"/>
        <v>Amit Joshi(E1275) - Sales</v>
      </c>
      <c r="F188" s="9" t="str">
        <f t="shared" si="42"/>
        <v>Amit Joshi(E1275) -</v>
      </c>
      <c r="G188" s="9" t="str">
        <f t="shared" si="43"/>
        <v>Sales</v>
      </c>
      <c r="H188" s="9">
        <f t="shared" si="44"/>
        <v>19</v>
      </c>
      <c r="I188" s="9">
        <f t="shared" si="45"/>
        <v>6</v>
      </c>
      <c r="J188" s="8" t="s">
        <v>36</v>
      </c>
      <c r="K188" s="9" t="str">
        <f t="shared" si="46"/>
        <v>Ahmed@bad</v>
      </c>
      <c r="L188" s="8" t="s">
        <v>818</v>
      </c>
      <c r="M188" s="8" t="str">
        <f t="shared" si="47"/>
        <v>Thursday</v>
      </c>
      <c r="N188" s="8" t="str">
        <f t="shared" si="48"/>
        <v>Thu</v>
      </c>
      <c r="O188" s="8" t="str">
        <f t="shared" si="49"/>
        <v>day</v>
      </c>
      <c r="P188" s="8">
        <f t="shared" si="50"/>
        <v>6</v>
      </c>
      <c r="Q188" s="8">
        <f t="shared" si="51"/>
        <v>2023</v>
      </c>
      <c r="R188" s="8" t="s">
        <v>819</v>
      </c>
      <c r="S188" s="8">
        <f t="shared" si="52"/>
        <v>10</v>
      </c>
      <c r="T188" s="8">
        <f t="shared" si="53"/>
        <v>50</v>
      </c>
      <c r="U188" s="8">
        <f t="shared" si="54"/>
        <v>21</v>
      </c>
      <c r="V188" s="8">
        <v>68332</v>
      </c>
      <c r="W188" s="8">
        <v>77083</v>
      </c>
      <c r="X188" s="9" t="str">
        <f t="shared" si="55"/>
        <v>Highe Target</v>
      </c>
      <c r="Y188" s="9" t="str">
        <f t="shared" si="56"/>
        <v>Highe target</v>
      </c>
      <c r="Z188" s="9" t="str" cm="1">
        <f t="array" ref="Z188">_xlfn.IFS(W188&lt;60000,"LOWERTarget",W188&lt;80000,"Medium Target",W188,"Highe Target")</f>
        <v>Medium Target</v>
      </c>
      <c r="AA188" s="8" t="s">
        <v>71</v>
      </c>
      <c r="AB188" s="5" t="str">
        <f t="shared" si="57"/>
        <v>GREAT SUPPORT</v>
      </c>
      <c r="AC188" s="5" t="str">
        <f t="shared" si="58"/>
        <v>great support</v>
      </c>
      <c r="AD188" s="5" t="str">
        <f t="shared" si="59"/>
        <v>Great Support</v>
      </c>
      <c r="AF188" s="6"/>
    </row>
    <row r="189" ht="14.25" customHeight="1" spans="1:32">
      <c r="A189" s="8" t="s">
        <v>820</v>
      </c>
      <c r="B189" s="8" t="s">
        <v>609</v>
      </c>
      <c r="C189" s="9">
        <f t="shared" si="40"/>
        <v>11</v>
      </c>
      <c r="D189" s="8" t="s">
        <v>93</v>
      </c>
      <c r="E189" s="8" t="str">
        <f t="shared" si="41"/>
        <v>Arjun Verma(E1090) - Sales</v>
      </c>
      <c r="F189" s="9" t="str">
        <f t="shared" si="42"/>
        <v>Arjun Verma(E1090) -</v>
      </c>
      <c r="G189" s="9" t="str">
        <f t="shared" si="43"/>
        <v>Sales</v>
      </c>
      <c r="H189" s="9">
        <f t="shared" si="44"/>
        <v>20</v>
      </c>
      <c r="I189" s="9">
        <f t="shared" si="45"/>
        <v>6</v>
      </c>
      <c r="J189" s="8" t="s">
        <v>53</v>
      </c>
      <c r="K189" s="9" t="str">
        <f t="shared" si="46"/>
        <v>Delhi</v>
      </c>
      <c r="L189" s="8" t="s">
        <v>821</v>
      </c>
      <c r="M189" s="8" t="str">
        <f t="shared" si="47"/>
        <v>Thursday</v>
      </c>
      <c r="N189" s="8" t="str">
        <f t="shared" si="48"/>
        <v>Thu</v>
      </c>
      <c r="O189" s="8" t="str">
        <f t="shared" si="49"/>
        <v>day</v>
      </c>
      <c r="P189" s="8">
        <f t="shared" si="50"/>
        <v>9</v>
      </c>
      <c r="Q189" s="8">
        <f t="shared" si="51"/>
        <v>2022</v>
      </c>
      <c r="R189" s="8" t="s">
        <v>822</v>
      </c>
      <c r="S189" s="8">
        <f t="shared" si="52"/>
        <v>10</v>
      </c>
      <c r="T189" s="8">
        <f t="shared" si="53"/>
        <v>47</v>
      </c>
      <c r="U189" s="8">
        <f t="shared" si="54"/>
        <v>52</v>
      </c>
      <c r="V189" s="8">
        <v>81217</v>
      </c>
      <c r="W189" s="8">
        <v>77303</v>
      </c>
      <c r="X189" s="9" t="str">
        <f t="shared" si="55"/>
        <v>Highe Target</v>
      </c>
      <c r="Y189" s="9" t="str">
        <f t="shared" si="56"/>
        <v>Highe target</v>
      </c>
      <c r="Z189" s="9" t="str" cm="1">
        <f t="array" ref="Z189">_xlfn.IFS(W189&lt;60000,"LOWERTarget",W189&lt;80000,"Medium Target",W189,"Highe Target")</f>
        <v>Medium Target</v>
      </c>
      <c r="AA189" s="8" t="s">
        <v>56</v>
      </c>
      <c r="AB189" s="5" t="str">
        <f t="shared" si="57"/>
        <v>   HELPFUL ATTITUDE   </v>
      </c>
      <c r="AC189" s="5" t="str">
        <f t="shared" si="58"/>
        <v>   helpful attitude   </v>
      </c>
      <c r="AD189" s="5" t="str">
        <f t="shared" si="59"/>
        <v>   Helpful Attitude   </v>
      </c>
      <c r="AF189" s="6"/>
    </row>
    <row r="190" ht="14.25" customHeight="1" spans="1:32">
      <c r="A190" s="8" t="s">
        <v>823</v>
      </c>
      <c r="B190" s="8" t="s">
        <v>824</v>
      </c>
      <c r="C190" s="9">
        <f t="shared" si="40"/>
        <v>11</v>
      </c>
      <c r="D190" s="8" t="s">
        <v>35</v>
      </c>
      <c r="E190" s="8" t="str">
        <f t="shared" si="41"/>
        <v>Pooja Kumar(E1181) - Finance</v>
      </c>
      <c r="F190" s="9" t="str">
        <f t="shared" si="42"/>
        <v>Pooja Kumar(E1181) -</v>
      </c>
      <c r="G190" s="9" t="str">
        <f t="shared" si="43"/>
        <v>Finance</v>
      </c>
      <c r="H190" s="9">
        <f t="shared" si="44"/>
        <v>20</v>
      </c>
      <c r="I190" s="9">
        <f t="shared" si="45"/>
        <v>8</v>
      </c>
      <c r="J190" s="8" t="s">
        <v>182</v>
      </c>
      <c r="K190" s="9" t="str">
        <f t="shared" si="46"/>
        <v>Kolk@ta</v>
      </c>
      <c r="L190" s="8" t="s">
        <v>825</v>
      </c>
      <c r="M190" s="8" t="str">
        <f t="shared" si="47"/>
        <v>Monday</v>
      </c>
      <c r="N190" s="8" t="str">
        <f t="shared" si="48"/>
        <v>Mon</v>
      </c>
      <c r="O190" s="8" t="str">
        <f t="shared" si="49"/>
        <v>day</v>
      </c>
      <c r="P190" s="8">
        <f t="shared" si="50"/>
        <v>1</v>
      </c>
      <c r="Q190" s="8">
        <f t="shared" si="51"/>
        <v>2021</v>
      </c>
      <c r="R190" s="8" t="s">
        <v>826</v>
      </c>
      <c r="S190" s="8">
        <f t="shared" si="52"/>
        <v>10</v>
      </c>
      <c r="T190" s="8">
        <f t="shared" si="53"/>
        <v>22</v>
      </c>
      <c r="U190" s="8">
        <f t="shared" si="54"/>
        <v>15</v>
      </c>
      <c r="V190" s="8">
        <v>89699</v>
      </c>
      <c r="W190" s="8">
        <v>77399</v>
      </c>
      <c r="X190" s="9" t="str">
        <f t="shared" si="55"/>
        <v>Highe Target</v>
      </c>
      <c r="Y190" s="9" t="str">
        <f t="shared" si="56"/>
        <v>Highe target</v>
      </c>
      <c r="Z190" s="9" t="str" cm="1">
        <f t="array" ref="Z190">_xlfn.IFS(W190&lt;60000,"LOWERTarget",W190&lt;80000,"Medium Target",W190,"Highe Target")</f>
        <v>Medium Target</v>
      </c>
      <c r="AA190" s="8" t="s">
        <v>285</v>
      </c>
      <c r="AB190" s="5" t="str">
        <f t="shared" si="57"/>
        <v>QUICK RESPONSE</v>
      </c>
      <c r="AC190" s="5" t="str">
        <f t="shared" si="58"/>
        <v>quick response</v>
      </c>
      <c r="AD190" s="5" t="str">
        <f t="shared" si="59"/>
        <v>Quick Response</v>
      </c>
      <c r="AF190" s="6"/>
    </row>
    <row r="191" ht="14.25" customHeight="1" spans="1:32">
      <c r="A191" s="8" t="s">
        <v>827</v>
      </c>
      <c r="B191" s="8" t="s">
        <v>828</v>
      </c>
      <c r="C191" s="9">
        <f t="shared" si="40"/>
        <v>11</v>
      </c>
      <c r="D191" s="8" t="s">
        <v>35</v>
      </c>
      <c r="E191" s="8" t="str">
        <f t="shared" si="41"/>
        <v>Varun Joshi(E1068) - Finance</v>
      </c>
      <c r="F191" s="9" t="str">
        <f t="shared" si="42"/>
        <v>Varun Joshi(E1068) -</v>
      </c>
      <c r="G191" s="9" t="str">
        <f t="shared" si="43"/>
        <v>Finance</v>
      </c>
      <c r="H191" s="9">
        <f t="shared" si="44"/>
        <v>20</v>
      </c>
      <c r="I191" s="9">
        <f t="shared" si="45"/>
        <v>8</v>
      </c>
      <c r="J191" s="8" t="s">
        <v>76</v>
      </c>
      <c r="K191" s="9" t="str">
        <f t="shared" si="46"/>
        <v>Pune</v>
      </c>
      <c r="L191" s="8" t="s">
        <v>829</v>
      </c>
      <c r="M191" s="8" t="str">
        <f t="shared" si="47"/>
        <v>Sunday</v>
      </c>
      <c r="N191" s="8" t="str">
        <f t="shared" si="48"/>
        <v>Sun</v>
      </c>
      <c r="O191" s="8" t="str">
        <f t="shared" si="49"/>
        <v>day</v>
      </c>
      <c r="P191" s="8">
        <f t="shared" si="50"/>
        <v>3</v>
      </c>
      <c r="Q191" s="8">
        <f t="shared" si="51"/>
        <v>2024</v>
      </c>
      <c r="R191" s="8" t="s">
        <v>830</v>
      </c>
      <c r="S191" s="8">
        <f t="shared" si="52"/>
        <v>8</v>
      </c>
      <c r="T191" s="8">
        <f t="shared" si="53"/>
        <v>59</v>
      </c>
      <c r="U191" s="8">
        <f t="shared" si="54"/>
        <v>19</v>
      </c>
      <c r="V191" s="8">
        <v>87331</v>
      </c>
      <c r="W191" s="8">
        <v>77735</v>
      </c>
      <c r="X191" s="9" t="str">
        <f t="shared" si="55"/>
        <v>Highe Target</v>
      </c>
      <c r="Y191" s="9" t="str">
        <f t="shared" si="56"/>
        <v>Highe target</v>
      </c>
      <c r="Z191" s="9" t="str" cm="1">
        <f t="array" ref="Z191">_xlfn.IFS(W191&lt;60000,"LOWERTarget",W191&lt;80000,"Medium Target",W191,"Highe Target")</f>
        <v>Medium Target</v>
      </c>
      <c r="AA191" s="8" t="s">
        <v>39</v>
      </c>
      <c r="AB191" s="5" t="str">
        <f t="shared" si="57"/>
        <v>DETAILED ANALYSIS</v>
      </c>
      <c r="AC191" s="5" t="str">
        <f t="shared" si="58"/>
        <v>detailed analysis</v>
      </c>
      <c r="AD191" s="5" t="str">
        <f t="shared" si="59"/>
        <v>Detailed Analysis</v>
      </c>
      <c r="AF191" s="6"/>
    </row>
    <row r="192" ht="14.25" customHeight="1" spans="1:32">
      <c r="A192" s="8" t="s">
        <v>831</v>
      </c>
      <c r="B192" s="8" t="s">
        <v>171</v>
      </c>
      <c r="C192" s="9">
        <f t="shared" si="40"/>
        <v>14</v>
      </c>
      <c r="D192" s="8" t="s">
        <v>93</v>
      </c>
      <c r="E192" s="8" t="str">
        <f t="shared" si="41"/>
        <v>Madhuri Mishra(E1206) - Sales</v>
      </c>
      <c r="F192" s="9" t="str">
        <f t="shared" si="42"/>
        <v>Madhuri Mishra(E1206) -</v>
      </c>
      <c r="G192" s="9" t="str">
        <f t="shared" si="43"/>
        <v>Sales</v>
      </c>
      <c r="H192" s="9">
        <f t="shared" si="44"/>
        <v>23</v>
      </c>
      <c r="I192" s="9">
        <f t="shared" si="45"/>
        <v>6</v>
      </c>
      <c r="J192" s="8" t="s">
        <v>153</v>
      </c>
      <c r="K192" s="9" t="str">
        <f t="shared" si="46"/>
        <v>Mumb@i</v>
      </c>
      <c r="L192" s="8" t="s">
        <v>527</v>
      </c>
      <c r="M192" s="8" t="str">
        <f t="shared" si="47"/>
        <v>Wednesday</v>
      </c>
      <c r="N192" s="8" t="str">
        <f t="shared" si="48"/>
        <v>Wed</v>
      </c>
      <c r="O192" s="8" t="str">
        <f t="shared" si="49"/>
        <v>day</v>
      </c>
      <c r="P192" s="8">
        <f t="shared" si="50"/>
        <v>6</v>
      </c>
      <c r="Q192" s="8">
        <f t="shared" si="51"/>
        <v>2021</v>
      </c>
      <c r="R192" s="8" t="s">
        <v>832</v>
      </c>
      <c r="S192" s="8">
        <f t="shared" si="52"/>
        <v>8</v>
      </c>
      <c r="T192" s="8">
        <f t="shared" si="53"/>
        <v>41</v>
      </c>
      <c r="U192" s="8">
        <f t="shared" si="54"/>
        <v>49</v>
      </c>
      <c r="V192" s="8">
        <v>80143</v>
      </c>
      <c r="W192" s="8">
        <v>77799</v>
      </c>
      <c r="X192" s="9" t="str">
        <f t="shared" si="55"/>
        <v>Highe Target</v>
      </c>
      <c r="Y192" s="9" t="str">
        <f t="shared" si="56"/>
        <v>Highe target</v>
      </c>
      <c r="Z192" s="9" t="str" cm="1">
        <f t="array" ref="Z192">_xlfn.IFS(W192&lt;60000,"LOWERTarget",W192&lt;80000,"Medium Target",W192,"Highe Target")</f>
        <v>Medium Target</v>
      </c>
      <c r="AA192" s="8" t="s">
        <v>138</v>
      </c>
      <c r="AB192" s="5" t="str">
        <f t="shared" si="57"/>
        <v>GOOD TEAMWORK</v>
      </c>
      <c r="AC192" s="5" t="str">
        <f t="shared" si="58"/>
        <v>good teamwork</v>
      </c>
      <c r="AD192" s="5" t="str">
        <f t="shared" si="59"/>
        <v>Good Teamwork</v>
      </c>
      <c r="AF192" s="6"/>
    </row>
    <row r="193" ht="14.25" customHeight="1" spans="1:32">
      <c r="A193" s="8" t="s">
        <v>833</v>
      </c>
      <c r="B193" s="8" t="s">
        <v>834</v>
      </c>
      <c r="C193" s="9">
        <f t="shared" si="40"/>
        <v>12</v>
      </c>
      <c r="D193" s="8" t="s">
        <v>93</v>
      </c>
      <c r="E193" s="8" t="str">
        <f t="shared" si="41"/>
        <v>Deepak Gupta(E1246) - Sales</v>
      </c>
      <c r="F193" s="9" t="str">
        <f t="shared" si="42"/>
        <v>Deepak Gupta(E1246) -</v>
      </c>
      <c r="G193" s="9" t="str">
        <f t="shared" si="43"/>
        <v>Sales</v>
      </c>
      <c r="H193" s="9">
        <f t="shared" si="44"/>
        <v>21</v>
      </c>
      <c r="I193" s="9">
        <f t="shared" si="45"/>
        <v>6</v>
      </c>
      <c r="J193" s="8" t="s">
        <v>182</v>
      </c>
      <c r="K193" s="9" t="str">
        <f t="shared" si="46"/>
        <v>Kolk@ta</v>
      </c>
      <c r="L193" s="8" t="s">
        <v>835</v>
      </c>
      <c r="M193" s="8" t="str">
        <f t="shared" si="47"/>
        <v>Monday</v>
      </c>
      <c r="N193" s="8" t="str">
        <f t="shared" si="48"/>
        <v>Mon</v>
      </c>
      <c r="O193" s="8" t="str">
        <f t="shared" si="49"/>
        <v>day</v>
      </c>
      <c r="P193" s="8">
        <f t="shared" si="50"/>
        <v>6</v>
      </c>
      <c r="Q193" s="8">
        <f t="shared" si="51"/>
        <v>2022</v>
      </c>
      <c r="R193" s="8" t="s">
        <v>836</v>
      </c>
      <c r="S193" s="8">
        <f t="shared" si="52"/>
        <v>8</v>
      </c>
      <c r="T193" s="8">
        <f t="shared" si="53"/>
        <v>47</v>
      </c>
      <c r="U193" s="8">
        <f t="shared" si="54"/>
        <v>13</v>
      </c>
      <c r="V193" s="8">
        <v>67686</v>
      </c>
      <c r="W193" s="8">
        <v>77900</v>
      </c>
      <c r="X193" s="9" t="str">
        <f t="shared" si="55"/>
        <v>Highe Target</v>
      </c>
      <c r="Y193" s="9" t="str">
        <f t="shared" si="56"/>
        <v>Highe target</v>
      </c>
      <c r="Z193" s="9" t="str" cm="1">
        <f t="array" ref="Z193">_xlfn.IFS(W193&lt;60000,"LOWERTarget",W193&lt;80000,"Medium Target",W193,"Highe Target")</f>
        <v>Medium Target</v>
      </c>
      <c r="AA193" s="8" t="s">
        <v>87</v>
      </c>
      <c r="AB193" s="5" t="str">
        <f t="shared" si="57"/>
        <v>EXCELLENT SERVICE</v>
      </c>
      <c r="AC193" s="5" t="str">
        <f t="shared" si="58"/>
        <v>excellent service</v>
      </c>
      <c r="AD193" s="5" t="str">
        <f t="shared" si="59"/>
        <v>Excellent Service</v>
      </c>
      <c r="AF193" s="6"/>
    </row>
    <row r="194" ht="14.25" customHeight="1" spans="1:32">
      <c r="A194" s="8" t="s">
        <v>837</v>
      </c>
      <c r="B194" s="8" t="s">
        <v>838</v>
      </c>
      <c r="C194" s="9">
        <f t="shared" ref="C194:C257" si="60">LEN(B194)</f>
        <v>12</v>
      </c>
      <c r="D194" s="8" t="s">
        <v>93</v>
      </c>
      <c r="E194" s="8" t="str">
        <f t="shared" ref="E194:E257" si="61">_xlfn.CONCAT(B194,"(",A194,")"," - ",D194)</f>
        <v>Manish Gupta(E1221) - Sales</v>
      </c>
      <c r="F194" s="9" t="str">
        <f t="shared" ref="F194:F257" si="62">LEFT(E194,FIND("-",E194))</f>
        <v>Manish Gupta(E1221) -</v>
      </c>
      <c r="G194" s="9" t="str">
        <f t="shared" ref="G194:G257" si="63">RIGHT(E194,LEN(E194)-FIND("-",E194)-1)</f>
        <v>Sales</v>
      </c>
      <c r="H194" s="9">
        <f t="shared" ref="H194:H257" si="64">FIND("-",E194)</f>
        <v>21</v>
      </c>
      <c r="I194" s="9">
        <f t="shared" ref="I194:I257" si="65">LEN(E194)-FIND("-",E194)</f>
        <v>6</v>
      </c>
      <c r="J194" s="8" t="s">
        <v>36</v>
      </c>
      <c r="K194" s="9" t="str">
        <f t="shared" ref="K194:K257" si="66">SUBSTITUTE(J194,"a","@",1)</f>
        <v>Ahmed@bad</v>
      </c>
      <c r="L194" s="8" t="s">
        <v>839</v>
      </c>
      <c r="M194" s="8" t="str">
        <f t="shared" ref="M194:M257" si="67">TEXT(L194,"dddd")</f>
        <v>Tuesday</v>
      </c>
      <c r="N194" s="8" t="str">
        <f t="shared" ref="N194:N257" si="68">LEFT(M194,3)</f>
        <v>Tue</v>
      </c>
      <c r="O194" s="8" t="str">
        <f t="shared" ref="O194:O257" si="69">RIGHT(M194,3)</f>
        <v>day</v>
      </c>
      <c r="P194" s="8">
        <f t="shared" ref="P194:P257" si="70">MONTH(L194)</f>
        <v>6</v>
      </c>
      <c r="Q194" s="8">
        <f t="shared" ref="Q194:Q257" si="71">YEAR(L194)</f>
        <v>2022</v>
      </c>
      <c r="R194" s="8" t="s">
        <v>840</v>
      </c>
      <c r="S194" s="8">
        <f t="shared" ref="S194:S257" si="72">HOUR(R194)</f>
        <v>10</v>
      </c>
      <c r="T194" s="8">
        <f t="shared" ref="T194:T257" si="73">MINUTE(R194)</f>
        <v>50</v>
      </c>
      <c r="U194" s="8">
        <f t="shared" ref="U194:U257" si="74">SECOND(R194)</f>
        <v>49</v>
      </c>
      <c r="V194" s="8">
        <v>77822</v>
      </c>
      <c r="W194" s="8">
        <v>77910</v>
      </c>
      <c r="X194" s="9" t="str">
        <f t="shared" ref="X194:X257" si="75">IF(W194&gt;50000,"Highe Target","Low Target")</f>
        <v>Highe Target</v>
      </c>
      <c r="Y194" s="9" t="str">
        <f t="shared" ref="Y194:Y257" si="76">IF(NOT(W194&lt;50000),"Highe target","Lower Target")</f>
        <v>Highe target</v>
      </c>
      <c r="Z194" s="9" t="str" cm="1">
        <f t="array" ref="Z194">_xlfn.IFS(W194&lt;60000,"LOWERTarget",W194&lt;80000,"Medium Target",W194,"Highe Target")</f>
        <v>Medium Target</v>
      </c>
      <c r="AA194" s="8" t="s">
        <v>96</v>
      </c>
      <c r="AB194" s="5" t="str">
        <f t="shared" ref="AB194:AB257" si="77">UPPER(AA194)</f>
        <v>FAST DELIVERY</v>
      </c>
      <c r="AC194" s="5" t="str">
        <f t="shared" ref="AC194:AC257" si="78">LOWER(AA194)</f>
        <v>fast delivery</v>
      </c>
      <c r="AD194" s="5" t="str">
        <f t="shared" ref="AD194:AD231" si="79">PROPER(AA194)</f>
        <v>Fast Delivery</v>
      </c>
      <c r="AF194" s="6"/>
    </row>
    <row r="195" ht="14.25" customHeight="1" spans="1:32">
      <c r="A195" s="8" t="s">
        <v>841</v>
      </c>
      <c r="B195" s="8" t="s">
        <v>842</v>
      </c>
      <c r="C195" s="9">
        <f t="shared" si="60"/>
        <v>10</v>
      </c>
      <c r="D195" s="8" t="s">
        <v>93</v>
      </c>
      <c r="E195" s="8" t="str">
        <f t="shared" si="61"/>
        <v>Amit Singh(E1039) - Sales</v>
      </c>
      <c r="F195" s="9" t="str">
        <f t="shared" si="62"/>
        <v>Amit Singh(E1039) -</v>
      </c>
      <c r="G195" s="9" t="str">
        <f t="shared" si="63"/>
        <v>Sales</v>
      </c>
      <c r="H195" s="9">
        <f t="shared" si="64"/>
        <v>19</v>
      </c>
      <c r="I195" s="9">
        <f t="shared" si="65"/>
        <v>6</v>
      </c>
      <c r="J195" s="8" t="s">
        <v>53</v>
      </c>
      <c r="K195" s="9" t="str">
        <f t="shared" si="66"/>
        <v>Delhi</v>
      </c>
      <c r="L195" s="8" t="s">
        <v>843</v>
      </c>
      <c r="M195" s="8" t="str">
        <f t="shared" si="67"/>
        <v>Tuesday</v>
      </c>
      <c r="N195" s="8" t="str">
        <f t="shared" si="68"/>
        <v>Tue</v>
      </c>
      <c r="O195" s="8" t="str">
        <f t="shared" si="69"/>
        <v>day</v>
      </c>
      <c r="P195" s="8">
        <f t="shared" si="70"/>
        <v>1</v>
      </c>
      <c r="Q195" s="8">
        <f t="shared" si="71"/>
        <v>2024</v>
      </c>
      <c r="R195" s="8" t="s">
        <v>844</v>
      </c>
      <c r="S195" s="8">
        <f t="shared" si="72"/>
        <v>8</v>
      </c>
      <c r="T195" s="8">
        <f t="shared" si="73"/>
        <v>53</v>
      </c>
      <c r="U195" s="8">
        <f t="shared" si="74"/>
        <v>23</v>
      </c>
      <c r="V195" s="8">
        <v>72880</v>
      </c>
      <c r="W195" s="8">
        <v>78175</v>
      </c>
      <c r="X195" s="9" t="str">
        <f t="shared" si="75"/>
        <v>Highe Target</v>
      </c>
      <c r="Y195" s="9" t="str">
        <f t="shared" si="76"/>
        <v>Highe target</v>
      </c>
      <c r="Z195" s="9" t="str" cm="1">
        <f t="array" ref="Z195">_xlfn.IFS(W195&lt;60000,"LOWERTarget",W195&lt;80000,"Medium Target",W195,"Highe Target")</f>
        <v>Medium Target</v>
      </c>
      <c r="AA195" s="8" t="s">
        <v>39</v>
      </c>
      <c r="AB195" s="5" t="str">
        <f t="shared" si="77"/>
        <v>DETAILED ANALYSIS</v>
      </c>
      <c r="AC195" s="5" t="str">
        <f t="shared" si="78"/>
        <v>detailed analysis</v>
      </c>
      <c r="AD195" s="5" t="str">
        <f t="shared" si="79"/>
        <v>Detailed Analysis</v>
      </c>
      <c r="AF195" s="6"/>
    </row>
    <row r="196" ht="14.25" customHeight="1" spans="1:32">
      <c r="A196" s="8" t="s">
        <v>845</v>
      </c>
      <c r="B196" s="8" t="s">
        <v>321</v>
      </c>
      <c r="C196" s="9">
        <f t="shared" si="60"/>
        <v>12</v>
      </c>
      <c r="D196" s="8" t="s">
        <v>60</v>
      </c>
      <c r="E196" s="8" t="str">
        <f t="shared" si="61"/>
        <v>Priya Mishra(E1265) - HR</v>
      </c>
      <c r="F196" s="9" t="str">
        <f t="shared" si="62"/>
        <v>Priya Mishra(E1265) -</v>
      </c>
      <c r="G196" s="9" t="str">
        <f t="shared" si="63"/>
        <v>HR</v>
      </c>
      <c r="H196" s="9">
        <f t="shared" si="64"/>
        <v>21</v>
      </c>
      <c r="I196" s="9">
        <f t="shared" si="65"/>
        <v>3</v>
      </c>
      <c r="J196" s="8" t="s">
        <v>53</v>
      </c>
      <c r="K196" s="9" t="str">
        <f t="shared" si="66"/>
        <v>Delhi</v>
      </c>
      <c r="L196" s="8" t="s">
        <v>846</v>
      </c>
      <c r="M196" s="8" t="str">
        <f t="shared" si="67"/>
        <v>Wednesday</v>
      </c>
      <c r="N196" s="8" t="str">
        <f t="shared" si="68"/>
        <v>Wed</v>
      </c>
      <c r="O196" s="8" t="str">
        <f t="shared" si="69"/>
        <v>day</v>
      </c>
      <c r="P196" s="8">
        <f t="shared" si="70"/>
        <v>2</v>
      </c>
      <c r="Q196" s="8">
        <f t="shared" si="71"/>
        <v>2021</v>
      </c>
      <c r="R196" s="8" t="s">
        <v>847</v>
      </c>
      <c r="S196" s="8">
        <f t="shared" si="72"/>
        <v>9</v>
      </c>
      <c r="T196" s="8">
        <f t="shared" si="73"/>
        <v>35</v>
      </c>
      <c r="U196" s="8">
        <f t="shared" si="74"/>
        <v>59</v>
      </c>
      <c r="V196" s="8">
        <v>90641</v>
      </c>
      <c r="W196" s="8">
        <v>78275</v>
      </c>
      <c r="X196" s="9" t="str">
        <f t="shared" si="75"/>
        <v>Highe Target</v>
      </c>
      <c r="Y196" s="9" t="str">
        <f t="shared" si="76"/>
        <v>Highe target</v>
      </c>
      <c r="Z196" s="9" t="str" cm="1">
        <f t="array" ref="Z196">_xlfn.IFS(W196&lt;60000,"LOWERTarget",W196&lt;80000,"Medium Target",W196,"Highe Target")</f>
        <v>Medium Target</v>
      </c>
      <c r="AA196" s="8" t="s">
        <v>848</v>
      </c>
      <c r="AB196" s="5" t="str">
        <f t="shared" si="77"/>
        <v>   NEEDS IMPROVEMENT   </v>
      </c>
      <c r="AC196" s="5" t="str">
        <f t="shared" si="78"/>
        <v>   needs improvement   </v>
      </c>
      <c r="AD196" s="5" t="str">
        <f t="shared" si="79"/>
        <v>   Needs Improvement   </v>
      </c>
      <c r="AF196" s="6"/>
    </row>
    <row r="197" ht="14.25" customHeight="1" spans="1:32">
      <c r="A197" s="8" t="s">
        <v>849</v>
      </c>
      <c r="B197" s="8" t="s">
        <v>850</v>
      </c>
      <c r="C197" s="9">
        <f t="shared" si="60"/>
        <v>12</v>
      </c>
      <c r="D197" s="8" t="s">
        <v>44</v>
      </c>
      <c r="E197" s="8" t="str">
        <f t="shared" si="61"/>
        <v>Ritika Singh(E1122) - Marketing</v>
      </c>
      <c r="F197" s="9" t="str">
        <f t="shared" si="62"/>
        <v>Ritika Singh(E1122) -</v>
      </c>
      <c r="G197" s="9" t="str">
        <f t="shared" si="63"/>
        <v>Marketing</v>
      </c>
      <c r="H197" s="9">
        <f t="shared" si="64"/>
        <v>21</v>
      </c>
      <c r="I197" s="9">
        <f t="shared" si="65"/>
        <v>10</v>
      </c>
      <c r="J197" s="8" t="s">
        <v>172</v>
      </c>
      <c r="K197" s="9" t="str">
        <f t="shared" si="66"/>
        <v>Hyder@bad</v>
      </c>
      <c r="L197" s="8" t="s">
        <v>851</v>
      </c>
      <c r="M197" s="8" t="str">
        <f t="shared" si="67"/>
        <v>Wednesday</v>
      </c>
      <c r="N197" s="8" t="str">
        <f t="shared" si="68"/>
        <v>Wed</v>
      </c>
      <c r="O197" s="8" t="str">
        <f t="shared" si="69"/>
        <v>day</v>
      </c>
      <c r="P197" s="8">
        <f t="shared" si="70"/>
        <v>10</v>
      </c>
      <c r="Q197" s="8">
        <f t="shared" si="71"/>
        <v>2024</v>
      </c>
      <c r="R197" s="8" t="s">
        <v>852</v>
      </c>
      <c r="S197" s="8">
        <f t="shared" si="72"/>
        <v>10</v>
      </c>
      <c r="T197" s="8">
        <f t="shared" si="73"/>
        <v>43</v>
      </c>
      <c r="U197" s="8">
        <f t="shared" si="74"/>
        <v>16</v>
      </c>
      <c r="V197" s="8">
        <v>88279</v>
      </c>
      <c r="W197" s="8">
        <v>78309</v>
      </c>
      <c r="X197" s="9" t="str">
        <f t="shared" si="75"/>
        <v>Highe Target</v>
      </c>
      <c r="Y197" s="9" t="str">
        <f t="shared" si="76"/>
        <v>Highe target</v>
      </c>
      <c r="Z197" s="9" t="str" cm="1">
        <f t="array" ref="Z197">_xlfn.IFS(W197&lt;60000,"LOWERTarget",W197&lt;80000,"Medium Target",W197,"Highe Target")</f>
        <v>Medium Target</v>
      </c>
      <c r="AA197" s="8" t="s">
        <v>243</v>
      </c>
      <c r="AB197" s="5" t="str">
        <f t="shared" si="77"/>
        <v>POSITIVE ATTITUDE</v>
      </c>
      <c r="AC197" s="5" t="str">
        <f t="shared" si="78"/>
        <v>positive attitude</v>
      </c>
      <c r="AD197" s="5" t="str">
        <f t="shared" si="79"/>
        <v>Positive Attitude</v>
      </c>
      <c r="AF197" s="6"/>
    </row>
    <row r="198" ht="14.25" customHeight="1" spans="1:32">
      <c r="A198" s="8" t="s">
        <v>853</v>
      </c>
      <c r="B198" s="8" t="s">
        <v>854</v>
      </c>
      <c r="C198" s="9">
        <f t="shared" si="60"/>
        <v>12</v>
      </c>
      <c r="D198" s="8" t="s">
        <v>60</v>
      </c>
      <c r="E198" s="8" t="str">
        <f t="shared" si="61"/>
        <v>Harsh Chopra(E1085) - HR</v>
      </c>
      <c r="F198" s="9" t="str">
        <f t="shared" si="62"/>
        <v>Harsh Chopra(E1085) -</v>
      </c>
      <c r="G198" s="9" t="str">
        <f t="shared" si="63"/>
        <v>HR</v>
      </c>
      <c r="H198" s="9">
        <f t="shared" si="64"/>
        <v>21</v>
      </c>
      <c r="I198" s="9">
        <f t="shared" si="65"/>
        <v>3</v>
      </c>
      <c r="J198" s="8" t="s">
        <v>182</v>
      </c>
      <c r="K198" s="9" t="str">
        <f t="shared" si="66"/>
        <v>Kolk@ta</v>
      </c>
      <c r="L198" s="8" t="s">
        <v>855</v>
      </c>
      <c r="M198" s="8" t="str">
        <f t="shared" si="67"/>
        <v>Wednesday</v>
      </c>
      <c r="N198" s="8" t="str">
        <f t="shared" si="68"/>
        <v>Wed</v>
      </c>
      <c r="O198" s="8" t="str">
        <f t="shared" si="69"/>
        <v>day</v>
      </c>
      <c r="P198" s="8">
        <f t="shared" si="70"/>
        <v>7</v>
      </c>
      <c r="Q198" s="8">
        <f t="shared" si="71"/>
        <v>2023</v>
      </c>
      <c r="R198" s="8" t="s">
        <v>856</v>
      </c>
      <c r="S198" s="8">
        <f t="shared" si="72"/>
        <v>9</v>
      </c>
      <c r="T198" s="8">
        <f t="shared" si="73"/>
        <v>19</v>
      </c>
      <c r="U198" s="8">
        <f t="shared" si="74"/>
        <v>55</v>
      </c>
      <c r="V198" s="8">
        <v>91672</v>
      </c>
      <c r="W198" s="8">
        <v>78569</v>
      </c>
      <c r="X198" s="9" t="str">
        <f t="shared" si="75"/>
        <v>Highe Target</v>
      </c>
      <c r="Y198" s="9" t="str">
        <f t="shared" si="76"/>
        <v>Highe target</v>
      </c>
      <c r="Z198" s="9" t="str" cm="1">
        <f t="array" ref="Z198">_xlfn.IFS(W198&lt;60000,"LOWERTarget",W198&lt;80000,"Medium Target",W198,"Highe Target")</f>
        <v>Medium Target</v>
      </c>
      <c r="AA198" s="8" t="s">
        <v>848</v>
      </c>
      <c r="AB198" s="5" t="str">
        <f t="shared" si="77"/>
        <v>   NEEDS IMPROVEMENT   </v>
      </c>
      <c r="AC198" s="5" t="str">
        <f t="shared" si="78"/>
        <v>   needs improvement   </v>
      </c>
      <c r="AD198" s="5" t="str">
        <f t="shared" si="79"/>
        <v>   Needs Improvement   </v>
      </c>
      <c r="AF198" s="6"/>
    </row>
    <row r="199" ht="14.25" customHeight="1" spans="1:32">
      <c r="A199" s="8" t="s">
        <v>857</v>
      </c>
      <c r="B199" s="8" t="s">
        <v>858</v>
      </c>
      <c r="C199" s="9">
        <f t="shared" si="60"/>
        <v>15</v>
      </c>
      <c r="D199" s="8" t="s">
        <v>35</v>
      </c>
      <c r="E199" s="8" t="str">
        <f t="shared" si="61"/>
        <v>Shreya Malhotra(E1153) - Finance</v>
      </c>
      <c r="F199" s="9" t="str">
        <f t="shared" si="62"/>
        <v>Shreya Malhotra(E1153) -</v>
      </c>
      <c r="G199" s="9" t="str">
        <f t="shared" si="63"/>
        <v>Finance</v>
      </c>
      <c r="H199" s="9">
        <f t="shared" si="64"/>
        <v>24</v>
      </c>
      <c r="I199" s="9">
        <f t="shared" si="65"/>
        <v>8</v>
      </c>
      <c r="J199" s="8" t="s">
        <v>76</v>
      </c>
      <c r="K199" s="9" t="str">
        <f t="shared" si="66"/>
        <v>Pune</v>
      </c>
      <c r="L199" s="8" t="s">
        <v>859</v>
      </c>
      <c r="M199" s="8" t="str">
        <f t="shared" si="67"/>
        <v>Wednesday</v>
      </c>
      <c r="N199" s="8" t="str">
        <f t="shared" si="68"/>
        <v>Wed</v>
      </c>
      <c r="O199" s="8" t="str">
        <f t="shared" si="69"/>
        <v>day</v>
      </c>
      <c r="P199" s="8">
        <f t="shared" si="70"/>
        <v>6</v>
      </c>
      <c r="Q199" s="8">
        <f t="shared" si="71"/>
        <v>2023</v>
      </c>
      <c r="R199" s="8" t="s">
        <v>860</v>
      </c>
      <c r="S199" s="8">
        <f t="shared" si="72"/>
        <v>8</v>
      </c>
      <c r="T199" s="8">
        <f t="shared" si="73"/>
        <v>15</v>
      </c>
      <c r="U199" s="8">
        <f t="shared" si="74"/>
        <v>27</v>
      </c>
      <c r="V199" s="8">
        <v>89835</v>
      </c>
      <c r="W199" s="8">
        <v>78592</v>
      </c>
      <c r="X199" s="9" t="str">
        <f t="shared" si="75"/>
        <v>Highe Target</v>
      </c>
      <c r="Y199" s="9" t="str">
        <f t="shared" si="76"/>
        <v>Highe target</v>
      </c>
      <c r="Z199" s="9" t="str" cm="1">
        <f t="array" ref="Z199">_xlfn.IFS(W199&lt;60000,"LOWERTarget",W199&lt;80000,"Medium Target",W199,"Highe Target")</f>
        <v>Medium Target</v>
      </c>
      <c r="AA199" s="8" t="s">
        <v>229</v>
      </c>
      <c r="AB199" s="5" t="str">
        <f t="shared" si="77"/>
        <v>STRONG PRESENTATION</v>
      </c>
      <c r="AC199" s="5" t="str">
        <f t="shared" si="78"/>
        <v>strong presentation</v>
      </c>
      <c r="AD199" s="5" t="str">
        <f t="shared" si="79"/>
        <v>Strong Presentation</v>
      </c>
      <c r="AF199" s="6"/>
    </row>
    <row r="200" ht="14.25" customHeight="1" spans="1:32">
      <c r="A200" s="8" t="s">
        <v>861</v>
      </c>
      <c r="B200" s="8" t="s">
        <v>862</v>
      </c>
      <c r="C200" s="9">
        <f t="shared" si="60"/>
        <v>12</v>
      </c>
      <c r="D200" s="8" t="s">
        <v>60</v>
      </c>
      <c r="E200" s="8" t="str">
        <f t="shared" si="61"/>
        <v>Anjali Kumar(E1255) - HR</v>
      </c>
      <c r="F200" s="9" t="str">
        <f t="shared" si="62"/>
        <v>Anjali Kumar(E1255) -</v>
      </c>
      <c r="G200" s="9" t="str">
        <f t="shared" si="63"/>
        <v>HR</v>
      </c>
      <c r="H200" s="9">
        <f t="shared" si="64"/>
        <v>21</v>
      </c>
      <c r="I200" s="9">
        <f t="shared" si="65"/>
        <v>3</v>
      </c>
      <c r="J200" s="8" t="s">
        <v>182</v>
      </c>
      <c r="K200" s="9" t="str">
        <f t="shared" si="66"/>
        <v>Kolk@ta</v>
      </c>
      <c r="L200" s="8" t="s">
        <v>863</v>
      </c>
      <c r="M200" s="8" t="str">
        <f t="shared" si="67"/>
        <v>Thursday</v>
      </c>
      <c r="N200" s="8" t="str">
        <f t="shared" si="68"/>
        <v>Thu</v>
      </c>
      <c r="O200" s="8" t="str">
        <f t="shared" si="69"/>
        <v>day</v>
      </c>
      <c r="P200" s="8">
        <f t="shared" si="70"/>
        <v>9</v>
      </c>
      <c r="Q200" s="8">
        <f t="shared" si="71"/>
        <v>2022</v>
      </c>
      <c r="R200" s="8" t="s">
        <v>864</v>
      </c>
      <c r="S200" s="8">
        <f t="shared" si="72"/>
        <v>9</v>
      </c>
      <c r="T200" s="8">
        <f t="shared" si="73"/>
        <v>3</v>
      </c>
      <c r="U200" s="8">
        <f t="shared" si="74"/>
        <v>35</v>
      </c>
      <c r="V200" s="8">
        <v>75252</v>
      </c>
      <c r="W200" s="8">
        <v>78775</v>
      </c>
      <c r="X200" s="9" t="str">
        <f t="shared" si="75"/>
        <v>Highe Target</v>
      </c>
      <c r="Y200" s="9" t="str">
        <f t="shared" si="76"/>
        <v>Highe target</v>
      </c>
      <c r="Z200" s="9" t="str" cm="1">
        <f t="array" ref="Z200">_xlfn.IFS(W200&lt;60000,"LOWERTarget",W200&lt;80000,"Medium Target",W200,"Highe Target")</f>
        <v>Medium Target</v>
      </c>
      <c r="AA200" s="8" t="s">
        <v>138</v>
      </c>
      <c r="AB200" s="5" t="str">
        <f t="shared" si="77"/>
        <v>GOOD TEAMWORK</v>
      </c>
      <c r="AC200" s="5" t="str">
        <f t="shared" si="78"/>
        <v>good teamwork</v>
      </c>
      <c r="AD200" s="5" t="str">
        <f t="shared" si="79"/>
        <v>Good Teamwork</v>
      </c>
      <c r="AF200" s="6"/>
    </row>
    <row r="201" ht="14.25" customHeight="1" spans="1:32">
      <c r="A201" s="8" t="s">
        <v>865</v>
      </c>
      <c r="B201" s="8" t="s">
        <v>866</v>
      </c>
      <c r="C201" s="9">
        <f t="shared" si="60"/>
        <v>11</v>
      </c>
      <c r="D201" s="8" t="s">
        <v>93</v>
      </c>
      <c r="E201" s="8" t="str">
        <f t="shared" si="61"/>
        <v>Pooja Joshi(E1087) - Sales</v>
      </c>
      <c r="F201" s="9" t="str">
        <f t="shared" si="62"/>
        <v>Pooja Joshi(E1087) -</v>
      </c>
      <c r="G201" s="9" t="str">
        <f t="shared" si="63"/>
        <v>Sales</v>
      </c>
      <c r="H201" s="9">
        <f t="shared" si="64"/>
        <v>20</v>
      </c>
      <c r="I201" s="9">
        <f t="shared" si="65"/>
        <v>6</v>
      </c>
      <c r="J201" s="8" t="s">
        <v>53</v>
      </c>
      <c r="K201" s="9" t="str">
        <f t="shared" si="66"/>
        <v>Delhi</v>
      </c>
      <c r="L201" s="8" t="s">
        <v>867</v>
      </c>
      <c r="M201" s="8" t="str">
        <f t="shared" si="67"/>
        <v>Wednesday</v>
      </c>
      <c r="N201" s="8" t="str">
        <f t="shared" si="68"/>
        <v>Wed</v>
      </c>
      <c r="O201" s="8" t="str">
        <f t="shared" si="69"/>
        <v>day</v>
      </c>
      <c r="P201" s="8">
        <f t="shared" si="70"/>
        <v>1</v>
      </c>
      <c r="Q201" s="8">
        <f t="shared" si="71"/>
        <v>2021</v>
      </c>
      <c r="R201" s="8" t="s">
        <v>868</v>
      </c>
      <c r="S201" s="8">
        <f t="shared" si="72"/>
        <v>9</v>
      </c>
      <c r="T201" s="8">
        <f t="shared" si="73"/>
        <v>28</v>
      </c>
      <c r="U201" s="8">
        <f t="shared" si="74"/>
        <v>44</v>
      </c>
      <c r="V201" s="8">
        <v>94712</v>
      </c>
      <c r="W201" s="8">
        <v>78916</v>
      </c>
      <c r="X201" s="9" t="str">
        <f t="shared" si="75"/>
        <v>Highe Target</v>
      </c>
      <c r="Y201" s="9" t="str">
        <f t="shared" si="76"/>
        <v>Highe target</v>
      </c>
      <c r="Z201" s="9" t="str" cm="1">
        <f t="array" ref="Z201">_xlfn.IFS(W201&lt;60000,"LOWERTarget",W201&lt;80000,"Medium Target",W201,"Highe Target")</f>
        <v>Medium Target</v>
      </c>
      <c r="AA201" s="8" t="s">
        <v>64</v>
      </c>
      <c r="AB201" s="5" t="str">
        <f t="shared" si="77"/>
        <v>NEEDS IMPROVEMENT</v>
      </c>
      <c r="AC201" s="5" t="str">
        <f t="shared" si="78"/>
        <v>needs improvement</v>
      </c>
      <c r="AD201" s="5" t="str">
        <f t="shared" si="79"/>
        <v>Needs Improvement</v>
      </c>
      <c r="AF201" s="6"/>
    </row>
    <row r="202" ht="14.25" customHeight="1" spans="1:32">
      <c r="A202" s="8" t="s">
        <v>869</v>
      </c>
      <c r="B202" s="8" t="s">
        <v>870</v>
      </c>
      <c r="C202" s="9">
        <f t="shared" si="60"/>
        <v>10</v>
      </c>
      <c r="D202" s="8" t="s">
        <v>60</v>
      </c>
      <c r="E202" s="8" t="str">
        <f t="shared" si="61"/>
        <v>Neha Kumar(E1013) - HR</v>
      </c>
      <c r="F202" s="9" t="str">
        <f t="shared" si="62"/>
        <v>Neha Kumar(E1013) -</v>
      </c>
      <c r="G202" s="9" t="str">
        <f t="shared" si="63"/>
        <v>HR</v>
      </c>
      <c r="H202" s="9">
        <f t="shared" si="64"/>
        <v>19</v>
      </c>
      <c r="I202" s="9">
        <f t="shared" si="65"/>
        <v>3</v>
      </c>
      <c r="J202" s="8" t="s">
        <v>182</v>
      </c>
      <c r="K202" s="9" t="str">
        <f t="shared" si="66"/>
        <v>Kolk@ta</v>
      </c>
      <c r="L202" s="8" t="s">
        <v>871</v>
      </c>
      <c r="M202" s="8" t="str">
        <f t="shared" si="67"/>
        <v>Monday</v>
      </c>
      <c r="N202" s="8" t="str">
        <f t="shared" si="68"/>
        <v>Mon</v>
      </c>
      <c r="O202" s="8" t="str">
        <f t="shared" si="69"/>
        <v>day</v>
      </c>
      <c r="P202" s="8">
        <f t="shared" si="70"/>
        <v>5</v>
      </c>
      <c r="Q202" s="8">
        <f t="shared" si="71"/>
        <v>2024</v>
      </c>
      <c r="R202" s="8" t="s">
        <v>872</v>
      </c>
      <c r="S202" s="8">
        <f t="shared" si="72"/>
        <v>8</v>
      </c>
      <c r="T202" s="8">
        <f t="shared" si="73"/>
        <v>24</v>
      </c>
      <c r="U202" s="8">
        <f t="shared" si="74"/>
        <v>24</v>
      </c>
      <c r="V202" s="8">
        <v>94726</v>
      </c>
      <c r="W202" s="8">
        <v>79052</v>
      </c>
      <c r="X202" s="9" t="str">
        <f t="shared" si="75"/>
        <v>Highe Target</v>
      </c>
      <c r="Y202" s="9" t="str">
        <f t="shared" si="76"/>
        <v>Highe target</v>
      </c>
      <c r="Z202" s="9" t="str" cm="1">
        <f t="array" ref="Z202">_xlfn.IFS(W202&lt;60000,"LOWERTarget",W202&lt;80000,"Medium Target",W202,"Highe Target")</f>
        <v>Medium Target</v>
      </c>
      <c r="AA202" s="8" t="s">
        <v>229</v>
      </c>
      <c r="AB202" s="5" t="str">
        <f t="shared" si="77"/>
        <v>STRONG PRESENTATION</v>
      </c>
      <c r="AC202" s="5" t="str">
        <f t="shared" si="78"/>
        <v>strong presentation</v>
      </c>
      <c r="AD202" s="5" t="str">
        <f t="shared" si="79"/>
        <v>Strong Presentation</v>
      </c>
      <c r="AF202" s="6"/>
    </row>
    <row r="203" ht="14.25" customHeight="1" spans="1:32">
      <c r="A203" s="8" t="s">
        <v>873</v>
      </c>
      <c r="B203" s="8" t="s">
        <v>874</v>
      </c>
      <c r="C203" s="9">
        <f t="shared" si="60"/>
        <v>10</v>
      </c>
      <c r="D203" s="8" t="s">
        <v>93</v>
      </c>
      <c r="E203" s="8" t="str">
        <f t="shared" si="61"/>
        <v>Arjun Shah(E1036) - Sales</v>
      </c>
      <c r="F203" s="9" t="str">
        <f t="shared" si="62"/>
        <v>Arjun Shah(E1036) -</v>
      </c>
      <c r="G203" s="9" t="str">
        <f t="shared" si="63"/>
        <v>Sales</v>
      </c>
      <c r="H203" s="9">
        <f t="shared" si="64"/>
        <v>19</v>
      </c>
      <c r="I203" s="9">
        <f t="shared" si="65"/>
        <v>6</v>
      </c>
      <c r="J203" s="8" t="s">
        <v>76</v>
      </c>
      <c r="K203" s="9" t="str">
        <f t="shared" si="66"/>
        <v>Pune</v>
      </c>
      <c r="L203" s="8" t="s">
        <v>875</v>
      </c>
      <c r="M203" s="8" t="str">
        <f t="shared" si="67"/>
        <v>Thursday</v>
      </c>
      <c r="N203" s="8" t="str">
        <f t="shared" si="68"/>
        <v>Thu</v>
      </c>
      <c r="O203" s="8" t="str">
        <f t="shared" si="69"/>
        <v>day</v>
      </c>
      <c r="P203" s="8">
        <f t="shared" si="70"/>
        <v>2</v>
      </c>
      <c r="Q203" s="8">
        <f t="shared" si="71"/>
        <v>2024</v>
      </c>
      <c r="R203" s="8" t="s">
        <v>876</v>
      </c>
      <c r="S203" s="8">
        <f t="shared" si="72"/>
        <v>8</v>
      </c>
      <c r="T203" s="8">
        <f t="shared" si="73"/>
        <v>17</v>
      </c>
      <c r="U203" s="8">
        <f t="shared" si="74"/>
        <v>18</v>
      </c>
      <c r="V203" s="8">
        <v>78441</v>
      </c>
      <c r="W203" s="8">
        <v>79638</v>
      </c>
      <c r="X203" s="9" t="str">
        <f t="shared" si="75"/>
        <v>Highe Target</v>
      </c>
      <c r="Y203" s="9" t="str">
        <f t="shared" si="76"/>
        <v>Highe target</v>
      </c>
      <c r="Z203" s="9" t="str" cm="1">
        <f t="array" ref="Z203">_xlfn.IFS(W203&lt;60000,"LOWERTarget",W203&lt;80000,"Medium Target",W203,"Highe Target")</f>
        <v>Medium Target</v>
      </c>
      <c r="AA203" s="8" t="s">
        <v>96</v>
      </c>
      <c r="AB203" s="5" t="str">
        <f t="shared" si="77"/>
        <v>FAST DELIVERY</v>
      </c>
      <c r="AC203" s="5" t="str">
        <f t="shared" si="78"/>
        <v>fast delivery</v>
      </c>
      <c r="AD203" s="5" t="str">
        <f t="shared" si="79"/>
        <v>Fast Delivery</v>
      </c>
      <c r="AF203" s="6"/>
    </row>
    <row r="204" ht="14.25" customHeight="1" spans="1:32">
      <c r="A204" s="8" t="s">
        <v>877</v>
      </c>
      <c r="B204" s="8" t="s">
        <v>878</v>
      </c>
      <c r="C204" s="9">
        <f t="shared" si="60"/>
        <v>13</v>
      </c>
      <c r="D204" s="8" t="s">
        <v>35</v>
      </c>
      <c r="E204" s="8" t="str">
        <f t="shared" si="61"/>
        <v>Ritika Sharma(E1050) - Finance</v>
      </c>
      <c r="F204" s="9" t="str">
        <f t="shared" si="62"/>
        <v>Ritika Sharma(E1050) -</v>
      </c>
      <c r="G204" s="9" t="str">
        <f t="shared" si="63"/>
        <v>Finance</v>
      </c>
      <c r="H204" s="9">
        <f t="shared" si="64"/>
        <v>22</v>
      </c>
      <c r="I204" s="9">
        <f t="shared" si="65"/>
        <v>8</v>
      </c>
      <c r="J204" s="8" t="s">
        <v>61</v>
      </c>
      <c r="K204" s="9" t="str">
        <f t="shared" si="66"/>
        <v>Chenn@i</v>
      </c>
      <c r="L204" s="8" t="s">
        <v>879</v>
      </c>
      <c r="M204" s="8" t="str">
        <f t="shared" si="67"/>
        <v>Monday</v>
      </c>
      <c r="N204" s="8" t="str">
        <f t="shared" si="68"/>
        <v>Mon</v>
      </c>
      <c r="O204" s="8" t="str">
        <f t="shared" si="69"/>
        <v>day</v>
      </c>
      <c r="P204" s="8">
        <f t="shared" si="70"/>
        <v>3</v>
      </c>
      <c r="Q204" s="8">
        <f t="shared" si="71"/>
        <v>2022</v>
      </c>
      <c r="R204" s="8" t="s">
        <v>880</v>
      </c>
      <c r="S204" s="8">
        <f t="shared" si="72"/>
        <v>9</v>
      </c>
      <c r="T204" s="8">
        <f t="shared" si="73"/>
        <v>50</v>
      </c>
      <c r="U204" s="8">
        <f t="shared" si="74"/>
        <v>37</v>
      </c>
      <c r="V204" s="8">
        <v>85876</v>
      </c>
      <c r="W204" s="8">
        <v>79758</v>
      </c>
      <c r="X204" s="9" t="str">
        <f t="shared" si="75"/>
        <v>Highe Target</v>
      </c>
      <c r="Y204" s="9" t="str">
        <f t="shared" si="76"/>
        <v>Highe target</v>
      </c>
      <c r="Z204" s="9" t="str" cm="1">
        <f t="array" ref="Z204">_xlfn.IFS(W204&lt;60000,"LOWERTarget",W204&lt;80000,"Medium Target",W204,"Highe Target")</f>
        <v>Medium Target</v>
      </c>
      <c r="AA204" s="8" t="s">
        <v>179</v>
      </c>
      <c r="AB204" s="5" t="str">
        <f t="shared" si="77"/>
        <v>HELPFUL ATTITUDE</v>
      </c>
      <c r="AC204" s="5" t="str">
        <f t="shared" si="78"/>
        <v>helpful attitude</v>
      </c>
      <c r="AD204" s="5" t="str">
        <f t="shared" si="79"/>
        <v>Helpful Attitude</v>
      </c>
      <c r="AF204" s="6"/>
    </row>
    <row r="205" ht="14.25" customHeight="1" spans="1:32">
      <c r="A205" s="8" t="s">
        <v>881</v>
      </c>
      <c r="B205" s="8" t="s">
        <v>738</v>
      </c>
      <c r="C205" s="9">
        <f t="shared" si="60"/>
        <v>11</v>
      </c>
      <c r="D205" s="8" t="s">
        <v>44</v>
      </c>
      <c r="E205" s="8" t="str">
        <f t="shared" si="61"/>
        <v>Arjun Mehta(E1049) - Marketing</v>
      </c>
      <c r="F205" s="9" t="str">
        <f t="shared" si="62"/>
        <v>Arjun Mehta(E1049) -</v>
      </c>
      <c r="G205" s="9" t="str">
        <f t="shared" si="63"/>
        <v>Marketing</v>
      </c>
      <c r="H205" s="9">
        <f t="shared" si="64"/>
        <v>20</v>
      </c>
      <c r="I205" s="9">
        <f t="shared" si="65"/>
        <v>10</v>
      </c>
      <c r="J205" s="8" t="s">
        <v>182</v>
      </c>
      <c r="K205" s="9" t="str">
        <f t="shared" si="66"/>
        <v>Kolk@ta</v>
      </c>
      <c r="L205" s="8" t="s">
        <v>882</v>
      </c>
      <c r="M205" s="8" t="str">
        <f t="shared" si="67"/>
        <v>Saturday</v>
      </c>
      <c r="N205" s="8" t="str">
        <f t="shared" si="68"/>
        <v>Sat</v>
      </c>
      <c r="O205" s="8" t="str">
        <f t="shared" si="69"/>
        <v>day</v>
      </c>
      <c r="P205" s="8">
        <f t="shared" si="70"/>
        <v>10</v>
      </c>
      <c r="Q205" s="8">
        <f t="shared" si="71"/>
        <v>2024</v>
      </c>
      <c r="R205" s="8" t="s">
        <v>883</v>
      </c>
      <c r="S205" s="8">
        <f t="shared" si="72"/>
        <v>10</v>
      </c>
      <c r="T205" s="8">
        <f t="shared" si="73"/>
        <v>57</v>
      </c>
      <c r="U205" s="8">
        <f t="shared" si="74"/>
        <v>11</v>
      </c>
      <c r="V205" s="8">
        <v>85061</v>
      </c>
      <c r="W205" s="8">
        <v>80338</v>
      </c>
      <c r="X205" s="9" t="str">
        <f t="shared" si="75"/>
        <v>Highe Target</v>
      </c>
      <c r="Y205" s="9" t="str">
        <f t="shared" si="76"/>
        <v>Highe target</v>
      </c>
      <c r="Z205" s="9" t="str" cm="1">
        <f t="array" ref="Z205">_xlfn.IFS(W205&lt;60000,"LOWERTarget",W205&lt;80000,"Medium Target",W205,"Highe Target")</f>
        <v>Highe Target</v>
      </c>
      <c r="AA205" s="8" t="s">
        <v>39</v>
      </c>
      <c r="AB205" s="5" t="str">
        <f t="shared" si="77"/>
        <v>DETAILED ANALYSIS</v>
      </c>
      <c r="AC205" s="5" t="str">
        <f t="shared" si="78"/>
        <v>detailed analysis</v>
      </c>
      <c r="AD205" s="5" t="str">
        <f t="shared" si="79"/>
        <v>Detailed Analysis</v>
      </c>
      <c r="AF205" s="6"/>
    </row>
    <row r="206" ht="14.25" customHeight="1" spans="1:32">
      <c r="A206" s="8" t="s">
        <v>884</v>
      </c>
      <c r="B206" s="8" t="s">
        <v>885</v>
      </c>
      <c r="C206" s="9">
        <f t="shared" si="60"/>
        <v>10</v>
      </c>
      <c r="D206" s="8" t="s">
        <v>60</v>
      </c>
      <c r="E206" s="8" t="str">
        <f t="shared" si="61"/>
        <v>Arjun Jain(E1219) - HR</v>
      </c>
      <c r="F206" s="9" t="str">
        <f t="shared" si="62"/>
        <v>Arjun Jain(E1219) -</v>
      </c>
      <c r="G206" s="9" t="str">
        <f t="shared" si="63"/>
        <v>HR</v>
      </c>
      <c r="H206" s="9">
        <f t="shared" si="64"/>
        <v>19</v>
      </c>
      <c r="I206" s="9">
        <f t="shared" si="65"/>
        <v>3</v>
      </c>
      <c r="J206" s="8" t="s">
        <v>172</v>
      </c>
      <c r="K206" s="9" t="str">
        <f t="shared" si="66"/>
        <v>Hyder@bad</v>
      </c>
      <c r="L206" s="8" t="s">
        <v>886</v>
      </c>
      <c r="M206" s="8" t="str">
        <f t="shared" si="67"/>
        <v>Sunday</v>
      </c>
      <c r="N206" s="8" t="str">
        <f t="shared" si="68"/>
        <v>Sun</v>
      </c>
      <c r="O206" s="8" t="str">
        <f t="shared" si="69"/>
        <v>day</v>
      </c>
      <c r="P206" s="8">
        <f t="shared" si="70"/>
        <v>6</v>
      </c>
      <c r="Q206" s="8">
        <f t="shared" si="71"/>
        <v>2024</v>
      </c>
      <c r="R206" s="8" t="s">
        <v>887</v>
      </c>
      <c r="S206" s="8">
        <f t="shared" si="72"/>
        <v>9</v>
      </c>
      <c r="T206" s="8">
        <f t="shared" si="73"/>
        <v>10</v>
      </c>
      <c r="U206" s="8">
        <f t="shared" si="74"/>
        <v>25</v>
      </c>
      <c r="V206" s="8">
        <v>85012</v>
      </c>
      <c r="W206" s="8">
        <v>80402</v>
      </c>
      <c r="X206" s="9" t="str">
        <f t="shared" si="75"/>
        <v>Highe Target</v>
      </c>
      <c r="Y206" s="9" t="str">
        <f t="shared" si="76"/>
        <v>Highe target</v>
      </c>
      <c r="Z206" s="9" t="str" cm="1">
        <f t="array" ref="Z206">_xlfn.IFS(W206&lt;60000,"LOWERTarget",W206&lt;80000,"Medium Target",W206,"Highe Target")</f>
        <v>Highe Target</v>
      </c>
      <c r="AA206" s="8" t="s">
        <v>888</v>
      </c>
      <c r="AB206" s="5" t="str">
        <f t="shared" si="77"/>
        <v>   EXCELLENT LEADERSHIP   </v>
      </c>
      <c r="AC206" s="5" t="str">
        <f t="shared" si="78"/>
        <v>   excellent leadership   </v>
      </c>
      <c r="AD206" s="5" t="str">
        <f t="shared" si="79"/>
        <v>   Excellent Leadership   </v>
      </c>
      <c r="AF206" s="6"/>
    </row>
    <row r="207" ht="14.25" customHeight="1" spans="1:32">
      <c r="A207" s="8" t="s">
        <v>889</v>
      </c>
      <c r="B207" s="8" t="s">
        <v>890</v>
      </c>
      <c r="C207" s="9">
        <f t="shared" si="60"/>
        <v>11</v>
      </c>
      <c r="D207" s="8" t="s">
        <v>60</v>
      </c>
      <c r="E207" s="8" t="str">
        <f t="shared" si="61"/>
        <v>Nidhi Joshi(E1112) - HR</v>
      </c>
      <c r="F207" s="9" t="str">
        <f t="shared" si="62"/>
        <v>Nidhi Joshi(E1112) -</v>
      </c>
      <c r="G207" s="9" t="str">
        <f t="shared" si="63"/>
        <v>HR</v>
      </c>
      <c r="H207" s="9">
        <f t="shared" si="64"/>
        <v>20</v>
      </c>
      <c r="I207" s="9">
        <f t="shared" si="65"/>
        <v>3</v>
      </c>
      <c r="J207" s="8" t="s">
        <v>53</v>
      </c>
      <c r="K207" s="9" t="str">
        <f t="shared" si="66"/>
        <v>Delhi</v>
      </c>
      <c r="L207" s="8" t="s">
        <v>891</v>
      </c>
      <c r="M207" s="8" t="str">
        <f t="shared" si="67"/>
        <v>Friday</v>
      </c>
      <c r="N207" s="8" t="str">
        <f t="shared" si="68"/>
        <v>Fri</v>
      </c>
      <c r="O207" s="8" t="str">
        <f t="shared" si="69"/>
        <v>day</v>
      </c>
      <c r="P207" s="8">
        <f t="shared" si="70"/>
        <v>6</v>
      </c>
      <c r="Q207" s="8">
        <f t="shared" si="71"/>
        <v>2021</v>
      </c>
      <c r="R207" s="8" t="s">
        <v>892</v>
      </c>
      <c r="S207" s="8">
        <f t="shared" si="72"/>
        <v>10</v>
      </c>
      <c r="T207" s="8">
        <f t="shared" si="73"/>
        <v>55</v>
      </c>
      <c r="U207" s="8">
        <f t="shared" si="74"/>
        <v>24</v>
      </c>
      <c r="V207" s="8">
        <v>81396</v>
      </c>
      <c r="W207" s="8">
        <v>80613</v>
      </c>
      <c r="X207" s="9" t="str">
        <f t="shared" si="75"/>
        <v>Highe Target</v>
      </c>
      <c r="Y207" s="9" t="str">
        <f t="shared" si="76"/>
        <v>Highe target</v>
      </c>
      <c r="Z207" s="9" t="str" cm="1">
        <f t="array" ref="Z207">_xlfn.IFS(W207&lt;60000,"LOWERTarget",W207&lt;80000,"Medium Target",W207,"Highe Target")</f>
        <v>Highe Target</v>
      </c>
      <c r="AA207" s="8" t="s">
        <v>179</v>
      </c>
      <c r="AB207" s="5" t="str">
        <f t="shared" si="77"/>
        <v>HELPFUL ATTITUDE</v>
      </c>
      <c r="AC207" s="5" t="str">
        <f t="shared" si="78"/>
        <v>helpful attitude</v>
      </c>
      <c r="AD207" s="5" t="str">
        <f t="shared" si="79"/>
        <v>Helpful Attitude</v>
      </c>
      <c r="AF207" s="6"/>
    </row>
    <row r="208" ht="14.25" customHeight="1" spans="1:32">
      <c r="A208" s="8" t="s">
        <v>893</v>
      </c>
      <c r="B208" s="8" t="s">
        <v>894</v>
      </c>
      <c r="C208" s="9">
        <f t="shared" si="60"/>
        <v>10</v>
      </c>
      <c r="D208" s="8" t="s">
        <v>44</v>
      </c>
      <c r="E208" s="8" t="str">
        <f t="shared" si="61"/>
        <v>Isha Goyal(E1097) - Marketing</v>
      </c>
      <c r="F208" s="9" t="str">
        <f t="shared" si="62"/>
        <v>Isha Goyal(E1097) -</v>
      </c>
      <c r="G208" s="9" t="str">
        <f t="shared" si="63"/>
        <v>Marketing</v>
      </c>
      <c r="H208" s="9">
        <f t="shared" si="64"/>
        <v>19</v>
      </c>
      <c r="I208" s="9">
        <f t="shared" si="65"/>
        <v>10</v>
      </c>
      <c r="J208" s="8" t="s">
        <v>182</v>
      </c>
      <c r="K208" s="9" t="str">
        <f t="shared" si="66"/>
        <v>Kolk@ta</v>
      </c>
      <c r="L208" s="8" t="s">
        <v>895</v>
      </c>
      <c r="M208" s="8" t="str">
        <f t="shared" si="67"/>
        <v>Thursday</v>
      </c>
      <c r="N208" s="8" t="str">
        <f t="shared" si="68"/>
        <v>Thu</v>
      </c>
      <c r="O208" s="8" t="str">
        <f t="shared" si="69"/>
        <v>day</v>
      </c>
      <c r="P208" s="8">
        <f t="shared" si="70"/>
        <v>4</v>
      </c>
      <c r="Q208" s="8">
        <f t="shared" si="71"/>
        <v>2021</v>
      </c>
      <c r="R208" s="8" t="s">
        <v>896</v>
      </c>
      <c r="S208" s="8">
        <f t="shared" si="72"/>
        <v>8</v>
      </c>
      <c r="T208" s="8">
        <f t="shared" si="73"/>
        <v>33</v>
      </c>
      <c r="U208" s="8">
        <f t="shared" si="74"/>
        <v>23</v>
      </c>
      <c r="V208" s="8">
        <v>98473</v>
      </c>
      <c r="W208" s="8">
        <v>80804</v>
      </c>
      <c r="X208" s="9" t="str">
        <f t="shared" si="75"/>
        <v>Highe Target</v>
      </c>
      <c r="Y208" s="9" t="str">
        <f t="shared" si="76"/>
        <v>Highe target</v>
      </c>
      <c r="Z208" s="9" t="str" cm="1">
        <f t="array" ref="Z208">_xlfn.IFS(W208&lt;60000,"LOWERTarget",W208&lt;80000,"Medium Target",W208,"Highe Target")</f>
        <v>Highe Target</v>
      </c>
      <c r="AA208" s="8" t="s">
        <v>138</v>
      </c>
      <c r="AB208" s="5" t="str">
        <f t="shared" si="77"/>
        <v>GOOD TEAMWORK</v>
      </c>
      <c r="AC208" s="5" t="str">
        <f t="shared" si="78"/>
        <v>good teamwork</v>
      </c>
      <c r="AD208" s="5" t="str">
        <f t="shared" si="79"/>
        <v>Good Teamwork</v>
      </c>
      <c r="AF208" s="6"/>
    </row>
    <row r="209" ht="14.25" customHeight="1" spans="1:32">
      <c r="A209" s="8" t="s">
        <v>897</v>
      </c>
      <c r="B209" s="8" t="s">
        <v>306</v>
      </c>
      <c r="C209" s="9">
        <f t="shared" si="60"/>
        <v>13</v>
      </c>
      <c r="D209" s="8" t="s">
        <v>44</v>
      </c>
      <c r="E209" s="8" t="str">
        <f t="shared" si="61"/>
        <v>Harsh Agarwal(E1157) - Marketing</v>
      </c>
      <c r="F209" s="9" t="str">
        <f t="shared" si="62"/>
        <v>Harsh Agarwal(E1157) -</v>
      </c>
      <c r="G209" s="9" t="str">
        <f t="shared" si="63"/>
        <v>Marketing</v>
      </c>
      <c r="H209" s="9">
        <f t="shared" si="64"/>
        <v>22</v>
      </c>
      <c r="I209" s="9">
        <f t="shared" si="65"/>
        <v>10</v>
      </c>
      <c r="J209" s="8" t="s">
        <v>36</v>
      </c>
      <c r="K209" s="9" t="str">
        <f t="shared" si="66"/>
        <v>Ahmed@bad</v>
      </c>
      <c r="L209" s="8" t="s">
        <v>898</v>
      </c>
      <c r="M209" s="8" t="str">
        <f t="shared" si="67"/>
        <v>Saturday</v>
      </c>
      <c r="N209" s="8" t="str">
        <f t="shared" si="68"/>
        <v>Sat</v>
      </c>
      <c r="O209" s="8" t="str">
        <f t="shared" si="69"/>
        <v>day</v>
      </c>
      <c r="P209" s="8">
        <f t="shared" si="70"/>
        <v>10</v>
      </c>
      <c r="Q209" s="8">
        <f t="shared" si="71"/>
        <v>2024</v>
      </c>
      <c r="R209" s="8" t="s">
        <v>899</v>
      </c>
      <c r="S209" s="8">
        <f t="shared" si="72"/>
        <v>10</v>
      </c>
      <c r="T209" s="8">
        <f t="shared" si="73"/>
        <v>41</v>
      </c>
      <c r="U209" s="8">
        <f t="shared" si="74"/>
        <v>40</v>
      </c>
      <c r="V209" s="8">
        <v>87109</v>
      </c>
      <c r="W209" s="8">
        <v>80928</v>
      </c>
      <c r="X209" s="9" t="str">
        <f t="shared" si="75"/>
        <v>Highe Target</v>
      </c>
      <c r="Y209" s="9" t="str">
        <f t="shared" si="76"/>
        <v>Highe target</v>
      </c>
      <c r="Z209" s="9" t="str" cm="1">
        <f t="array" ref="Z209">_xlfn.IFS(W209&lt;60000,"LOWERTarget",W209&lt;80000,"Medium Target",W209,"Highe Target")</f>
        <v>Highe Target</v>
      </c>
      <c r="AA209" s="8" t="s">
        <v>243</v>
      </c>
      <c r="AB209" s="5" t="str">
        <f t="shared" si="77"/>
        <v>POSITIVE ATTITUDE</v>
      </c>
      <c r="AC209" s="5" t="str">
        <f t="shared" si="78"/>
        <v>positive attitude</v>
      </c>
      <c r="AD209" s="5" t="str">
        <f t="shared" si="79"/>
        <v>Positive Attitude</v>
      </c>
      <c r="AF209" s="6"/>
    </row>
    <row r="210" ht="14.25" customHeight="1" spans="1:32">
      <c r="A210" s="8" t="s">
        <v>900</v>
      </c>
      <c r="B210" s="8" t="s">
        <v>901</v>
      </c>
      <c r="C210" s="9">
        <f t="shared" si="60"/>
        <v>10</v>
      </c>
      <c r="D210" s="8" t="s">
        <v>60</v>
      </c>
      <c r="E210" s="8" t="str">
        <f t="shared" si="61"/>
        <v>Yash Joshi(E1009) - HR</v>
      </c>
      <c r="F210" s="9" t="str">
        <f t="shared" si="62"/>
        <v>Yash Joshi(E1009) -</v>
      </c>
      <c r="G210" s="9" t="str">
        <f t="shared" si="63"/>
        <v>HR</v>
      </c>
      <c r="H210" s="9">
        <f t="shared" si="64"/>
        <v>19</v>
      </c>
      <c r="I210" s="9">
        <f t="shared" si="65"/>
        <v>3</v>
      </c>
      <c r="J210" s="8" t="s">
        <v>53</v>
      </c>
      <c r="K210" s="9" t="str">
        <f t="shared" si="66"/>
        <v>Delhi</v>
      </c>
      <c r="L210" s="8" t="s">
        <v>902</v>
      </c>
      <c r="M210" s="8" t="str">
        <f t="shared" si="67"/>
        <v>Saturday</v>
      </c>
      <c r="N210" s="8" t="str">
        <f t="shared" si="68"/>
        <v>Sat</v>
      </c>
      <c r="O210" s="8" t="str">
        <f t="shared" si="69"/>
        <v>day</v>
      </c>
      <c r="P210" s="8">
        <f t="shared" si="70"/>
        <v>8</v>
      </c>
      <c r="Q210" s="8">
        <f t="shared" si="71"/>
        <v>2023</v>
      </c>
      <c r="R210" s="8" t="s">
        <v>903</v>
      </c>
      <c r="S210" s="8">
        <f t="shared" si="72"/>
        <v>9</v>
      </c>
      <c r="T210" s="8">
        <f t="shared" si="73"/>
        <v>17</v>
      </c>
      <c r="U210" s="8">
        <f t="shared" si="74"/>
        <v>59</v>
      </c>
      <c r="V210" s="8">
        <v>81335</v>
      </c>
      <c r="W210" s="8">
        <v>81943</v>
      </c>
      <c r="X210" s="9" t="str">
        <f t="shared" si="75"/>
        <v>Highe Target</v>
      </c>
      <c r="Y210" s="9" t="str">
        <f t="shared" si="76"/>
        <v>Highe target</v>
      </c>
      <c r="Z210" s="9" t="str" cm="1">
        <f t="array" ref="Z210">_xlfn.IFS(W210&lt;60000,"LOWERTarget",W210&lt;80000,"Medium Target",W210,"Highe Target")</f>
        <v>Highe Target</v>
      </c>
      <c r="AA210" s="8" t="s">
        <v>138</v>
      </c>
      <c r="AB210" s="5" t="str">
        <f t="shared" si="77"/>
        <v>GOOD TEAMWORK</v>
      </c>
      <c r="AC210" s="5" t="str">
        <f t="shared" si="78"/>
        <v>good teamwork</v>
      </c>
      <c r="AD210" s="5" t="str">
        <f t="shared" si="79"/>
        <v>Good Teamwork</v>
      </c>
      <c r="AF210" s="6"/>
    </row>
    <row r="211" ht="14.25" customHeight="1" spans="1:32">
      <c r="A211" s="8" t="s">
        <v>904</v>
      </c>
      <c r="B211" s="8" t="s">
        <v>905</v>
      </c>
      <c r="C211" s="9">
        <f t="shared" si="60"/>
        <v>12</v>
      </c>
      <c r="D211" s="8" t="s">
        <v>44</v>
      </c>
      <c r="E211" s="8" t="str">
        <f t="shared" si="61"/>
        <v>Karan Mishra(E1207) - Marketing</v>
      </c>
      <c r="F211" s="9" t="str">
        <f t="shared" si="62"/>
        <v>Karan Mishra(E1207) -</v>
      </c>
      <c r="G211" s="9" t="str">
        <f t="shared" si="63"/>
        <v>Marketing</v>
      </c>
      <c r="H211" s="9">
        <f t="shared" si="64"/>
        <v>21</v>
      </c>
      <c r="I211" s="9">
        <f t="shared" si="65"/>
        <v>10</v>
      </c>
      <c r="J211" s="8" t="s">
        <v>153</v>
      </c>
      <c r="K211" s="9" t="str">
        <f t="shared" si="66"/>
        <v>Mumb@i</v>
      </c>
      <c r="L211" s="8" t="s">
        <v>906</v>
      </c>
      <c r="M211" s="8" t="str">
        <f t="shared" si="67"/>
        <v>Tuesday</v>
      </c>
      <c r="N211" s="8" t="str">
        <f t="shared" si="68"/>
        <v>Tue</v>
      </c>
      <c r="O211" s="8" t="str">
        <f t="shared" si="69"/>
        <v>day</v>
      </c>
      <c r="P211" s="8">
        <f t="shared" si="70"/>
        <v>10</v>
      </c>
      <c r="Q211" s="8">
        <f t="shared" si="71"/>
        <v>2023</v>
      </c>
      <c r="R211" s="8" t="s">
        <v>907</v>
      </c>
      <c r="S211" s="8">
        <f t="shared" si="72"/>
        <v>10</v>
      </c>
      <c r="T211" s="8">
        <f t="shared" si="73"/>
        <v>34</v>
      </c>
      <c r="U211" s="8">
        <f t="shared" si="74"/>
        <v>18</v>
      </c>
      <c r="V211" s="8">
        <v>86866</v>
      </c>
      <c r="W211" s="8">
        <v>82068</v>
      </c>
      <c r="X211" s="9" t="str">
        <f t="shared" si="75"/>
        <v>Highe Target</v>
      </c>
      <c r="Y211" s="9" t="str">
        <f t="shared" si="76"/>
        <v>Highe target</v>
      </c>
      <c r="Z211" s="9" t="str" cm="1">
        <f t="array" ref="Z211">_xlfn.IFS(W211&lt;60000,"LOWERTarget",W211&lt;80000,"Medium Target",W211,"Highe Target")</f>
        <v>Highe Target</v>
      </c>
      <c r="AA211" s="8" t="s">
        <v>179</v>
      </c>
      <c r="AB211" s="5" t="str">
        <f t="shared" si="77"/>
        <v>HELPFUL ATTITUDE</v>
      </c>
      <c r="AC211" s="5" t="str">
        <f t="shared" si="78"/>
        <v>helpful attitude</v>
      </c>
      <c r="AD211" s="5" t="str">
        <f t="shared" si="79"/>
        <v>Helpful Attitude</v>
      </c>
      <c r="AF211" s="6"/>
    </row>
    <row r="212" ht="14.25" customHeight="1" spans="1:32">
      <c r="A212" s="8" t="s">
        <v>908</v>
      </c>
      <c r="B212" s="8" t="s">
        <v>909</v>
      </c>
      <c r="C212" s="9">
        <f t="shared" si="60"/>
        <v>14</v>
      </c>
      <c r="D212" s="8" t="s">
        <v>44</v>
      </c>
      <c r="E212" s="8" t="str">
        <f t="shared" si="61"/>
        <v>Suresh Agarwal(E1201) - Marketing</v>
      </c>
      <c r="F212" s="9" t="str">
        <f t="shared" si="62"/>
        <v>Suresh Agarwal(E1201) -</v>
      </c>
      <c r="G212" s="9" t="str">
        <f t="shared" si="63"/>
        <v>Marketing</v>
      </c>
      <c r="H212" s="9">
        <f t="shared" si="64"/>
        <v>23</v>
      </c>
      <c r="I212" s="9">
        <f t="shared" si="65"/>
        <v>10</v>
      </c>
      <c r="J212" s="8" t="s">
        <v>182</v>
      </c>
      <c r="K212" s="9" t="str">
        <f t="shared" si="66"/>
        <v>Kolk@ta</v>
      </c>
      <c r="L212" s="8" t="s">
        <v>910</v>
      </c>
      <c r="M212" s="8" t="str">
        <f t="shared" si="67"/>
        <v>Saturday</v>
      </c>
      <c r="N212" s="8" t="str">
        <f t="shared" si="68"/>
        <v>Sat</v>
      </c>
      <c r="O212" s="8" t="str">
        <f t="shared" si="69"/>
        <v>day</v>
      </c>
      <c r="P212" s="8">
        <f t="shared" si="70"/>
        <v>3</v>
      </c>
      <c r="Q212" s="8">
        <f t="shared" si="71"/>
        <v>2024</v>
      </c>
      <c r="R212" s="8" t="s">
        <v>911</v>
      </c>
      <c r="S212" s="8">
        <f t="shared" si="72"/>
        <v>8</v>
      </c>
      <c r="T212" s="8">
        <f t="shared" si="73"/>
        <v>8</v>
      </c>
      <c r="U212" s="8">
        <f t="shared" si="74"/>
        <v>20</v>
      </c>
      <c r="V212" s="8">
        <v>71956</v>
      </c>
      <c r="W212" s="8">
        <v>82096</v>
      </c>
      <c r="X212" s="9" t="str">
        <f t="shared" si="75"/>
        <v>Highe Target</v>
      </c>
      <c r="Y212" s="9" t="str">
        <f t="shared" si="76"/>
        <v>Highe target</v>
      </c>
      <c r="Z212" s="9" t="str" cm="1">
        <f t="array" ref="Z212">_xlfn.IFS(W212&lt;60000,"LOWERTarget",W212&lt;80000,"Medium Target",W212,"Highe Target")</f>
        <v>Highe Target</v>
      </c>
      <c r="AA212" s="8" t="s">
        <v>179</v>
      </c>
      <c r="AB212" s="5" t="str">
        <f t="shared" si="77"/>
        <v>HELPFUL ATTITUDE</v>
      </c>
      <c r="AC212" s="5" t="str">
        <f t="shared" si="78"/>
        <v>helpful attitude</v>
      </c>
      <c r="AD212" s="5" t="str">
        <f t="shared" si="79"/>
        <v>Helpful Attitude</v>
      </c>
      <c r="AF212" s="6"/>
    </row>
    <row r="213" ht="14.25" customHeight="1" spans="1:32">
      <c r="A213" s="8" t="s">
        <v>912</v>
      </c>
      <c r="B213" s="8" t="s">
        <v>913</v>
      </c>
      <c r="C213" s="9">
        <f t="shared" si="60"/>
        <v>10</v>
      </c>
      <c r="D213" s="8" t="s">
        <v>35</v>
      </c>
      <c r="E213" s="8" t="str">
        <f t="shared" si="61"/>
        <v>Harsh Nair(E1296) - Finance</v>
      </c>
      <c r="F213" s="9" t="str">
        <f t="shared" si="62"/>
        <v>Harsh Nair(E1296) -</v>
      </c>
      <c r="G213" s="9" t="str">
        <f t="shared" si="63"/>
        <v>Finance</v>
      </c>
      <c r="H213" s="9">
        <f t="shared" si="64"/>
        <v>19</v>
      </c>
      <c r="I213" s="9">
        <f t="shared" si="65"/>
        <v>8</v>
      </c>
      <c r="J213" s="8" t="s">
        <v>53</v>
      </c>
      <c r="K213" s="9" t="str">
        <f t="shared" si="66"/>
        <v>Delhi</v>
      </c>
      <c r="L213" s="8" t="s">
        <v>914</v>
      </c>
      <c r="M213" s="8" t="str">
        <f t="shared" si="67"/>
        <v>Sunday</v>
      </c>
      <c r="N213" s="8" t="str">
        <f t="shared" si="68"/>
        <v>Sun</v>
      </c>
      <c r="O213" s="8" t="str">
        <f t="shared" si="69"/>
        <v>day</v>
      </c>
      <c r="P213" s="8">
        <f t="shared" si="70"/>
        <v>8</v>
      </c>
      <c r="Q213" s="8">
        <f t="shared" si="71"/>
        <v>2024</v>
      </c>
      <c r="R213" s="8" t="s">
        <v>915</v>
      </c>
      <c r="S213" s="8">
        <f t="shared" si="72"/>
        <v>10</v>
      </c>
      <c r="T213" s="8">
        <f t="shared" si="73"/>
        <v>2</v>
      </c>
      <c r="U213" s="8">
        <f t="shared" si="74"/>
        <v>36</v>
      </c>
      <c r="V213" s="8">
        <v>93461</v>
      </c>
      <c r="W213" s="8">
        <v>82272</v>
      </c>
      <c r="X213" s="9" t="str">
        <f t="shared" si="75"/>
        <v>Highe Target</v>
      </c>
      <c r="Y213" s="9" t="str">
        <f t="shared" si="76"/>
        <v>Highe target</v>
      </c>
      <c r="Z213" s="9" t="str" cm="1">
        <f t="array" ref="Z213">_xlfn.IFS(W213&lt;60000,"LOWERTarget",W213&lt;80000,"Medium Target",W213,"Highe Target")</f>
        <v>Highe Target</v>
      </c>
      <c r="AA213" s="8" t="s">
        <v>118</v>
      </c>
      <c r="AB213" s="5" t="str">
        <f t="shared" si="77"/>
        <v>CUSTOMER FOCUSED</v>
      </c>
      <c r="AC213" s="5" t="str">
        <f t="shared" si="78"/>
        <v>customer focused</v>
      </c>
      <c r="AD213" s="5" t="str">
        <f t="shared" si="79"/>
        <v>Customer Focused</v>
      </c>
      <c r="AF213" s="6"/>
    </row>
    <row r="214" ht="14.25" customHeight="1" spans="1:32">
      <c r="A214" s="8" t="s">
        <v>916</v>
      </c>
      <c r="B214" s="8" t="s">
        <v>885</v>
      </c>
      <c r="C214" s="9">
        <f t="shared" si="60"/>
        <v>10</v>
      </c>
      <c r="D214" s="8" t="s">
        <v>44</v>
      </c>
      <c r="E214" s="8" t="str">
        <f t="shared" si="61"/>
        <v>Arjun Jain(E1193) - Marketing</v>
      </c>
      <c r="F214" s="9" t="str">
        <f t="shared" si="62"/>
        <v>Arjun Jain(E1193) -</v>
      </c>
      <c r="G214" s="9" t="str">
        <f t="shared" si="63"/>
        <v>Marketing</v>
      </c>
      <c r="H214" s="9">
        <f t="shared" si="64"/>
        <v>19</v>
      </c>
      <c r="I214" s="9">
        <f t="shared" si="65"/>
        <v>10</v>
      </c>
      <c r="J214" s="8" t="s">
        <v>153</v>
      </c>
      <c r="K214" s="9" t="str">
        <f t="shared" si="66"/>
        <v>Mumb@i</v>
      </c>
      <c r="L214" s="8" t="s">
        <v>917</v>
      </c>
      <c r="M214" s="8" t="str">
        <f t="shared" si="67"/>
        <v>Thursday</v>
      </c>
      <c r="N214" s="8" t="str">
        <f t="shared" si="68"/>
        <v>Thu</v>
      </c>
      <c r="O214" s="8" t="str">
        <f t="shared" si="69"/>
        <v>day</v>
      </c>
      <c r="P214" s="8">
        <f t="shared" si="70"/>
        <v>9</v>
      </c>
      <c r="Q214" s="8">
        <f t="shared" si="71"/>
        <v>2021</v>
      </c>
      <c r="R214" s="8" t="s">
        <v>918</v>
      </c>
      <c r="S214" s="8">
        <f t="shared" si="72"/>
        <v>8</v>
      </c>
      <c r="T214" s="8">
        <f t="shared" si="73"/>
        <v>15</v>
      </c>
      <c r="U214" s="8">
        <f t="shared" si="74"/>
        <v>49</v>
      </c>
      <c r="V214" s="8">
        <v>91288</v>
      </c>
      <c r="W214" s="8">
        <v>82281</v>
      </c>
      <c r="X214" s="9" t="str">
        <f t="shared" si="75"/>
        <v>Highe Target</v>
      </c>
      <c r="Y214" s="9" t="str">
        <f t="shared" si="76"/>
        <v>Highe target</v>
      </c>
      <c r="Z214" s="9" t="str" cm="1">
        <f t="array" ref="Z214">_xlfn.IFS(W214&lt;60000,"LOWERTarget",W214&lt;80000,"Medium Target",W214,"Highe Target")</f>
        <v>Highe Target</v>
      </c>
      <c r="AA214" s="8" t="s">
        <v>48</v>
      </c>
      <c r="AB214" s="5" t="str">
        <f t="shared" si="77"/>
        <v>CREATIVE IDEAS</v>
      </c>
      <c r="AC214" s="5" t="str">
        <f t="shared" si="78"/>
        <v>creative ideas</v>
      </c>
      <c r="AD214" s="5" t="str">
        <f t="shared" si="79"/>
        <v>Creative Ideas</v>
      </c>
      <c r="AF214" s="6"/>
    </row>
    <row r="215" ht="14.25" customHeight="1" spans="1:32">
      <c r="A215" s="8" t="s">
        <v>919</v>
      </c>
      <c r="B215" s="8" t="s">
        <v>920</v>
      </c>
      <c r="C215" s="9">
        <f t="shared" si="60"/>
        <v>12</v>
      </c>
      <c r="D215" s="8" t="s">
        <v>35</v>
      </c>
      <c r="E215" s="8" t="str">
        <f t="shared" si="61"/>
        <v>Manish Patel(E1070) - Finance</v>
      </c>
      <c r="F215" s="9" t="str">
        <f t="shared" si="62"/>
        <v>Manish Patel(E1070) -</v>
      </c>
      <c r="G215" s="9" t="str">
        <f t="shared" si="63"/>
        <v>Finance</v>
      </c>
      <c r="H215" s="9">
        <f t="shared" si="64"/>
        <v>21</v>
      </c>
      <c r="I215" s="9">
        <f t="shared" si="65"/>
        <v>8</v>
      </c>
      <c r="J215" s="8" t="s">
        <v>182</v>
      </c>
      <c r="K215" s="9" t="str">
        <f t="shared" si="66"/>
        <v>Kolk@ta</v>
      </c>
      <c r="L215" s="8" t="s">
        <v>921</v>
      </c>
      <c r="M215" s="8" t="str">
        <f t="shared" si="67"/>
        <v>Monday</v>
      </c>
      <c r="N215" s="8" t="str">
        <f t="shared" si="68"/>
        <v>Mon</v>
      </c>
      <c r="O215" s="8" t="str">
        <f t="shared" si="69"/>
        <v>day</v>
      </c>
      <c r="P215" s="8">
        <f t="shared" si="70"/>
        <v>9</v>
      </c>
      <c r="Q215" s="8">
        <f t="shared" si="71"/>
        <v>2024</v>
      </c>
      <c r="R215" s="8" t="s">
        <v>922</v>
      </c>
      <c r="S215" s="8">
        <f t="shared" si="72"/>
        <v>9</v>
      </c>
      <c r="T215" s="8">
        <f t="shared" si="73"/>
        <v>4</v>
      </c>
      <c r="U215" s="8">
        <f t="shared" si="74"/>
        <v>32</v>
      </c>
      <c r="V215" s="8">
        <v>89799</v>
      </c>
      <c r="W215" s="8">
        <v>82437</v>
      </c>
      <c r="X215" s="9" t="str">
        <f t="shared" si="75"/>
        <v>Highe Target</v>
      </c>
      <c r="Y215" s="9" t="str">
        <f t="shared" si="76"/>
        <v>Highe target</v>
      </c>
      <c r="Z215" s="9" t="str" cm="1">
        <f t="array" ref="Z215">_xlfn.IFS(W215&lt;60000,"LOWERTarget",W215&lt;80000,"Medium Target",W215,"Highe Target")</f>
        <v>Highe Target</v>
      </c>
      <c r="AA215" s="8" t="s">
        <v>87</v>
      </c>
      <c r="AB215" s="5" t="str">
        <f t="shared" si="77"/>
        <v>EXCELLENT SERVICE</v>
      </c>
      <c r="AC215" s="5" t="str">
        <f t="shared" si="78"/>
        <v>excellent service</v>
      </c>
      <c r="AD215" s="5" t="str">
        <f t="shared" si="79"/>
        <v>Excellent Service</v>
      </c>
      <c r="AF215" s="6"/>
    </row>
    <row r="216" ht="14.25" customHeight="1" spans="1:32">
      <c r="A216" s="8" t="s">
        <v>923</v>
      </c>
      <c r="B216" s="8" t="s">
        <v>924</v>
      </c>
      <c r="C216" s="9">
        <f t="shared" si="60"/>
        <v>11</v>
      </c>
      <c r="D216" s="8" t="s">
        <v>44</v>
      </c>
      <c r="E216" s="8" t="str">
        <f t="shared" si="61"/>
        <v>Isha Chopra(E1293) - Marketing</v>
      </c>
      <c r="F216" s="9" t="str">
        <f t="shared" si="62"/>
        <v>Isha Chopra(E1293) -</v>
      </c>
      <c r="G216" s="9" t="str">
        <f t="shared" si="63"/>
        <v>Marketing</v>
      </c>
      <c r="H216" s="9">
        <f t="shared" si="64"/>
        <v>20</v>
      </c>
      <c r="I216" s="9">
        <f t="shared" si="65"/>
        <v>10</v>
      </c>
      <c r="J216" s="8" t="s">
        <v>53</v>
      </c>
      <c r="K216" s="9" t="str">
        <f t="shared" si="66"/>
        <v>Delhi</v>
      </c>
      <c r="L216" s="8" t="s">
        <v>925</v>
      </c>
      <c r="M216" s="8" t="str">
        <f t="shared" si="67"/>
        <v>Sunday</v>
      </c>
      <c r="N216" s="8" t="str">
        <f t="shared" si="68"/>
        <v>Sun</v>
      </c>
      <c r="O216" s="8" t="str">
        <f t="shared" si="69"/>
        <v>day</v>
      </c>
      <c r="P216" s="8">
        <f t="shared" si="70"/>
        <v>7</v>
      </c>
      <c r="Q216" s="8">
        <f t="shared" si="71"/>
        <v>2024</v>
      </c>
      <c r="R216" s="8" t="s">
        <v>926</v>
      </c>
      <c r="S216" s="8">
        <f t="shared" si="72"/>
        <v>9</v>
      </c>
      <c r="T216" s="8">
        <f t="shared" si="73"/>
        <v>15</v>
      </c>
      <c r="U216" s="8">
        <f t="shared" si="74"/>
        <v>16</v>
      </c>
      <c r="V216" s="8">
        <v>78267</v>
      </c>
      <c r="W216" s="8">
        <v>83166</v>
      </c>
      <c r="X216" s="9" t="str">
        <f t="shared" si="75"/>
        <v>Highe Target</v>
      </c>
      <c r="Y216" s="9" t="str">
        <f t="shared" si="76"/>
        <v>Highe target</v>
      </c>
      <c r="Z216" s="9" t="str" cm="1">
        <f t="array" ref="Z216">_xlfn.IFS(W216&lt;60000,"LOWERTarget",W216&lt;80000,"Medium Target",W216,"Highe Target")</f>
        <v>Highe Target</v>
      </c>
      <c r="AA216" s="8" t="s">
        <v>96</v>
      </c>
      <c r="AB216" s="5" t="str">
        <f t="shared" si="77"/>
        <v>FAST DELIVERY</v>
      </c>
      <c r="AC216" s="5" t="str">
        <f t="shared" si="78"/>
        <v>fast delivery</v>
      </c>
      <c r="AD216" s="5" t="str">
        <f t="shared" si="79"/>
        <v>Fast Delivery</v>
      </c>
      <c r="AF216" s="6"/>
    </row>
    <row r="217" ht="14.25" customHeight="1" spans="1:32">
      <c r="A217" s="8" t="s">
        <v>927</v>
      </c>
      <c r="B217" s="8" t="s">
        <v>928</v>
      </c>
      <c r="C217" s="9">
        <f t="shared" si="60"/>
        <v>11</v>
      </c>
      <c r="D217" s="8" t="s">
        <v>93</v>
      </c>
      <c r="E217" s="8" t="str">
        <f t="shared" si="61"/>
        <v>Manish Jain(E1086) - Sales</v>
      </c>
      <c r="F217" s="9" t="str">
        <f t="shared" si="62"/>
        <v>Manish Jain(E1086) -</v>
      </c>
      <c r="G217" s="9" t="str">
        <f t="shared" si="63"/>
        <v>Sales</v>
      </c>
      <c r="H217" s="9">
        <f t="shared" si="64"/>
        <v>20</v>
      </c>
      <c r="I217" s="9">
        <f t="shared" si="65"/>
        <v>6</v>
      </c>
      <c r="J217" s="8" t="s">
        <v>76</v>
      </c>
      <c r="K217" s="9" t="str">
        <f t="shared" si="66"/>
        <v>Pune</v>
      </c>
      <c r="L217" s="8" t="s">
        <v>929</v>
      </c>
      <c r="M217" s="8" t="str">
        <f t="shared" si="67"/>
        <v>Wednesday</v>
      </c>
      <c r="N217" s="8" t="str">
        <f t="shared" si="68"/>
        <v>Wed</v>
      </c>
      <c r="O217" s="8" t="str">
        <f t="shared" si="69"/>
        <v>day</v>
      </c>
      <c r="P217" s="8">
        <f t="shared" si="70"/>
        <v>3</v>
      </c>
      <c r="Q217" s="8">
        <f t="shared" si="71"/>
        <v>2022</v>
      </c>
      <c r="R217" s="8" t="s">
        <v>930</v>
      </c>
      <c r="S217" s="8">
        <f t="shared" si="72"/>
        <v>10</v>
      </c>
      <c r="T217" s="8">
        <f t="shared" si="73"/>
        <v>13</v>
      </c>
      <c r="U217" s="8">
        <f t="shared" si="74"/>
        <v>16</v>
      </c>
      <c r="V217" s="8">
        <v>73601</v>
      </c>
      <c r="W217" s="8">
        <v>83281</v>
      </c>
      <c r="X217" s="9" t="str">
        <f t="shared" si="75"/>
        <v>Highe Target</v>
      </c>
      <c r="Y217" s="9" t="str">
        <f t="shared" si="76"/>
        <v>Highe target</v>
      </c>
      <c r="Z217" s="9" t="str" cm="1">
        <f t="array" ref="Z217">_xlfn.IFS(W217&lt;60000,"LOWERTarget",W217&lt;80000,"Medium Target",W217,"Highe Target")</f>
        <v>Highe Target</v>
      </c>
      <c r="AA217" s="8" t="s">
        <v>285</v>
      </c>
      <c r="AB217" s="5" t="str">
        <f t="shared" si="77"/>
        <v>QUICK RESPONSE</v>
      </c>
      <c r="AC217" s="5" t="str">
        <f t="shared" si="78"/>
        <v>quick response</v>
      </c>
      <c r="AD217" s="5" t="str">
        <f t="shared" si="79"/>
        <v>Quick Response</v>
      </c>
      <c r="AF217" s="6"/>
    </row>
    <row r="218" ht="14.25" customHeight="1" spans="1:32">
      <c r="A218" s="8" t="s">
        <v>931</v>
      </c>
      <c r="B218" s="8" t="s">
        <v>932</v>
      </c>
      <c r="C218" s="9">
        <f t="shared" si="60"/>
        <v>12</v>
      </c>
      <c r="D218" s="8" t="s">
        <v>35</v>
      </c>
      <c r="E218" s="8" t="str">
        <f t="shared" si="61"/>
        <v>Deepak Goyal(E1035) - Finance</v>
      </c>
      <c r="F218" s="9" t="str">
        <f t="shared" si="62"/>
        <v>Deepak Goyal(E1035) -</v>
      </c>
      <c r="G218" s="9" t="str">
        <f t="shared" si="63"/>
        <v>Finance</v>
      </c>
      <c r="H218" s="9">
        <f t="shared" si="64"/>
        <v>21</v>
      </c>
      <c r="I218" s="9">
        <f t="shared" si="65"/>
        <v>8</v>
      </c>
      <c r="J218" s="8" t="s">
        <v>153</v>
      </c>
      <c r="K218" s="9" t="str">
        <f t="shared" si="66"/>
        <v>Mumb@i</v>
      </c>
      <c r="L218" s="8" t="s">
        <v>933</v>
      </c>
      <c r="M218" s="8" t="str">
        <f t="shared" si="67"/>
        <v>Sunday</v>
      </c>
      <c r="N218" s="8" t="str">
        <f t="shared" si="68"/>
        <v>Sun</v>
      </c>
      <c r="O218" s="8" t="str">
        <f t="shared" si="69"/>
        <v>day</v>
      </c>
      <c r="P218" s="8">
        <f t="shared" si="70"/>
        <v>9</v>
      </c>
      <c r="Q218" s="8">
        <f t="shared" si="71"/>
        <v>2024</v>
      </c>
      <c r="R218" s="8" t="s">
        <v>934</v>
      </c>
      <c r="S218" s="8">
        <f t="shared" si="72"/>
        <v>10</v>
      </c>
      <c r="T218" s="8">
        <f t="shared" si="73"/>
        <v>19</v>
      </c>
      <c r="U218" s="8">
        <f t="shared" si="74"/>
        <v>59</v>
      </c>
      <c r="V218" s="8">
        <v>75263</v>
      </c>
      <c r="W218" s="8">
        <v>83475</v>
      </c>
      <c r="X218" s="9" t="str">
        <f t="shared" si="75"/>
        <v>Highe Target</v>
      </c>
      <c r="Y218" s="9" t="str">
        <f t="shared" si="76"/>
        <v>Highe target</v>
      </c>
      <c r="Z218" s="9" t="str" cm="1">
        <f t="array" ref="Z218">_xlfn.IFS(W218&lt;60000,"LOWERTarget",W218&lt;80000,"Medium Target",W218,"Highe Target")</f>
        <v>Highe Target</v>
      </c>
      <c r="AA218" s="8" t="s">
        <v>935</v>
      </c>
      <c r="AB218" s="5" t="str">
        <f t="shared" si="77"/>
        <v>   GREAT SUPPORT   </v>
      </c>
      <c r="AC218" s="5" t="str">
        <f t="shared" si="78"/>
        <v>   great support   </v>
      </c>
      <c r="AD218" s="5" t="str">
        <f t="shared" si="79"/>
        <v>   Great Support   </v>
      </c>
      <c r="AF218" s="6"/>
    </row>
    <row r="219" ht="14.25" customHeight="1" spans="1:32">
      <c r="A219" s="8" t="s">
        <v>936</v>
      </c>
      <c r="B219" s="8" t="s">
        <v>937</v>
      </c>
      <c r="C219" s="9">
        <f t="shared" si="60"/>
        <v>11</v>
      </c>
      <c r="D219" s="8" t="s">
        <v>60</v>
      </c>
      <c r="E219" s="8" t="str">
        <f t="shared" si="61"/>
        <v>Priya Goyal(E1055) - HR</v>
      </c>
      <c r="F219" s="9" t="str">
        <f t="shared" si="62"/>
        <v>Priya Goyal(E1055) -</v>
      </c>
      <c r="G219" s="9" t="str">
        <f t="shared" si="63"/>
        <v>HR</v>
      </c>
      <c r="H219" s="9">
        <f t="shared" si="64"/>
        <v>20</v>
      </c>
      <c r="I219" s="9">
        <f t="shared" si="65"/>
        <v>3</v>
      </c>
      <c r="J219" s="8" t="s">
        <v>76</v>
      </c>
      <c r="K219" s="9" t="str">
        <f t="shared" si="66"/>
        <v>Pune</v>
      </c>
      <c r="L219" s="8" t="s">
        <v>938</v>
      </c>
      <c r="M219" s="8" t="str">
        <f t="shared" si="67"/>
        <v>Monday</v>
      </c>
      <c r="N219" s="8" t="str">
        <f t="shared" si="68"/>
        <v>Mon</v>
      </c>
      <c r="O219" s="8" t="str">
        <f t="shared" si="69"/>
        <v>day</v>
      </c>
      <c r="P219" s="8">
        <f t="shared" si="70"/>
        <v>7</v>
      </c>
      <c r="Q219" s="8">
        <f t="shared" si="71"/>
        <v>2023</v>
      </c>
      <c r="R219" s="8" t="s">
        <v>939</v>
      </c>
      <c r="S219" s="8">
        <f t="shared" si="72"/>
        <v>8</v>
      </c>
      <c r="T219" s="8">
        <f t="shared" si="73"/>
        <v>51</v>
      </c>
      <c r="U219" s="8">
        <f t="shared" si="74"/>
        <v>29</v>
      </c>
      <c r="V219" s="8">
        <v>103558</v>
      </c>
      <c r="W219" s="8">
        <v>83750</v>
      </c>
      <c r="X219" s="9" t="str">
        <f t="shared" si="75"/>
        <v>Highe Target</v>
      </c>
      <c r="Y219" s="9" t="str">
        <f t="shared" si="76"/>
        <v>Highe target</v>
      </c>
      <c r="Z219" s="9" t="str" cm="1">
        <f t="array" ref="Z219">_xlfn.IFS(W219&lt;60000,"LOWERTarget",W219&lt;80000,"Medium Target",W219,"Highe Target")</f>
        <v>Highe Target</v>
      </c>
      <c r="AA219" s="8" t="s">
        <v>229</v>
      </c>
      <c r="AB219" s="5" t="str">
        <f t="shared" si="77"/>
        <v>STRONG PRESENTATION</v>
      </c>
      <c r="AC219" s="5" t="str">
        <f t="shared" si="78"/>
        <v>strong presentation</v>
      </c>
      <c r="AD219" s="5" t="str">
        <f t="shared" si="79"/>
        <v>Strong Presentation</v>
      </c>
      <c r="AF219" s="6"/>
    </row>
    <row r="220" ht="14.25" customHeight="1" spans="1:32">
      <c r="A220" s="8" t="s">
        <v>940</v>
      </c>
      <c r="B220" s="8" t="s">
        <v>941</v>
      </c>
      <c r="C220" s="9">
        <f t="shared" si="60"/>
        <v>13</v>
      </c>
      <c r="D220" s="8" t="s">
        <v>93</v>
      </c>
      <c r="E220" s="8" t="str">
        <f t="shared" si="61"/>
        <v>Nisha Agarwal(E1094) - Sales</v>
      </c>
      <c r="F220" s="9" t="str">
        <f t="shared" si="62"/>
        <v>Nisha Agarwal(E1094) -</v>
      </c>
      <c r="G220" s="9" t="str">
        <f t="shared" si="63"/>
        <v>Sales</v>
      </c>
      <c r="H220" s="9">
        <f t="shared" si="64"/>
        <v>22</v>
      </c>
      <c r="I220" s="9">
        <f t="shared" si="65"/>
        <v>6</v>
      </c>
      <c r="J220" s="8" t="s">
        <v>36</v>
      </c>
      <c r="K220" s="9" t="str">
        <f t="shared" si="66"/>
        <v>Ahmed@bad</v>
      </c>
      <c r="L220" s="8" t="s">
        <v>942</v>
      </c>
      <c r="M220" s="8" t="str">
        <f t="shared" si="67"/>
        <v>Wednesday</v>
      </c>
      <c r="N220" s="8" t="str">
        <f t="shared" si="68"/>
        <v>Wed</v>
      </c>
      <c r="O220" s="8" t="str">
        <f t="shared" si="69"/>
        <v>day</v>
      </c>
      <c r="P220" s="8">
        <f t="shared" si="70"/>
        <v>12</v>
      </c>
      <c r="Q220" s="8">
        <f t="shared" si="71"/>
        <v>2022</v>
      </c>
      <c r="R220" s="8" t="s">
        <v>943</v>
      </c>
      <c r="S220" s="8">
        <f t="shared" si="72"/>
        <v>9</v>
      </c>
      <c r="T220" s="8">
        <f t="shared" si="73"/>
        <v>21</v>
      </c>
      <c r="U220" s="8">
        <f t="shared" si="74"/>
        <v>20</v>
      </c>
      <c r="V220" s="8">
        <v>75772</v>
      </c>
      <c r="W220" s="8">
        <v>83917</v>
      </c>
      <c r="X220" s="9" t="str">
        <f t="shared" si="75"/>
        <v>Highe Target</v>
      </c>
      <c r="Y220" s="9" t="str">
        <f t="shared" si="76"/>
        <v>Highe target</v>
      </c>
      <c r="Z220" s="9" t="str" cm="1">
        <f t="array" ref="Z220">_xlfn.IFS(W220&lt;60000,"LOWERTarget",W220&lt;80000,"Medium Target",W220,"Highe Target")</f>
        <v>Highe Target</v>
      </c>
      <c r="AA220" s="8" t="s">
        <v>243</v>
      </c>
      <c r="AB220" s="5" t="str">
        <f t="shared" si="77"/>
        <v>POSITIVE ATTITUDE</v>
      </c>
      <c r="AC220" s="5" t="str">
        <f t="shared" si="78"/>
        <v>positive attitude</v>
      </c>
      <c r="AD220" s="5" t="str">
        <f t="shared" si="79"/>
        <v>Positive Attitude</v>
      </c>
      <c r="AF220" s="6"/>
    </row>
    <row r="221" ht="14.25" customHeight="1" spans="1:32">
      <c r="A221" s="8" t="s">
        <v>944</v>
      </c>
      <c r="B221" s="8" t="s">
        <v>724</v>
      </c>
      <c r="C221" s="9">
        <f t="shared" si="60"/>
        <v>12</v>
      </c>
      <c r="D221" s="8" t="s">
        <v>44</v>
      </c>
      <c r="E221" s="8" t="str">
        <f t="shared" si="61"/>
        <v>Rohan Saxena(E1220) - Marketing</v>
      </c>
      <c r="F221" s="9" t="str">
        <f t="shared" si="62"/>
        <v>Rohan Saxena(E1220) -</v>
      </c>
      <c r="G221" s="9" t="str">
        <f t="shared" si="63"/>
        <v>Marketing</v>
      </c>
      <c r="H221" s="9">
        <f t="shared" si="64"/>
        <v>21</v>
      </c>
      <c r="I221" s="9">
        <f t="shared" si="65"/>
        <v>10</v>
      </c>
      <c r="J221" s="8" t="s">
        <v>61</v>
      </c>
      <c r="K221" s="9" t="str">
        <f t="shared" si="66"/>
        <v>Chenn@i</v>
      </c>
      <c r="L221" s="8" t="s">
        <v>945</v>
      </c>
      <c r="M221" s="8" t="str">
        <f t="shared" si="67"/>
        <v>Thursday</v>
      </c>
      <c r="N221" s="8" t="str">
        <f t="shared" si="68"/>
        <v>Thu</v>
      </c>
      <c r="O221" s="8" t="str">
        <f t="shared" si="69"/>
        <v>day</v>
      </c>
      <c r="P221" s="8">
        <f t="shared" si="70"/>
        <v>8</v>
      </c>
      <c r="Q221" s="8">
        <f t="shared" si="71"/>
        <v>2023</v>
      </c>
      <c r="R221" s="8" t="s">
        <v>946</v>
      </c>
      <c r="S221" s="8">
        <f t="shared" si="72"/>
        <v>8</v>
      </c>
      <c r="T221" s="8">
        <f t="shared" si="73"/>
        <v>23</v>
      </c>
      <c r="U221" s="8">
        <f t="shared" si="74"/>
        <v>21</v>
      </c>
      <c r="V221" s="8">
        <v>76341</v>
      </c>
      <c r="W221" s="8">
        <v>84158</v>
      </c>
      <c r="X221" s="9" t="str">
        <f t="shared" si="75"/>
        <v>Highe Target</v>
      </c>
      <c r="Y221" s="9" t="str">
        <f t="shared" si="76"/>
        <v>Highe target</v>
      </c>
      <c r="Z221" s="9" t="str" cm="1">
        <f t="array" ref="Z221">_xlfn.IFS(W221&lt;60000,"LOWERTarget",W221&lt;80000,"Medium Target",W221,"Highe Target")</f>
        <v>Highe Target</v>
      </c>
      <c r="AA221" s="8" t="s">
        <v>39</v>
      </c>
      <c r="AB221" s="5" t="str">
        <f t="shared" si="77"/>
        <v>DETAILED ANALYSIS</v>
      </c>
      <c r="AC221" s="5" t="str">
        <f t="shared" si="78"/>
        <v>detailed analysis</v>
      </c>
      <c r="AD221" s="5" t="str">
        <f t="shared" si="79"/>
        <v>Detailed Analysis</v>
      </c>
      <c r="AF221" s="6"/>
    </row>
    <row r="222" ht="14.25" customHeight="1" spans="1:32">
      <c r="A222" s="8" t="s">
        <v>947</v>
      </c>
      <c r="B222" s="8" t="s">
        <v>948</v>
      </c>
      <c r="C222" s="9">
        <f t="shared" si="60"/>
        <v>10</v>
      </c>
      <c r="D222" s="8" t="s">
        <v>93</v>
      </c>
      <c r="E222" s="8" t="str">
        <f t="shared" si="61"/>
        <v>Yash Patel(E1192) - Sales</v>
      </c>
      <c r="F222" s="9" t="str">
        <f t="shared" si="62"/>
        <v>Yash Patel(E1192) -</v>
      </c>
      <c r="G222" s="9" t="str">
        <f t="shared" si="63"/>
        <v>Sales</v>
      </c>
      <c r="H222" s="9">
        <f t="shared" si="64"/>
        <v>19</v>
      </c>
      <c r="I222" s="9">
        <f t="shared" si="65"/>
        <v>6</v>
      </c>
      <c r="J222" s="8" t="s">
        <v>182</v>
      </c>
      <c r="K222" s="9" t="str">
        <f t="shared" si="66"/>
        <v>Kolk@ta</v>
      </c>
      <c r="L222" s="8" t="s">
        <v>949</v>
      </c>
      <c r="M222" s="8" t="str">
        <f t="shared" si="67"/>
        <v>Sunday</v>
      </c>
      <c r="N222" s="8" t="str">
        <f t="shared" si="68"/>
        <v>Sun</v>
      </c>
      <c r="O222" s="8" t="str">
        <f t="shared" si="69"/>
        <v>day</v>
      </c>
      <c r="P222" s="8">
        <f t="shared" si="70"/>
        <v>1</v>
      </c>
      <c r="Q222" s="8">
        <f t="shared" si="71"/>
        <v>2023</v>
      </c>
      <c r="R222" s="8" t="s">
        <v>950</v>
      </c>
      <c r="S222" s="8">
        <f t="shared" si="72"/>
        <v>10</v>
      </c>
      <c r="T222" s="8">
        <f t="shared" si="73"/>
        <v>51</v>
      </c>
      <c r="U222" s="8">
        <f t="shared" si="74"/>
        <v>47</v>
      </c>
      <c r="V222" s="8">
        <v>80009</v>
      </c>
      <c r="W222" s="8">
        <v>84525</v>
      </c>
      <c r="X222" s="9" t="str">
        <f t="shared" si="75"/>
        <v>Highe Target</v>
      </c>
      <c r="Y222" s="9" t="str">
        <f t="shared" si="76"/>
        <v>Highe target</v>
      </c>
      <c r="Z222" s="9" t="str" cm="1">
        <f t="array" ref="Z222">_xlfn.IFS(W222&lt;60000,"LOWERTarget",W222&lt;80000,"Medium Target",W222,"Highe Target")</f>
        <v>Highe Target</v>
      </c>
      <c r="AA222" s="8" t="s">
        <v>87</v>
      </c>
      <c r="AB222" s="5" t="str">
        <f t="shared" si="77"/>
        <v>EXCELLENT SERVICE</v>
      </c>
      <c r="AC222" s="5" t="str">
        <f t="shared" si="78"/>
        <v>excellent service</v>
      </c>
      <c r="AD222" s="5" t="str">
        <f t="shared" si="79"/>
        <v>Excellent Service</v>
      </c>
      <c r="AF222" s="6"/>
    </row>
    <row r="223" ht="14.25" customHeight="1" spans="1:32">
      <c r="A223" s="8" t="s">
        <v>951</v>
      </c>
      <c r="B223" s="8" t="s">
        <v>176</v>
      </c>
      <c r="C223" s="9">
        <f t="shared" si="60"/>
        <v>13</v>
      </c>
      <c r="D223" s="8" t="s">
        <v>60</v>
      </c>
      <c r="E223" s="8" t="str">
        <f t="shared" si="61"/>
        <v>Manish Mishra(E1298) - HR</v>
      </c>
      <c r="F223" s="9" t="str">
        <f t="shared" si="62"/>
        <v>Manish Mishra(E1298) -</v>
      </c>
      <c r="G223" s="9" t="str">
        <f t="shared" si="63"/>
        <v>HR</v>
      </c>
      <c r="H223" s="9">
        <f t="shared" si="64"/>
        <v>22</v>
      </c>
      <c r="I223" s="9">
        <f t="shared" si="65"/>
        <v>3</v>
      </c>
      <c r="J223" s="8" t="s">
        <v>36</v>
      </c>
      <c r="K223" s="9" t="str">
        <f t="shared" si="66"/>
        <v>Ahmed@bad</v>
      </c>
      <c r="L223" s="8" t="s">
        <v>952</v>
      </c>
      <c r="M223" s="8" t="str">
        <f t="shared" si="67"/>
        <v>Monday</v>
      </c>
      <c r="N223" s="8" t="str">
        <f t="shared" si="68"/>
        <v>Mon</v>
      </c>
      <c r="O223" s="8" t="str">
        <f t="shared" si="69"/>
        <v>day</v>
      </c>
      <c r="P223" s="8">
        <f t="shared" si="70"/>
        <v>2</v>
      </c>
      <c r="Q223" s="8">
        <f t="shared" si="71"/>
        <v>2023</v>
      </c>
      <c r="R223" s="8" t="s">
        <v>953</v>
      </c>
      <c r="S223" s="8">
        <f t="shared" si="72"/>
        <v>9</v>
      </c>
      <c r="T223" s="8">
        <f t="shared" si="73"/>
        <v>29</v>
      </c>
      <c r="U223" s="8">
        <f t="shared" si="74"/>
        <v>49</v>
      </c>
      <c r="V223" s="8">
        <v>102333</v>
      </c>
      <c r="W223" s="8">
        <v>84535</v>
      </c>
      <c r="X223" s="9" t="str">
        <f t="shared" si="75"/>
        <v>Highe Target</v>
      </c>
      <c r="Y223" s="9" t="str">
        <f t="shared" si="76"/>
        <v>Highe target</v>
      </c>
      <c r="Z223" s="9" t="str" cm="1">
        <f t="array" ref="Z223">_xlfn.IFS(W223&lt;60000,"LOWERTarget",W223&lt;80000,"Medium Target",W223,"Highe Target")</f>
        <v>Highe Target</v>
      </c>
      <c r="AA223" s="8" t="s">
        <v>285</v>
      </c>
      <c r="AB223" s="5" t="str">
        <f t="shared" si="77"/>
        <v>QUICK RESPONSE</v>
      </c>
      <c r="AC223" s="5" t="str">
        <f t="shared" si="78"/>
        <v>quick response</v>
      </c>
      <c r="AD223" s="5" t="str">
        <f t="shared" si="79"/>
        <v>Quick Response</v>
      </c>
      <c r="AF223" s="6"/>
    </row>
    <row r="224" ht="14.25" customHeight="1" spans="1:32">
      <c r="A224" s="8" t="s">
        <v>954</v>
      </c>
      <c r="B224" s="8" t="s">
        <v>693</v>
      </c>
      <c r="C224" s="9">
        <f t="shared" si="60"/>
        <v>12</v>
      </c>
      <c r="D224" s="8" t="s">
        <v>35</v>
      </c>
      <c r="E224" s="8" t="str">
        <f t="shared" si="61"/>
        <v>Arjun Chopra(E1248) - Finance</v>
      </c>
      <c r="F224" s="9" t="str">
        <f t="shared" si="62"/>
        <v>Arjun Chopra(E1248) -</v>
      </c>
      <c r="G224" s="9" t="str">
        <f t="shared" si="63"/>
        <v>Finance</v>
      </c>
      <c r="H224" s="9">
        <f t="shared" si="64"/>
        <v>21</v>
      </c>
      <c r="I224" s="9">
        <f t="shared" si="65"/>
        <v>8</v>
      </c>
      <c r="J224" s="8" t="s">
        <v>182</v>
      </c>
      <c r="K224" s="9" t="str">
        <f t="shared" si="66"/>
        <v>Kolk@ta</v>
      </c>
      <c r="L224" s="8" t="s">
        <v>955</v>
      </c>
      <c r="M224" s="8" t="str">
        <f t="shared" si="67"/>
        <v>Saturday</v>
      </c>
      <c r="N224" s="8" t="str">
        <f t="shared" si="68"/>
        <v>Sat</v>
      </c>
      <c r="O224" s="8" t="str">
        <f t="shared" si="69"/>
        <v>day</v>
      </c>
      <c r="P224" s="8">
        <f t="shared" si="70"/>
        <v>7</v>
      </c>
      <c r="Q224" s="8">
        <f t="shared" si="71"/>
        <v>2023</v>
      </c>
      <c r="R224" s="8" t="s">
        <v>956</v>
      </c>
      <c r="S224" s="8">
        <f t="shared" si="72"/>
        <v>9</v>
      </c>
      <c r="T224" s="8">
        <f t="shared" si="73"/>
        <v>24</v>
      </c>
      <c r="U224" s="8">
        <f t="shared" si="74"/>
        <v>5</v>
      </c>
      <c r="V224" s="8">
        <v>78458</v>
      </c>
      <c r="W224" s="8">
        <v>84743</v>
      </c>
      <c r="X224" s="9" t="str">
        <f t="shared" si="75"/>
        <v>Highe Target</v>
      </c>
      <c r="Y224" s="9" t="str">
        <f t="shared" si="76"/>
        <v>Highe target</v>
      </c>
      <c r="Z224" s="9" t="str" cm="1">
        <f t="array" ref="Z224">_xlfn.IFS(W224&lt;60000,"LOWERTarget",W224&lt;80000,"Medium Target",W224,"Highe Target")</f>
        <v>Highe Target</v>
      </c>
      <c r="AA224" s="8" t="s">
        <v>138</v>
      </c>
      <c r="AB224" s="5" t="str">
        <f t="shared" si="77"/>
        <v>GOOD TEAMWORK</v>
      </c>
      <c r="AC224" s="5" t="str">
        <f t="shared" si="78"/>
        <v>good teamwork</v>
      </c>
      <c r="AD224" s="5" t="str">
        <f t="shared" si="79"/>
        <v>Good Teamwork</v>
      </c>
      <c r="AF224" s="6"/>
    </row>
    <row r="225" ht="14.25" customHeight="1" spans="1:32">
      <c r="A225" s="8" t="s">
        <v>957</v>
      </c>
      <c r="B225" s="8" t="s">
        <v>958</v>
      </c>
      <c r="C225" s="9">
        <f t="shared" si="60"/>
        <v>12</v>
      </c>
      <c r="D225" s="8" t="s">
        <v>93</v>
      </c>
      <c r="E225" s="8" t="str">
        <f t="shared" si="61"/>
        <v>Anjali Gupta(E1116) - Sales</v>
      </c>
      <c r="F225" s="9" t="str">
        <f t="shared" si="62"/>
        <v>Anjali Gupta(E1116) -</v>
      </c>
      <c r="G225" s="9" t="str">
        <f t="shared" si="63"/>
        <v>Sales</v>
      </c>
      <c r="H225" s="9">
        <f t="shared" si="64"/>
        <v>21</v>
      </c>
      <c r="I225" s="9">
        <f t="shared" si="65"/>
        <v>6</v>
      </c>
      <c r="J225" s="8" t="s">
        <v>182</v>
      </c>
      <c r="K225" s="9" t="str">
        <f t="shared" si="66"/>
        <v>Kolk@ta</v>
      </c>
      <c r="L225" s="8" t="s">
        <v>959</v>
      </c>
      <c r="M225" s="8" t="str">
        <f t="shared" si="67"/>
        <v>Sunday</v>
      </c>
      <c r="N225" s="8" t="str">
        <f t="shared" si="68"/>
        <v>Sun</v>
      </c>
      <c r="O225" s="8" t="str">
        <f t="shared" si="69"/>
        <v>day</v>
      </c>
      <c r="P225" s="8">
        <f t="shared" si="70"/>
        <v>7</v>
      </c>
      <c r="Q225" s="8">
        <f t="shared" si="71"/>
        <v>2022</v>
      </c>
      <c r="R225" s="8" t="s">
        <v>960</v>
      </c>
      <c r="S225" s="8">
        <f t="shared" si="72"/>
        <v>8</v>
      </c>
      <c r="T225" s="8">
        <f t="shared" si="73"/>
        <v>36</v>
      </c>
      <c r="U225" s="8">
        <f t="shared" si="74"/>
        <v>55</v>
      </c>
      <c r="V225" s="8">
        <v>73158</v>
      </c>
      <c r="W225" s="8">
        <v>84944</v>
      </c>
      <c r="X225" s="9" t="str">
        <f t="shared" si="75"/>
        <v>Highe Target</v>
      </c>
      <c r="Y225" s="9" t="str">
        <f t="shared" si="76"/>
        <v>Highe target</v>
      </c>
      <c r="Z225" s="9" t="str" cm="1">
        <f t="array" ref="Z225">_xlfn.IFS(W225&lt;60000,"LOWERTarget",W225&lt;80000,"Medium Target",W225,"Highe Target")</f>
        <v>Highe Target</v>
      </c>
      <c r="AA225" s="8" t="s">
        <v>71</v>
      </c>
      <c r="AB225" s="5" t="str">
        <f t="shared" si="77"/>
        <v>GREAT SUPPORT</v>
      </c>
      <c r="AC225" s="5" t="str">
        <f t="shared" si="78"/>
        <v>great support</v>
      </c>
      <c r="AD225" s="5" t="str">
        <f t="shared" si="79"/>
        <v>Great Support</v>
      </c>
      <c r="AF225" s="6"/>
    </row>
    <row r="226" ht="14.25" customHeight="1" spans="1:32">
      <c r="A226" s="8" t="s">
        <v>961</v>
      </c>
      <c r="B226" s="8" t="s">
        <v>181</v>
      </c>
      <c r="C226" s="9">
        <f t="shared" si="60"/>
        <v>11</v>
      </c>
      <c r="D226" s="8" t="s">
        <v>60</v>
      </c>
      <c r="E226" s="8" t="str">
        <f t="shared" si="61"/>
        <v>Karan Verma(E1076) - HR</v>
      </c>
      <c r="F226" s="9" t="str">
        <f t="shared" si="62"/>
        <v>Karan Verma(E1076) -</v>
      </c>
      <c r="G226" s="9" t="str">
        <f t="shared" si="63"/>
        <v>HR</v>
      </c>
      <c r="H226" s="9">
        <f t="shared" si="64"/>
        <v>20</v>
      </c>
      <c r="I226" s="9">
        <f t="shared" si="65"/>
        <v>3</v>
      </c>
      <c r="J226" s="8" t="s">
        <v>182</v>
      </c>
      <c r="K226" s="9" t="str">
        <f t="shared" si="66"/>
        <v>Kolk@ta</v>
      </c>
      <c r="L226" s="8" t="s">
        <v>549</v>
      </c>
      <c r="M226" s="8" t="str">
        <f t="shared" si="67"/>
        <v>Thursday</v>
      </c>
      <c r="N226" s="8" t="str">
        <f t="shared" si="68"/>
        <v>Thu</v>
      </c>
      <c r="O226" s="8" t="str">
        <f t="shared" si="69"/>
        <v>day</v>
      </c>
      <c r="P226" s="8">
        <f t="shared" si="70"/>
        <v>9</v>
      </c>
      <c r="Q226" s="8">
        <f t="shared" si="71"/>
        <v>2023</v>
      </c>
      <c r="R226" s="8" t="s">
        <v>962</v>
      </c>
      <c r="S226" s="8">
        <f t="shared" si="72"/>
        <v>10</v>
      </c>
      <c r="T226" s="8">
        <f t="shared" si="73"/>
        <v>48</v>
      </c>
      <c r="U226" s="8">
        <f t="shared" si="74"/>
        <v>15</v>
      </c>
      <c r="V226" s="8">
        <v>101460</v>
      </c>
      <c r="W226" s="8">
        <v>85259</v>
      </c>
      <c r="X226" s="9" t="str">
        <f t="shared" si="75"/>
        <v>Highe Target</v>
      </c>
      <c r="Y226" s="9" t="str">
        <f t="shared" si="76"/>
        <v>Highe target</v>
      </c>
      <c r="Z226" s="9" t="str" cm="1">
        <f t="array" ref="Z226">_xlfn.IFS(W226&lt;60000,"LOWERTarget",W226&lt;80000,"Medium Target",W226,"Highe Target")</f>
        <v>Highe Target</v>
      </c>
      <c r="AA226" s="8" t="s">
        <v>138</v>
      </c>
      <c r="AB226" s="5" t="str">
        <f t="shared" si="77"/>
        <v>GOOD TEAMWORK</v>
      </c>
      <c r="AC226" s="5" t="str">
        <f t="shared" si="78"/>
        <v>good teamwork</v>
      </c>
      <c r="AD226" s="5" t="str">
        <f t="shared" si="79"/>
        <v>Good Teamwork</v>
      </c>
      <c r="AF226" s="6"/>
    </row>
    <row r="227" ht="14.25" customHeight="1" spans="1:32">
      <c r="A227" s="8" t="s">
        <v>963</v>
      </c>
      <c r="B227" s="8" t="s">
        <v>964</v>
      </c>
      <c r="C227" s="9">
        <f t="shared" si="60"/>
        <v>17</v>
      </c>
      <c r="D227" s="8" t="s">
        <v>44</v>
      </c>
      <c r="E227" s="8" t="str">
        <f t="shared" si="61"/>
        <v>Siddharth Agarwal(E1077) - Marketing</v>
      </c>
      <c r="F227" s="9" t="str">
        <f t="shared" si="62"/>
        <v>Siddharth Agarwal(E1077) -</v>
      </c>
      <c r="G227" s="9" t="str">
        <f t="shared" si="63"/>
        <v>Marketing</v>
      </c>
      <c r="H227" s="9">
        <f t="shared" si="64"/>
        <v>26</v>
      </c>
      <c r="I227" s="9">
        <f t="shared" si="65"/>
        <v>10</v>
      </c>
      <c r="J227" s="8" t="s">
        <v>153</v>
      </c>
      <c r="K227" s="9" t="str">
        <f t="shared" si="66"/>
        <v>Mumb@i</v>
      </c>
      <c r="L227" s="8" t="s">
        <v>965</v>
      </c>
      <c r="M227" s="8" t="str">
        <f t="shared" si="67"/>
        <v>Saturday</v>
      </c>
      <c r="N227" s="8" t="str">
        <f t="shared" si="68"/>
        <v>Sat</v>
      </c>
      <c r="O227" s="8" t="str">
        <f t="shared" si="69"/>
        <v>day</v>
      </c>
      <c r="P227" s="8">
        <f t="shared" si="70"/>
        <v>7</v>
      </c>
      <c r="Q227" s="8">
        <f t="shared" si="71"/>
        <v>2021</v>
      </c>
      <c r="R227" s="8" t="s">
        <v>966</v>
      </c>
      <c r="S227" s="8">
        <f t="shared" si="72"/>
        <v>9</v>
      </c>
      <c r="T227" s="8">
        <f t="shared" si="73"/>
        <v>14</v>
      </c>
      <c r="U227" s="8">
        <f t="shared" si="74"/>
        <v>25</v>
      </c>
      <c r="V227" s="8">
        <v>86281</v>
      </c>
      <c r="W227" s="8">
        <v>85336</v>
      </c>
      <c r="X227" s="9" t="str">
        <f t="shared" si="75"/>
        <v>Highe Target</v>
      </c>
      <c r="Y227" s="9" t="str">
        <f t="shared" si="76"/>
        <v>Highe target</v>
      </c>
      <c r="Z227" s="9" t="str" cm="1">
        <f t="array" ref="Z227">_xlfn.IFS(W227&lt;60000,"LOWERTarget",W227&lt;80000,"Medium Target",W227,"Highe Target")</f>
        <v>Highe Target</v>
      </c>
      <c r="AA227" s="8" t="s">
        <v>64</v>
      </c>
      <c r="AB227" s="5" t="str">
        <f t="shared" si="77"/>
        <v>NEEDS IMPROVEMENT</v>
      </c>
      <c r="AC227" s="5" t="str">
        <f t="shared" si="78"/>
        <v>needs improvement</v>
      </c>
      <c r="AD227" s="5" t="str">
        <f t="shared" si="79"/>
        <v>Needs Improvement</v>
      </c>
      <c r="AF227" s="6"/>
    </row>
    <row r="228" ht="14.25" customHeight="1" spans="1:32">
      <c r="A228" s="8" t="s">
        <v>967</v>
      </c>
      <c r="B228" s="8" t="s">
        <v>968</v>
      </c>
      <c r="C228" s="9">
        <f t="shared" si="60"/>
        <v>11</v>
      </c>
      <c r="D228" s="8" t="s">
        <v>35</v>
      </c>
      <c r="E228" s="8" t="str">
        <f t="shared" si="61"/>
        <v>Vikram Iyer(E1058) - Finance</v>
      </c>
      <c r="F228" s="9" t="str">
        <f t="shared" si="62"/>
        <v>Vikram Iyer(E1058) -</v>
      </c>
      <c r="G228" s="9" t="str">
        <f t="shared" si="63"/>
        <v>Finance</v>
      </c>
      <c r="H228" s="9">
        <f t="shared" si="64"/>
        <v>20</v>
      </c>
      <c r="I228" s="9">
        <f t="shared" si="65"/>
        <v>8</v>
      </c>
      <c r="J228" s="8" t="s">
        <v>76</v>
      </c>
      <c r="K228" s="9" t="str">
        <f t="shared" si="66"/>
        <v>Pune</v>
      </c>
      <c r="L228" s="8" t="s">
        <v>969</v>
      </c>
      <c r="M228" s="8" t="str">
        <f t="shared" si="67"/>
        <v>Monday</v>
      </c>
      <c r="N228" s="8" t="str">
        <f t="shared" si="68"/>
        <v>Mon</v>
      </c>
      <c r="O228" s="8" t="str">
        <f t="shared" si="69"/>
        <v>day</v>
      </c>
      <c r="P228" s="8">
        <f t="shared" si="70"/>
        <v>10</v>
      </c>
      <c r="Q228" s="8">
        <f t="shared" si="71"/>
        <v>2021</v>
      </c>
      <c r="R228" s="8" t="s">
        <v>970</v>
      </c>
      <c r="S228" s="8">
        <f t="shared" si="72"/>
        <v>8</v>
      </c>
      <c r="T228" s="8">
        <f t="shared" si="73"/>
        <v>14</v>
      </c>
      <c r="U228" s="8">
        <f t="shared" si="74"/>
        <v>24</v>
      </c>
      <c r="V228" s="8">
        <v>80492</v>
      </c>
      <c r="W228" s="8">
        <v>85478</v>
      </c>
      <c r="X228" s="9" t="str">
        <f t="shared" si="75"/>
        <v>Highe Target</v>
      </c>
      <c r="Y228" s="9" t="str">
        <f t="shared" si="76"/>
        <v>Highe target</v>
      </c>
      <c r="Z228" s="9" t="str" cm="1">
        <f t="array" ref="Z228">_xlfn.IFS(W228&lt;60000,"LOWERTarget",W228&lt;80000,"Medium Target",W228,"Highe Target")</f>
        <v>Highe Target</v>
      </c>
      <c r="AA228" s="8" t="s">
        <v>96</v>
      </c>
      <c r="AB228" s="5" t="str">
        <f t="shared" si="77"/>
        <v>FAST DELIVERY</v>
      </c>
      <c r="AC228" s="5" t="str">
        <f t="shared" si="78"/>
        <v>fast delivery</v>
      </c>
      <c r="AD228" s="5" t="str">
        <f t="shared" si="79"/>
        <v>Fast Delivery</v>
      </c>
      <c r="AF228" s="6"/>
    </row>
    <row r="229" ht="14.25" customHeight="1" spans="1:32">
      <c r="A229" s="8" t="s">
        <v>971</v>
      </c>
      <c r="B229" s="8" t="s">
        <v>972</v>
      </c>
      <c r="C229" s="9">
        <f t="shared" si="60"/>
        <v>10</v>
      </c>
      <c r="D229" s="8" t="s">
        <v>44</v>
      </c>
      <c r="E229" s="8" t="str">
        <f t="shared" si="61"/>
        <v>Isha Verma(E1053) - Marketing</v>
      </c>
      <c r="F229" s="9" t="str">
        <f t="shared" si="62"/>
        <v>Isha Verma(E1053) -</v>
      </c>
      <c r="G229" s="9" t="str">
        <f t="shared" si="63"/>
        <v>Marketing</v>
      </c>
      <c r="H229" s="9">
        <f t="shared" si="64"/>
        <v>19</v>
      </c>
      <c r="I229" s="9">
        <f t="shared" si="65"/>
        <v>10</v>
      </c>
      <c r="J229" s="8" t="s">
        <v>182</v>
      </c>
      <c r="K229" s="9" t="str">
        <f t="shared" si="66"/>
        <v>Kolk@ta</v>
      </c>
      <c r="L229" s="8" t="s">
        <v>973</v>
      </c>
      <c r="M229" s="8" t="str">
        <f t="shared" si="67"/>
        <v>Saturday</v>
      </c>
      <c r="N229" s="8" t="str">
        <f t="shared" si="68"/>
        <v>Sat</v>
      </c>
      <c r="O229" s="8" t="str">
        <f t="shared" si="69"/>
        <v>day</v>
      </c>
      <c r="P229" s="8">
        <f t="shared" si="70"/>
        <v>7</v>
      </c>
      <c r="Q229" s="8">
        <f t="shared" si="71"/>
        <v>2024</v>
      </c>
      <c r="R229" s="8" t="s">
        <v>974</v>
      </c>
      <c r="S229" s="8">
        <f t="shared" si="72"/>
        <v>10</v>
      </c>
      <c r="T229" s="8">
        <f t="shared" si="73"/>
        <v>12</v>
      </c>
      <c r="U229" s="8">
        <f t="shared" si="74"/>
        <v>45</v>
      </c>
      <c r="V229" s="8">
        <v>95800</v>
      </c>
      <c r="W229" s="8">
        <v>85636</v>
      </c>
      <c r="X229" s="9" t="str">
        <f t="shared" si="75"/>
        <v>Highe Target</v>
      </c>
      <c r="Y229" s="9" t="str">
        <f t="shared" si="76"/>
        <v>Highe target</v>
      </c>
      <c r="Z229" s="9" t="str" cm="1">
        <f t="array" ref="Z229">_xlfn.IFS(W229&lt;60000,"LOWERTarget",W229&lt;80000,"Medium Target",W229,"Highe Target")</f>
        <v>Highe Target</v>
      </c>
      <c r="AA229" s="8" t="s">
        <v>179</v>
      </c>
      <c r="AB229" s="5" t="str">
        <f t="shared" si="77"/>
        <v>HELPFUL ATTITUDE</v>
      </c>
      <c r="AC229" s="5" t="str">
        <f t="shared" si="78"/>
        <v>helpful attitude</v>
      </c>
      <c r="AD229" s="5" t="str">
        <f t="shared" si="79"/>
        <v>Helpful Attitude</v>
      </c>
      <c r="AF229" s="6"/>
    </row>
    <row r="230" ht="14.25" customHeight="1" spans="1:32">
      <c r="A230" s="8" t="s">
        <v>975</v>
      </c>
      <c r="B230" s="8" t="s">
        <v>976</v>
      </c>
      <c r="C230" s="9">
        <f t="shared" si="60"/>
        <v>10</v>
      </c>
      <c r="D230" s="8" t="s">
        <v>35</v>
      </c>
      <c r="E230" s="8" t="str">
        <f t="shared" si="61"/>
        <v>Isha Singh(E1048) - Finance</v>
      </c>
      <c r="F230" s="9" t="str">
        <f t="shared" si="62"/>
        <v>Isha Singh(E1048) -</v>
      </c>
      <c r="G230" s="9" t="str">
        <f t="shared" si="63"/>
        <v>Finance</v>
      </c>
      <c r="H230" s="9">
        <f t="shared" si="64"/>
        <v>19</v>
      </c>
      <c r="I230" s="9">
        <f t="shared" si="65"/>
        <v>8</v>
      </c>
      <c r="J230" s="8" t="s">
        <v>61</v>
      </c>
      <c r="K230" s="9" t="str">
        <f t="shared" si="66"/>
        <v>Chenn@i</v>
      </c>
      <c r="L230" s="8" t="s">
        <v>977</v>
      </c>
      <c r="M230" s="8" t="str">
        <f t="shared" si="67"/>
        <v>Friday</v>
      </c>
      <c r="N230" s="8" t="str">
        <f t="shared" si="68"/>
        <v>Fri</v>
      </c>
      <c r="O230" s="8" t="str">
        <f t="shared" si="69"/>
        <v>day</v>
      </c>
      <c r="P230" s="8">
        <f t="shared" si="70"/>
        <v>9</v>
      </c>
      <c r="Q230" s="8">
        <f t="shared" si="71"/>
        <v>2024</v>
      </c>
      <c r="R230" s="8" t="s">
        <v>978</v>
      </c>
      <c r="S230" s="8">
        <f t="shared" si="72"/>
        <v>9</v>
      </c>
      <c r="T230" s="8">
        <f t="shared" si="73"/>
        <v>20</v>
      </c>
      <c r="U230" s="8">
        <f t="shared" si="74"/>
        <v>25</v>
      </c>
      <c r="V230" s="8">
        <v>90068</v>
      </c>
      <c r="W230" s="8">
        <v>85692</v>
      </c>
      <c r="X230" s="9" t="str">
        <f t="shared" si="75"/>
        <v>Highe Target</v>
      </c>
      <c r="Y230" s="9" t="str">
        <f t="shared" si="76"/>
        <v>Highe target</v>
      </c>
      <c r="Z230" s="9" t="str" cm="1">
        <f t="array" ref="Z230">_xlfn.IFS(W230&lt;60000,"LOWERTarget",W230&lt;80000,"Medium Target",W230,"Highe Target")</f>
        <v>Highe Target</v>
      </c>
      <c r="AA230" s="8" t="s">
        <v>229</v>
      </c>
      <c r="AB230" s="5" t="str">
        <f t="shared" si="77"/>
        <v>STRONG PRESENTATION</v>
      </c>
      <c r="AC230" s="5" t="str">
        <f t="shared" si="78"/>
        <v>strong presentation</v>
      </c>
      <c r="AD230" s="5" t="str">
        <f t="shared" si="79"/>
        <v>Strong Presentation</v>
      </c>
      <c r="AF230" s="6"/>
    </row>
    <row r="231" ht="14.25" customHeight="1" spans="1:32">
      <c r="A231" s="8" t="s">
        <v>979</v>
      </c>
      <c r="B231" s="8" t="s">
        <v>980</v>
      </c>
      <c r="C231" s="9">
        <f t="shared" si="60"/>
        <v>12</v>
      </c>
      <c r="D231" s="8" t="s">
        <v>93</v>
      </c>
      <c r="E231" s="8" t="str">
        <f t="shared" si="61"/>
        <v>Tanya Bansal(E1273) - Sales</v>
      </c>
      <c r="F231" s="9" t="str">
        <f t="shared" si="62"/>
        <v>Tanya Bansal(E1273) -</v>
      </c>
      <c r="G231" s="9" t="str">
        <f t="shared" si="63"/>
        <v>Sales</v>
      </c>
      <c r="H231" s="9">
        <f t="shared" si="64"/>
        <v>21</v>
      </c>
      <c r="I231" s="9">
        <f t="shared" si="65"/>
        <v>6</v>
      </c>
      <c r="J231" s="8" t="s">
        <v>172</v>
      </c>
      <c r="K231" s="9" t="str">
        <f t="shared" si="66"/>
        <v>Hyder@bad</v>
      </c>
      <c r="L231" s="8" t="s">
        <v>981</v>
      </c>
      <c r="M231" s="8" t="str">
        <f t="shared" si="67"/>
        <v>Wednesday</v>
      </c>
      <c r="N231" s="8" t="str">
        <f t="shared" si="68"/>
        <v>Wed</v>
      </c>
      <c r="O231" s="8" t="str">
        <f t="shared" si="69"/>
        <v>day</v>
      </c>
      <c r="P231" s="8">
        <f t="shared" si="70"/>
        <v>4</v>
      </c>
      <c r="Q231" s="8">
        <f t="shared" si="71"/>
        <v>2023</v>
      </c>
      <c r="R231" s="8" t="s">
        <v>982</v>
      </c>
      <c r="S231" s="8">
        <f t="shared" si="72"/>
        <v>9</v>
      </c>
      <c r="T231" s="8">
        <f t="shared" si="73"/>
        <v>36</v>
      </c>
      <c r="U231" s="8">
        <f t="shared" si="74"/>
        <v>15</v>
      </c>
      <c r="V231" s="8">
        <v>85495</v>
      </c>
      <c r="W231" s="8">
        <v>85694</v>
      </c>
      <c r="X231" s="9" t="str">
        <f t="shared" si="75"/>
        <v>Highe Target</v>
      </c>
      <c r="Y231" s="9" t="str">
        <f t="shared" si="76"/>
        <v>Highe target</v>
      </c>
      <c r="Z231" s="9" t="str" cm="1">
        <f t="array" ref="Z231">_xlfn.IFS(W231&lt;60000,"LOWERTarget",W231&lt;80000,"Medium Target",W231,"Highe Target")</f>
        <v>Highe Target</v>
      </c>
      <c r="AA231" s="8" t="s">
        <v>64</v>
      </c>
      <c r="AB231" s="5" t="str">
        <f t="shared" si="77"/>
        <v>NEEDS IMPROVEMENT</v>
      </c>
      <c r="AC231" s="5" t="str">
        <f t="shared" si="78"/>
        <v>needs improvement</v>
      </c>
      <c r="AD231" s="5" t="str">
        <f t="shared" si="79"/>
        <v>Needs Improvement</v>
      </c>
      <c r="AF231" s="6"/>
    </row>
    <row r="232" ht="14.25" customHeight="1" spans="1:32">
      <c r="A232" s="8" t="s">
        <v>983</v>
      </c>
      <c r="B232" s="8" t="s">
        <v>795</v>
      </c>
      <c r="C232" s="9">
        <f t="shared" si="60"/>
        <v>10</v>
      </c>
      <c r="D232" s="8" t="s">
        <v>60</v>
      </c>
      <c r="E232" s="8" t="str">
        <f t="shared" si="61"/>
        <v>Yash Reddy(E1008) - HR</v>
      </c>
      <c r="F232" s="9" t="str">
        <f t="shared" si="62"/>
        <v>Yash Reddy(E1008) -</v>
      </c>
      <c r="G232" s="9" t="str">
        <f t="shared" si="63"/>
        <v>HR</v>
      </c>
      <c r="H232" s="9">
        <f t="shared" si="64"/>
        <v>19</v>
      </c>
      <c r="I232" s="9">
        <f t="shared" si="65"/>
        <v>3</v>
      </c>
      <c r="J232" s="8" t="s">
        <v>172</v>
      </c>
      <c r="K232" s="9" t="str">
        <f t="shared" si="66"/>
        <v>Hyder@bad</v>
      </c>
      <c r="L232" s="8" t="s">
        <v>984</v>
      </c>
      <c r="M232" s="8" t="str">
        <f t="shared" si="67"/>
        <v>Thursday</v>
      </c>
      <c r="N232" s="8" t="str">
        <f t="shared" si="68"/>
        <v>Thu</v>
      </c>
      <c r="O232" s="8" t="str">
        <f t="shared" si="69"/>
        <v>day</v>
      </c>
      <c r="P232" s="8">
        <f t="shared" si="70"/>
        <v>12</v>
      </c>
      <c r="Q232" s="8">
        <f t="shared" si="71"/>
        <v>2022</v>
      </c>
      <c r="R232" s="8" t="s">
        <v>985</v>
      </c>
      <c r="S232" s="8">
        <f t="shared" si="72"/>
        <v>8</v>
      </c>
      <c r="T232" s="8">
        <f t="shared" si="73"/>
        <v>42</v>
      </c>
      <c r="U232" s="8">
        <f t="shared" si="74"/>
        <v>17</v>
      </c>
      <c r="V232" s="8">
        <v>75673</v>
      </c>
      <c r="W232" s="8">
        <v>85994</v>
      </c>
      <c r="X232" s="9" t="str">
        <f t="shared" si="75"/>
        <v>Highe Target</v>
      </c>
      <c r="Y232" s="9" t="str">
        <f t="shared" si="76"/>
        <v>Highe target</v>
      </c>
      <c r="Z232" s="9" t="str" cm="1">
        <f t="array" ref="Z232">_xlfn.IFS(W232&lt;60000,"LOWERTarget",W232&lt;80000,"Medium Target",W232,"Highe Target")</f>
        <v>Highe Target</v>
      </c>
      <c r="AA232" s="8" t="s">
        <v>79</v>
      </c>
      <c r="AB232" s="5" t="str">
        <f t="shared" si="77"/>
        <v>EXCELLENT LEADERSHIP</v>
      </c>
      <c r="AC232" s="5" t="str">
        <f t="shared" si="78"/>
        <v>excellent leadership</v>
      </c>
      <c r="AD232" s="5" t="s">
        <v>986</v>
      </c>
      <c r="AF232" s="6"/>
    </row>
    <row r="233" ht="14.25" customHeight="1" spans="1:32">
      <c r="A233" s="8" t="s">
        <v>987</v>
      </c>
      <c r="B233" s="8" t="s">
        <v>988</v>
      </c>
      <c r="C233" s="9">
        <f t="shared" si="60"/>
        <v>9</v>
      </c>
      <c r="D233" s="8" t="s">
        <v>60</v>
      </c>
      <c r="E233" s="8" t="str">
        <f t="shared" si="61"/>
        <v>Amit Iyer(E1038) - HR</v>
      </c>
      <c r="F233" s="9" t="str">
        <f t="shared" si="62"/>
        <v>Amit Iyer(E1038) -</v>
      </c>
      <c r="G233" s="9" t="str">
        <f t="shared" si="63"/>
        <v>HR</v>
      </c>
      <c r="H233" s="9">
        <f t="shared" si="64"/>
        <v>18</v>
      </c>
      <c r="I233" s="9">
        <f t="shared" si="65"/>
        <v>3</v>
      </c>
      <c r="J233" s="8" t="s">
        <v>61</v>
      </c>
      <c r="K233" s="9" t="str">
        <f t="shared" si="66"/>
        <v>Chenn@i</v>
      </c>
      <c r="L233" s="8" t="s">
        <v>989</v>
      </c>
      <c r="M233" s="8" t="str">
        <f t="shared" si="67"/>
        <v>Saturday</v>
      </c>
      <c r="N233" s="8" t="str">
        <f t="shared" si="68"/>
        <v>Sat</v>
      </c>
      <c r="O233" s="8" t="str">
        <f t="shared" si="69"/>
        <v>day</v>
      </c>
      <c r="P233" s="8">
        <f t="shared" si="70"/>
        <v>11</v>
      </c>
      <c r="Q233" s="8">
        <f t="shared" si="71"/>
        <v>2021</v>
      </c>
      <c r="R233" s="8" t="s">
        <v>990</v>
      </c>
      <c r="S233" s="8">
        <f t="shared" si="72"/>
        <v>10</v>
      </c>
      <c r="T233" s="8">
        <f t="shared" si="73"/>
        <v>28</v>
      </c>
      <c r="U233" s="8">
        <f t="shared" si="74"/>
        <v>35</v>
      </c>
      <c r="V233" s="8">
        <v>99274</v>
      </c>
      <c r="W233" s="8">
        <v>86246</v>
      </c>
      <c r="X233" s="9" t="str">
        <f t="shared" si="75"/>
        <v>Highe Target</v>
      </c>
      <c r="Y233" s="9" t="str">
        <f t="shared" si="76"/>
        <v>Highe target</v>
      </c>
      <c r="Z233" s="9" t="str" cm="1">
        <f t="array" ref="Z233">_xlfn.IFS(W233&lt;60000,"LOWERTarget",W233&lt;80000,"Medium Target",W233,"Highe Target")</f>
        <v>Highe Target</v>
      </c>
      <c r="AA233" s="8" t="s">
        <v>229</v>
      </c>
      <c r="AB233" s="5" t="str">
        <f t="shared" si="77"/>
        <v>STRONG PRESENTATION</v>
      </c>
      <c r="AC233" s="5" t="str">
        <f t="shared" si="78"/>
        <v>strong presentation</v>
      </c>
      <c r="AD233" s="5" t="str">
        <f t="shared" ref="AD233:AD296" si="80">PROPER(AA233)</f>
        <v>Strong Presentation</v>
      </c>
      <c r="AF233" s="6"/>
    </row>
    <row r="234" ht="14.25" customHeight="1" spans="1:32">
      <c r="A234" s="8" t="s">
        <v>991</v>
      </c>
      <c r="B234" s="8" t="s">
        <v>135</v>
      </c>
      <c r="C234" s="9">
        <f t="shared" si="60"/>
        <v>12</v>
      </c>
      <c r="D234" s="8" t="s">
        <v>93</v>
      </c>
      <c r="E234" s="8" t="str">
        <f t="shared" si="61"/>
        <v>Aakash Patel(E1203) - Sales</v>
      </c>
      <c r="F234" s="9" t="str">
        <f t="shared" si="62"/>
        <v>Aakash Patel(E1203) -</v>
      </c>
      <c r="G234" s="9" t="str">
        <f t="shared" si="63"/>
        <v>Sales</v>
      </c>
      <c r="H234" s="9">
        <f t="shared" si="64"/>
        <v>21</v>
      </c>
      <c r="I234" s="9">
        <f t="shared" si="65"/>
        <v>6</v>
      </c>
      <c r="J234" s="8" t="s">
        <v>53</v>
      </c>
      <c r="K234" s="9" t="str">
        <f t="shared" si="66"/>
        <v>Delhi</v>
      </c>
      <c r="L234" s="8" t="s">
        <v>992</v>
      </c>
      <c r="M234" s="8" t="str">
        <f t="shared" si="67"/>
        <v>Thursday</v>
      </c>
      <c r="N234" s="8" t="str">
        <f t="shared" si="68"/>
        <v>Thu</v>
      </c>
      <c r="O234" s="8" t="str">
        <f t="shared" si="69"/>
        <v>day</v>
      </c>
      <c r="P234" s="8">
        <f t="shared" si="70"/>
        <v>9</v>
      </c>
      <c r="Q234" s="8">
        <f t="shared" si="71"/>
        <v>2022</v>
      </c>
      <c r="R234" s="8" t="s">
        <v>993</v>
      </c>
      <c r="S234" s="8">
        <f t="shared" si="72"/>
        <v>8</v>
      </c>
      <c r="T234" s="8">
        <f t="shared" si="73"/>
        <v>10</v>
      </c>
      <c r="U234" s="8">
        <f t="shared" si="74"/>
        <v>20</v>
      </c>
      <c r="V234" s="8">
        <v>86262</v>
      </c>
      <c r="W234" s="8">
        <v>86486</v>
      </c>
      <c r="X234" s="9" t="str">
        <f t="shared" si="75"/>
        <v>Highe Target</v>
      </c>
      <c r="Y234" s="9" t="str">
        <f t="shared" si="76"/>
        <v>Highe target</v>
      </c>
      <c r="Z234" s="9" t="str" cm="1">
        <f t="array" ref="Z234">_xlfn.IFS(W234&lt;60000,"LOWERTarget",W234&lt;80000,"Medium Target",W234,"Highe Target")</f>
        <v>Highe Target</v>
      </c>
      <c r="AA234" s="8" t="s">
        <v>220</v>
      </c>
      <c r="AB234" s="5" t="str">
        <f t="shared" si="77"/>
        <v>   CREATIVE IDEAS   </v>
      </c>
      <c r="AC234" s="5" t="str">
        <f t="shared" si="78"/>
        <v>   creative ideas   </v>
      </c>
      <c r="AD234" s="5" t="str">
        <f t="shared" si="80"/>
        <v>   Creative Ideas   </v>
      </c>
      <c r="AF234" s="6"/>
    </row>
    <row r="235" ht="14.25" customHeight="1" spans="1:32">
      <c r="A235" s="8" t="s">
        <v>994</v>
      </c>
      <c r="B235" s="8" t="s">
        <v>995</v>
      </c>
      <c r="C235" s="9">
        <f t="shared" si="60"/>
        <v>12</v>
      </c>
      <c r="D235" s="8" t="s">
        <v>60</v>
      </c>
      <c r="E235" s="8" t="str">
        <f t="shared" si="61"/>
        <v>Shreya Gupta(E1282) - HR</v>
      </c>
      <c r="F235" s="9" t="str">
        <f t="shared" si="62"/>
        <v>Shreya Gupta(E1282) -</v>
      </c>
      <c r="G235" s="9" t="str">
        <f t="shared" si="63"/>
        <v>HR</v>
      </c>
      <c r="H235" s="9">
        <f t="shared" si="64"/>
        <v>21</v>
      </c>
      <c r="I235" s="9">
        <f t="shared" si="65"/>
        <v>3</v>
      </c>
      <c r="J235" s="8" t="s">
        <v>76</v>
      </c>
      <c r="K235" s="9" t="str">
        <f t="shared" si="66"/>
        <v>Pune</v>
      </c>
      <c r="L235" s="8" t="s">
        <v>996</v>
      </c>
      <c r="M235" s="8" t="str">
        <f t="shared" si="67"/>
        <v>Friday</v>
      </c>
      <c r="N235" s="8" t="str">
        <f t="shared" si="68"/>
        <v>Fri</v>
      </c>
      <c r="O235" s="8" t="str">
        <f t="shared" si="69"/>
        <v>day</v>
      </c>
      <c r="P235" s="8">
        <f t="shared" si="70"/>
        <v>6</v>
      </c>
      <c r="Q235" s="8">
        <f t="shared" si="71"/>
        <v>2021</v>
      </c>
      <c r="R235" s="8" t="s">
        <v>997</v>
      </c>
      <c r="S235" s="8">
        <f t="shared" si="72"/>
        <v>9</v>
      </c>
      <c r="T235" s="8">
        <f t="shared" si="73"/>
        <v>9</v>
      </c>
      <c r="U235" s="8">
        <f t="shared" si="74"/>
        <v>24</v>
      </c>
      <c r="V235" s="8">
        <v>81750</v>
      </c>
      <c r="W235" s="8">
        <v>86640</v>
      </c>
      <c r="X235" s="9" t="str">
        <f t="shared" si="75"/>
        <v>Highe Target</v>
      </c>
      <c r="Y235" s="9" t="str">
        <f t="shared" si="76"/>
        <v>Highe target</v>
      </c>
      <c r="Z235" s="9" t="str" cm="1">
        <f t="array" ref="Z235">_xlfn.IFS(W235&lt;60000,"LOWERTarget",W235&lt;80000,"Medium Target",W235,"Highe Target")</f>
        <v>Highe Target</v>
      </c>
      <c r="AA235" s="8" t="s">
        <v>96</v>
      </c>
      <c r="AB235" s="5" t="str">
        <f t="shared" si="77"/>
        <v>FAST DELIVERY</v>
      </c>
      <c r="AC235" s="5" t="str">
        <f t="shared" si="78"/>
        <v>fast delivery</v>
      </c>
      <c r="AD235" s="5" t="str">
        <f t="shared" si="80"/>
        <v>Fast Delivery</v>
      </c>
      <c r="AF235" s="6"/>
    </row>
    <row r="236" ht="14.25" customHeight="1" spans="1:32">
      <c r="A236" s="8" t="s">
        <v>998</v>
      </c>
      <c r="B236" s="8" t="s">
        <v>999</v>
      </c>
      <c r="C236" s="9">
        <f t="shared" si="60"/>
        <v>11</v>
      </c>
      <c r="D236" s="8" t="s">
        <v>44</v>
      </c>
      <c r="E236" s="8" t="str">
        <f t="shared" si="61"/>
        <v>Varun Singh(E1100) - Marketing</v>
      </c>
      <c r="F236" s="9" t="str">
        <f t="shared" si="62"/>
        <v>Varun Singh(E1100) -</v>
      </c>
      <c r="G236" s="9" t="str">
        <f t="shared" si="63"/>
        <v>Marketing</v>
      </c>
      <c r="H236" s="9">
        <f t="shared" si="64"/>
        <v>20</v>
      </c>
      <c r="I236" s="9">
        <f t="shared" si="65"/>
        <v>10</v>
      </c>
      <c r="J236" s="8" t="s">
        <v>76</v>
      </c>
      <c r="K236" s="9" t="str">
        <f t="shared" si="66"/>
        <v>Pune</v>
      </c>
      <c r="L236" s="8" t="s">
        <v>1000</v>
      </c>
      <c r="M236" s="8" t="str">
        <f t="shared" si="67"/>
        <v>Monday</v>
      </c>
      <c r="N236" s="8" t="str">
        <f t="shared" si="68"/>
        <v>Mon</v>
      </c>
      <c r="O236" s="8" t="str">
        <f t="shared" si="69"/>
        <v>day</v>
      </c>
      <c r="P236" s="8">
        <f t="shared" si="70"/>
        <v>8</v>
      </c>
      <c r="Q236" s="8">
        <f t="shared" si="71"/>
        <v>2024</v>
      </c>
      <c r="R236" s="8" t="s">
        <v>1001</v>
      </c>
      <c r="S236" s="8">
        <f t="shared" si="72"/>
        <v>8</v>
      </c>
      <c r="T236" s="8">
        <f t="shared" si="73"/>
        <v>31</v>
      </c>
      <c r="U236" s="8">
        <f t="shared" si="74"/>
        <v>59</v>
      </c>
      <c r="V236" s="8">
        <v>91090</v>
      </c>
      <c r="W236" s="8">
        <v>86963</v>
      </c>
      <c r="X236" s="9" t="str">
        <f t="shared" si="75"/>
        <v>Highe Target</v>
      </c>
      <c r="Y236" s="9" t="str">
        <f t="shared" si="76"/>
        <v>Highe target</v>
      </c>
      <c r="Z236" s="9" t="str" cm="1">
        <f t="array" ref="Z236">_xlfn.IFS(W236&lt;60000,"LOWERTarget",W236&lt;80000,"Medium Target",W236,"Highe Target")</f>
        <v>Highe Target</v>
      </c>
      <c r="AA236" s="8" t="s">
        <v>229</v>
      </c>
      <c r="AB236" s="5" t="str">
        <f t="shared" si="77"/>
        <v>STRONG PRESENTATION</v>
      </c>
      <c r="AC236" s="5" t="str">
        <f t="shared" si="78"/>
        <v>strong presentation</v>
      </c>
      <c r="AD236" s="5" t="str">
        <f t="shared" si="80"/>
        <v>Strong Presentation</v>
      </c>
      <c r="AF236" s="6"/>
    </row>
    <row r="237" ht="14.25" customHeight="1" spans="1:32">
      <c r="A237" s="8" t="s">
        <v>1002</v>
      </c>
      <c r="B237" s="8" t="s">
        <v>632</v>
      </c>
      <c r="C237" s="9">
        <f t="shared" si="60"/>
        <v>14</v>
      </c>
      <c r="D237" s="8" t="s">
        <v>35</v>
      </c>
      <c r="E237" s="8" t="str">
        <f t="shared" si="61"/>
        <v>Karan Malhotra(E1067) - Finance</v>
      </c>
      <c r="F237" s="9" t="str">
        <f t="shared" si="62"/>
        <v>Karan Malhotra(E1067) -</v>
      </c>
      <c r="G237" s="9" t="str">
        <f t="shared" si="63"/>
        <v>Finance</v>
      </c>
      <c r="H237" s="9">
        <f t="shared" si="64"/>
        <v>23</v>
      </c>
      <c r="I237" s="9">
        <f t="shared" si="65"/>
        <v>8</v>
      </c>
      <c r="J237" s="8" t="s">
        <v>172</v>
      </c>
      <c r="K237" s="9" t="str">
        <f t="shared" si="66"/>
        <v>Hyder@bad</v>
      </c>
      <c r="L237" s="8" t="s">
        <v>1003</v>
      </c>
      <c r="M237" s="8" t="str">
        <f t="shared" si="67"/>
        <v>Friday</v>
      </c>
      <c r="N237" s="8" t="str">
        <f t="shared" si="68"/>
        <v>Fri</v>
      </c>
      <c r="O237" s="8" t="str">
        <f t="shared" si="69"/>
        <v>day</v>
      </c>
      <c r="P237" s="8">
        <f t="shared" si="70"/>
        <v>12</v>
      </c>
      <c r="Q237" s="8">
        <f t="shared" si="71"/>
        <v>2021</v>
      </c>
      <c r="R237" s="8" t="s">
        <v>1004</v>
      </c>
      <c r="S237" s="8">
        <f t="shared" si="72"/>
        <v>10</v>
      </c>
      <c r="T237" s="8">
        <f t="shared" si="73"/>
        <v>38</v>
      </c>
      <c r="U237" s="8">
        <f t="shared" si="74"/>
        <v>47</v>
      </c>
      <c r="V237" s="8">
        <v>79584</v>
      </c>
      <c r="W237" s="8">
        <v>87078</v>
      </c>
      <c r="X237" s="9" t="str">
        <f t="shared" si="75"/>
        <v>Highe Target</v>
      </c>
      <c r="Y237" s="9" t="str">
        <f t="shared" si="76"/>
        <v>Highe target</v>
      </c>
      <c r="Z237" s="9" t="str" cm="1">
        <f t="array" ref="Z237">_xlfn.IFS(W237&lt;60000,"LOWERTarget",W237&lt;80000,"Medium Target",W237,"Highe Target")</f>
        <v>Highe Target</v>
      </c>
      <c r="AA237" s="8" t="s">
        <v>118</v>
      </c>
      <c r="AB237" s="5" t="str">
        <f t="shared" si="77"/>
        <v>CUSTOMER FOCUSED</v>
      </c>
      <c r="AC237" s="5" t="str">
        <f t="shared" si="78"/>
        <v>customer focused</v>
      </c>
      <c r="AD237" s="5" t="str">
        <f t="shared" si="80"/>
        <v>Customer Focused</v>
      </c>
      <c r="AF237" s="6"/>
    </row>
    <row r="238" ht="14.25" customHeight="1" spans="1:32">
      <c r="A238" s="8" t="s">
        <v>1005</v>
      </c>
      <c r="B238" s="8" t="s">
        <v>1006</v>
      </c>
      <c r="C238" s="9">
        <f t="shared" si="60"/>
        <v>10</v>
      </c>
      <c r="D238" s="8" t="s">
        <v>60</v>
      </c>
      <c r="E238" s="8" t="str">
        <f t="shared" si="61"/>
        <v>Varun Jain(E1170) - HR</v>
      </c>
      <c r="F238" s="9" t="str">
        <f t="shared" si="62"/>
        <v>Varun Jain(E1170) -</v>
      </c>
      <c r="G238" s="9" t="str">
        <f t="shared" si="63"/>
        <v>HR</v>
      </c>
      <c r="H238" s="9">
        <f t="shared" si="64"/>
        <v>19</v>
      </c>
      <c r="I238" s="9">
        <f t="shared" si="65"/>
        <v>3</v>
      </c>
      <c r="J238" s="8" t="s">
        <v>36</v>
      </c>
      <c r="K238" s="9" t="str">
        <f t="shared" si="66"/>
        <v>Ahmed@bad</v>
      </c>
      <c r="L238" s="8" t="s">
        <v>1007</v>
      </c>
      <c r="M238" s="8" t="str">
        <f t="shared" si="67"/>
        <v>Wednesday</v>
      </c>
      <c r="N238" s="8" t="str">
        <f t="shared" si="68"/>
        <v>Wed</v>
      </c>
      <c r="O238" s="8" t="str">
        <f t="shared" si="69"/>
        <v>day</v>
      </c>
      <c r="P238" s="8">
        <f t="shared" si="70"/>
        <v>3</v>
      </c>
      <c r="Q238" s="8">
        <f t="shared" si="71"/>
        <v>2021</v>
      </c>
      <c r="R238" s="8" t="s">
        <v>1008</v>
      </c>
      <c r="S238" s="8">
        <f t="shared" si="72"/>
        <v>9</v>
      </c>
      <c r="T238" s="8">
        <f t="shared" si="73"/>
        <v>23</v>
      </c>
      <c r="U238" s="8">
        <f t="shared" si="74"/>
        <v>43</v>
      </c>
      <c r="V238" s="8">
        <v>87724</v>
      </c>
      <c r="W238" s="8">
        <v>87158</v>
      </c>
      <c r="X238" s="9" t="str">
        <f t="shared" si="75"/>
        <v>Highe Target</v>
      </c>
      <c r="Y238" s="9" t="str">
        <f t="shared" si="76"/>
        <v>Highe target</v>
      </c>
      <c r="Z238" s="9" t="str" cm="1">
        <f t="array" ref="Z238">_xlfn.IFS(W238&lt;60000,"LOWERTarget",W238&lt;80000,"Medium Target",W238,"Highe Target")</f>
        <v>Highe Target</v>
      </c>
      <c r="AA238" s="8" t="s">
        <v>56</v>
      </c>
      <c r="AB238" s="5" t="str">
        <f t="shared" si="77"/>
        <v>   HELPFUL ATTITUDE   </v>
      </c>
      <c r="AC238" s="5" t="str">
        <f t="shared" si="78"/>
        <v>   helpful attitude   </v>
      </c>
      <c r="AD238" s="5" t="str">
        <f t="shared" si="80"/>
        <v>   Helpful Attitude   </v>
      </c>
      <c r="AF238" s="6"/>
    </row>
    <row r="239" ht="14.25" customHeight="1" spans="1:32">
      <c r="A239" s="8" t="s">
        <v>1009</v>
      </c>
      <c r="B239" s="8" t="s">
        <v>1010</v>
      </c>
      <c r="C239" s="9">
        <f t="shared" si="60"/>
        <v>11</v>
      </c>
      <c r="D239" s="8" t="s">
        <v>60</v>
      </c>
      <c r="E239" s="8" t="str">
        <f t="shared" si="61"/>
        <v>Komal Goyal(E1080) - HR</v>
      </c>
      <c r="F239" s="9" t="str">
        <f t="shared" si="62"/>
        <v>Komal Goyal(E1080) -</v>
      </c>
      <c r="G239" s="9" t="str">
        <f t="shared" si="63"/>
        <v>HR</v>
      </c>
      <c r="H239" s="9">
        <f t="shared" si="64"/>
        <v>20</v>
      </c>
      <c r="I239" s="9">
        <f t="shared" si="65"/>
        <v>3</v>
      </c>
      <c r="J239" s="8" t="s">
        <v>45</v>
      </c>
      <c r="K239" s="9" t="str">
        <f t="shared" si="66"/>
        <v>B@ngalore</v>
      </c>
      <c r="L239" s="8" t="s">
        <v>1011</v>
      </c>
      <c r="M239" s="8" t="str">
        <f t="shared" si="67"/>
        <v>Sunday</v>
      </c>
      <c r="N239" s="8" t="str">
        <f t="shared" si="68"/>
        <v>Sun</v>
      </c>
      <c r="O239" s="8" t="str">
        <f t="shared" si="69"/>
        <v>day</v>
      </c>
      <c r="P239" s="8">
        <f t="shared" si="70"/>
        <v>3</v>
      </c>
      <c r="Q239" s="8">
        <f t="shared" si="71"/>
        <v>2022</v>
      </c>
      <c r="R239" s="8" t="s">
        <v>137</v>
      </c>
      <c r="S239" s="8">
        <f t="shared" si="72"/>
        <v>10</v>
      </c>
      <c r="T239" s="8">
        <f t="shared" si="73"/>
        <v>30</v>
      </c>
      <c r="U239" s="8">
        <f t="shared" si="74"/>
        <v>17</v>
      </c>
      <c r="V239" s="8">
        <v>106868</v>
      </c>
      <c r="W239" s="8">
        <v>87486</v>
      </c>
      <c r="X239" s="9" t="str">
        <f t="shared" si="75"/>
        <v>Highe Target</v>
      </c>
      <c r="Y239" s="9" t="str">
        <f t="shared" si="76"/>
        <v>Highe target</v>
      </c>
      <c r="Z239" s="9" t="str" cm="1">
        <f t="array" ref="Z239">_xlfn.IFS(W239&lt;60000,"LOWERTarget",W239&lt;80000,"Medium Target",W239,"Highe Target")</f>
        <v>Highe Target</v>
      </c>
      <c r="AA239" s="8" t="s">
        <v>79</v>
      </c>
      <c r="AB239" s="5" t="str">
        <f t="shared" si="77"/>
        <v>EXCELLENT LEADERSHIP</v>
      </c>
      <c r="AC239" s="5" t="str">
        <f t="shared" si="78"/>
        <v>excellent leadership</v>
      </c>
      <c r="AD239" s="5" t="str">
        <f t="shared" si="80"/>
        <v>Excellent Leadership</v>
      </c>
      <c r="AF239" s="6"/>
    </row>
    <row r="240" ht="14.25" customHeight="1" spans="1:32">
      <c r="A240" s="8" t="s">
        <v>1012</v>
      </c>
      <c r="B240" s="8" t="s">
        <v>1013</v>
      </c>
      <c r="C240" s="9">
        <f t="shared" si="60"/>
        <v>10</v>
      </c>
      <c r="D240" s="8" t="s">
        <v>93</v>
      </c>
      <c r="E240" s="8" t="str">
        <f t="shared" si="61"/>
        <v>Isha Reddy(E1249) - Sales</v>
      </c>
      <c r="F240" s="9" t="str">
        <f t="shared" si="62"/>
        <v>Isha Reddy(E1249) -</v>
      </c>
      <c r="G240" s="9" t="str">
        <f t="shared" si="63"/>
        <v>Sales</v>
      </c>
      <c r="H240" s="9">
        <f t="shared" si="64"/>
        <v>19</v>
      </c>
      <c r="I240" s="9">
        <f t="shared" si="65"/>
        <v>6</v>
      </c>
      <c r="J240" s="8" t="s">
        <v>53</v>
      </c>
      <c r="K240" s="9" t="str">
        <f t="shared" si="66"/>
        <v>Delhi</v>
      </c>
      <c r="L240" s="8" t="s">
        <v>1014</v>
      </c>
      <c r="M240" s="8" t="str">
        <f t="shared" si="67"/>
        <v>Saturday</v>
      </c>
      <c r="N240" s="8" t="str">
        <f t="shared" si="68"/>
        <v>Sat</v>
      </c>
      <c r="O240" s="8" t="str">
        <f t="shared" si="69"/>
        <v>day</v>
      </c>
      <c r="P240" s="8">
        <f t="shared" si="70"/>
        <v>1</v>
      </c>
      <c r="Q240" s="8">
        <f t="shared" si="71"/>
        <v>2024</v>
      </c>
      <c r="R240" s="8" t="s">
        <v>1015</v>
      </c>
      <c r="S240" s="8">
        <f t="shared" si="72"/>
        <v>9</v>
      </c>
      <c r="T240" s="8">
        <f t="shared" si="73"/>
        <v>33</v>
      </c>
      <c r="U240" s="8">
        <f t="shared" si="74"/>
        <v>8</v>
      </c>
      <c r="V240" s="8">
        <v>87294</v>
      </c>
      <c r="W240" s="8">
        <v>87700</v>
      </c>
      <c r="X240" s="9" t="str">
        <f t="shared" si="75"/>
        <v>Highe Target</v>
      </c>
      <c r="Y240" s="9" t="str">
        <f t="shared" si="76"/>
        <v>Highe target</v>
      </c>
      <c r="Z240" s="9" t="str" cm="1">
        <f t="array" ref="Z240">_xlfn.IFS(W240&lt;60000,"LOWERTarget",W240&lt;80000,"Medium Target",W240,"Highe Target")</f>
        <v>Highe Target</v>
      </c>
      <c r="AA240" s="8" t="s">
        <v>243</v>
      </c>
      <c r="AB240" s="5" t="str">
        <f t="shared" si="77"/>
        <v>POSITIVE ATTITUDE</v>
      </c>
      <c r="AC240" s="5" t="str">
        <f t="shared" si="78"/>
        <v>positive attitude</v>
      </c>
      <c r="AD240" s="5" t="str">
        <f t="shared" si="80"/>
        <v>Positive Attitude</v>
      </c>
      <c r="AF240" s="6"/>
    </row>
    <row r="241" ht="14.25" customHeight="1" spans="1:32">
      <c r="A241" s="8" t="s">
        <v>1016</v>
      </c>
      <c r="B241" s="8" t="s">
        <v>1017</v>
      </c>
      <c r="C241" s="9">
        <f t="shared" si="60"/>
        <v>12</v>
      </c>
      <c r="D241" s="8" t="s">
        <v>35</v>
      </c>
      <c r="E241" s="8" t="str">
        <f t="shared" si="61"/>
        <v>Suresh Singh(E1005) - Finance</v>
      </c>
      <c r="F241" s="9" t="str">
        <f t="shared" si="62"/>
        <v>Suresh Singh(E1005) -</v>
      </c>
      <c r="G241" s="9" t="str">
        <f t="shared" si="63"/>
        <v>Finance</v>
      </c>
      <c r="H241" s="9">
        <f t="shared" si="64"/>
        <v>21</v>
      </c>
      <c r="I241" s="9">
        <f t="shared" si="65"/>
        <v>8</v>
      </c>
      <c r="J241" s="8" t="s">
        <v>172</v>
      </c>
      <c r="K241" s="9" t="str">
        <f t="shared" si="66"/>
        <v>Hyder@bad</v>
      </c>
      <c r="L241" s="8" t="s">
        <v>1018</v>
      </c>
      <c r="M241" s="8" t="str">
        <f t="shared" si="67"/>
        <v>Tuesday</v>
      </c>
      <c r="N241" s="8" t="str">
        <f t="shared" si="68"/>
        <v>Tue</v>
      </c>
      <c r="O241" s="8" t="str">
        <f t="shared" si="69"/>
        <v>day</v>
      </c>
      <c r="P241" s="8">
        <f t="shared" si="70"/>
        <v>5</v>
      </c>
      <c r="Q241" s="8">
        <f t="shared" si="71"/>
        <v>2024</v>
      </c>
      <c r="R241" s="8" t="s">
        <v>1019</v>
      </c>
      <c r="S241" s="8">
        <f t="shared" si="72"/>
        <v>9</v>
      </c>
      <c r="T241" s="8">
        <f t="shared" si="73"/>
        <v>51</v>
      </c>
      <c r="U241" s="8">
        <f t="shared" si="74"/>
        <v>2</v>
      </c>
      <c r="V241" s="8">
        <v>102931</v>
      </c>
      <c r="W241" s="8">
        <v>87823</v>
      </c>
      <c r="X241" s="9" t="str">
        <f t="shared" si="75"/>
        <v>Highe Target</v>
      </c>
      <c r="Y241" s="9" t="str">
        <f t="shared" si="76"/>
        <v>Highe target</v>
      </c>
      <c r="Z241" s="9" t="str" cm="1">
        <f t="array" ref="Z241">_xlfn.IFS(W241&lt;60000,"LOWERTarget",W241&lt;80000,"Medium Target",W241,"Highe Target")</f>
        <v>Highe Target</v>
      </c>
      <c r="AA241" s="8" t="s">
        <v>229</v>
      </c>
      <c r="AB241" s="5" t="str">
        <f t="shared" si="77"/>
        <v>STRONG PRESENTATION</v>
      </c>
      <c r="AC241" s="5" t="str">
        <f t="shared" si="78"/>
        <v>strong presentation</v>
      </c>
      <c r="AD241" s="5" t="str">
        <f t="shared" si="80"/>
        <v>Strong Presentation</v>
      </c>
      <c r="AF241" s="6"/>
    </row>
    <row r="242" ht="14.25" customHeight="1" spans="1:32">
      <c r="A242" s="8" t="s">
        <v>1020</v>
      </c>
      <c r="B242" s="8" t="s">
        <v>1021</v>
      </c>
      <c r="C242" s="9">
        <f t="shared" si="60"/>
        <v>13</v>
      </c>
      <c r="D242" s="8" t="s">
        <v>44</v>
      </c>
      <c r="E242" s="8" t="str">
        <f t="shared" si="61"/>
        <v>Suresh Sharma(E1028) - Marketing</v>
      </c>
      <c r="F242" s="9" t="str">
        <f t="shared" si="62"/>
        <v>Suresh Sharma(E1028) -</v>
      </c>
      <c r="G242" s="9" t="str">
        <f t="shared" si="63"/>
        <v>Marketing</v>
      </c>
      <c r="H242" s="9">
        <f t="shared" si="64"/>
        <v>22</v>
      </c>
      <c r="I242" s="9">
        <f t="shared" si="65"/>
        <v>10</v>
      </c>
      <c r="J242" s="8" t="s">
        <v>61</v>
      </c>
      <c r="K242" s="9" t="str">
        <f t="shared" si="66"/>
        <v>Chenn@i</v>
      </c>
      <c r="L242" s="8" t="s">
        <v>1022</v>
      </c>
      <c r="M242" s="8" t="str">
        <f t="shared" si="67"/>
        <v>Friday</v>
      </c>
      <c r="N242" s="8" t="str">
        <f t="shared" si="68"/>
        <v>Fri</v>
      </c>
      <c r="O242" s="8" t="str">
        <f t="shared" si="69"/>
        <v>day</v>
      </c>
      <c r="P242" s="8">
        <f t="shared" si="70"/>
        <v>7</v>
      </c>
      <c r="Q242" s="8">
        <f t="shared" si="71"/>
        <v>2023</v>
      </c>
      <c r="R242" s="8" t="s">
        <v>1023</v>
      </c>
      <c r="S242" s="8">
        <f t="shared" si="72"/>
        <v>9</v>
      </c>
      <c r="T242" s="8">
        <f t="shared" si="73"/>
        <v>27</v>
      </c>
      <c r="U242" s="8">
        <f t="shared" si="74"/>
        <v>44</v>
      </c>
      <c r="V242" s="8">
        <v>104768</v>
      </c>
      <c r="W242" s="8">
        <v>87874</v>
      </c>
      <c r="X242" s="9" t="str">
        <f t="shared" si="75"/>
        <v>Highe Target</v>
      </c>
      <c r="Y242" s="9" t="str">
        <f t="shared" si="76"/>
        <v>Highe target</v>
      </c>
      <c r="Z242" s="9" t="str" cm="1">
        <f t="array" ref="Z242">_xlfn.IFS(W242&lt;60000,"LOWERTarget",W242&lt;80000,"Medium Target",W242,"Highe Target")</f>
        <v>Highe Target</v>
      </c>
      <c r="AA242" s="8" t="s">
        <v>285</v>
      </c>
      <c r="AB242" s="5" t="str">
        <f t="shared" si="77"/>
        <v>QUICK RESPONSE</v>
      </c>
      <c r="AC242" s="5" t="str">
        <f t="shared" si="78"/>
        <v>quick response</v>
      </c>
      <c r="AD242" s="5" t="str">
        <f t="shared" si="80"/>
        <v>Quick Response</v>
      </c>
      <c r="AF242" s="6"/>
    </row>
    <row r="243" ht="14.25" customHeight="1" spans="1:32">
      <c r="A243" s="8" t="s">
        <v>1024</v>
      </c>
      <c r="B243" s="8" t="s">
        <v>1025</v>
      </c>
      <c r="C243" s="9">
        <f t="shared" si="60"/>
        <v>10</v>
      </c>
      <c r="D243" s="8" t="s">
        <v>35</v>
      </c>
      <c r="E243" s="8" t="str">
        <f t="shared" si="61"/>
        <v>Meera Nair(E1132) - Finance</v>
      </c>
      <c r="F243" s="9" t="str">
        <f t="shared" si="62"/>
        <v>Meera Nair(E1132) -</v>
      </c>
      <c r="G243" s="9" t="str">
        <f t="shared" si="63"/>
        <v>Finance</v>
      </c>
      <c r="H243" s="9">
        <f t="shared" si="64"/>
        <v>19</v>
      </c>
      <c r="I243" s="9">
        <f t="shared" si="65"/>
        <v>8</v>
      </c>
      <c r="J243" s="8" t="s">
        <v>153</v>
      </c>
      <c r="K243" s="9" t="str">
        <f t="shared" si="66"/>
        <v>Mumb@i</v>
      </c>
      <c r="L243" s="8" t="s">
        <v>1026</v>
      </c>
      <c r="M243" s="8" t="str">
        <f t="shared" si="67"/>
        <v>Thursday</v>
      </c>
      <c r="N243" s="8" t="str">
        <f t="shared" si="68"/>
        <v>Thu</v>
      </c>
      <c r="O243" s="8" t="str">
        <f t="shared" si="69"/>
        <v>day</v>
      </c>
      <c r="P243" s="8">
        <f t="shared" si="70"/>
        <v>12</v>
      </c>
      <c r="Q243" s="8">
        <f t="shared" si="71"/>
        <v>2021</v>
      </c>
      <c r="R243" s="8" t="s">
        <v>1027</v>
      </c>
      <c r="S243" s="8">
        <f t="shared" si="72"/>
        <v>9</v>
      </c>
      <c r="T243" s="8">
        <f t="shared" si="73"/>
        <v>3</v>
      </c>
      <c r="U243" s="8">
        <f t="shared" si="74"/>
        <v>8</v>
      </c>
      <c r="V243" s="8">
        <v>101197</v>
      </c>
      <c r="W243" s="8">
        <v>88609</v>
      </c>
      <c r="X243" s="9" t="str">
        <f t="shared" si="75"/>
        <v>Highe Target</v>
      </c>
      <c r="Y243" s="9" t="str">
        <f t="shared" si="76"/>
        <v>Highe target</v>
      </c>
      <c r="Z243" s="9" t="str" cm="1">
        <f t="array" ref="Z243">_xlfn.IFS(W243&lt;60000,"LOWERTarget",W243&lt;80000,"Medium Target",W243,"Highe Target")</f>
        <v>Highe Target</v>
      </c>
      <c r="AA243" s="8" t="s">
        <v>229</v>
      </c>
      <c r="AB243" s="5" t="str">
        <f t="shared" si="77"/>
        <v>STRONG PRESENTATION</v>
      </c>
      <c r="AC243" s="5" t="str">
        <f t="shared" si="78"/>
        <v>strong presentation</v>
      </c>
      <c r="AD243" s="5" t="str">
        <f t="shared" si="80"/>
        <v>Strong Presentation</v>
      </c>
      <c r="AF243" s="6"/>
    </row>
    <row r="244" ht="14.25" customHeight="1" spans="1:32">
      <c r="A244" s="8" t="s">
        <v>1028</v>
      </c>
      <c r="B244" s="8" t="s">
        <v>1029</v>
      </c>
      <c r="C244" s="9">
        <f t="shared" si="60"/>
        <v>11</v>
      </c>
      <c r="D244" s="8" t="s">
        <v>44</v>
      </c>
      <c r="E244" s="8" t="str">
        <f t="shared" si="61"/>
        <v>Shreya Iyer(E1056) - Marketing</v>
      </c>
      <c r="F244" s="9" t="str">
        <f t="shared" si="62"/>
        <v>Shreya Iyer(E1056) -</v>
      </c>
      <c r="G244" s="9" t="str">
        <f t="shared" si="63"/>
        <v>Marketing</v>
      </c>
      <c r="H244" s="9">
        <f t="shared" si="64"/>
        <v>20</v>
      </c>
      <c r="I244" s="9">
        <f t="shared" si="65"/>
        <v>10</v>
      </c>
      <c r="J244" s="8" t="s">
        <v>182</v>
      </c>
      <c r="K244" s="9" t="str">
        <f t="shared" si="66"/>
        <v>Kolk@ta</v>
      </c>
      <c r="L244" s="8" t="s">
        <v>1030</v>
      </c>
      <c r="M244" s="8" t="str">
        <f t="shared" si="67"/>
        <v>Sunday</v>
      </c>
      <c r="N244" s="8" t="str">
        <f t="shared" si="68"/>
        <v>Sun</v>
      </c>
      <c r="O244" s="8" t="str">
        <f t="shared" si="69"/>
        <v>day</v>
      </c>
      <c r="P244" s="8">
        <f t="shared" si="70"/>
        <v>1</v>
      </c>
      <c r="Q244" s="8">
        <f t="shared" si="71"/>
        <v>2024</v>
      </c>
      <c r="R244" s="8" t="s">
        <v>1031</v>
      </c>
      <c r="S244" s="8">
        <f t="shared" si="72"/>
        <v>9</v>
      </c>
      <c r="T244" s="8">
        <f t="shared" si="73"/>
        <v>57</v>
      </c>
      <c r="U244" s="8">
        <f t="shared" si="74"/>
        <v>10</v>
      </c>
      <c r="V244" s="8">
        <v>104844</v>
      </c>
      <c r="W244" s="8">
        <v>88736</v>
      </c>
      <c r="X244" s="9" t="str">
        <f t="shared" si="75"/>
        <v>Highe Target</v>
      </c>
      <c r="Y244" s="9" t="str">
        <f t="shared" si="76"/>
        <v>Highe target</v>
      </c>
      <c r="Z244" s="9" t="str" cm="1">
        <f t="array" ref="Z244">_xlfn.IFS(W244&lt;60000,"LOWERTarget",W244&lt;80000,"Medium Target",W244,"Highe Target")</f>
        <v>Highe Target</v>
      </c>
      <c r="AA244" s="8" t="s">
        <v>56</v>
      </c>
      <c r="AB244" s="5" t="str">
        <f t="shared" si="77"/>
        <v>   HELPFUL ATTITUDE   </v>
      </c>
      <c r="AC244" s="5" t="str">
        <f t="shared" si="78"/>
        <v>   helpful attitude   </v>
      </c>
      <c r="AD244" s="5" t="str">
        <f t="shared" si="80"/>
        <v>   Helpful Attitude   </v>
      </c>
      <c r="AF244" s="6"/>
    </row>
    <row r="245" ht="14.25" customHeight="1" spans="1:32">
      <c r="A245" s="8" t="s">
        <v>1032</v>
      </c>
      <c r="B245" s="8" t="s">
        <v>162</v>
      </c>
      <c r="C245" s="9">
        <f t="shared" si="60"/>
        <v>12</v>
      </c>
      <c r="D245" s="8" t="s">
        <v>44</v>
      </c>
      <c r="E245" s="8" t="str">
        <f t="shared" si="61"/>
        <v>Yash Agarwal(E1011) - Marketing</v>
      </c>
      <c r="F245" s="9" t="str">
        <f t="shared" si="62"/>
        <v>Yash Agarwal(E1011) -</v>
      </c>
      <c r="G245" s="9" t="str">
        <f t="shared" si="63"/>
        <v>Marketing</v>
      </c>
      <c r="H245" s="9">
        <f t="shared" si="64"/>
        <v>21</v>
      </c>
      <c r="I245" s="9">
        <f t="shared" si="65"/>
        <v>10</v>
      </c>
      <c r="J245" s="8" t="s">
        <v>36</v>
      </c>
      <c r="K245" s="9" t="str">
        <f t="shared" si="66"/>
        <v>Ahmed@bad</v>
      </c>
      <c r="L245" s="8" t="s">
        <v>1033</v>
      </c>
      <c r="M245" s="8" t="str">
        <f t="shared" si="67"/>
        <v>Wednesday</v>
      </c>
      <c r="N245" s="8" t="str">
        <f t="shared" si="68"/>
        <v>Wed</v>
      </c>
      <c r="O245" s="8" t="str">
        <f t="shared" si="69"/>
        <v>day</v>
      </c>
      <c r="P245" s="8">
        <f t="shared" si="70"/>
        <v>10</v>
      </c>
      <c r="Q245" s="8">
        <f t="shared" si="71"/>
        <v>2021</v>
      </c>
      <c r="R245" s="8" t="s">
        <v>1034</v>
      </c>
      <c r="S245" s="8">
        <f t="shared" si="72"/>
        <v>9</v>
      </c>
      <c r="T245" s="8">
        <f t="shared" si="73"/>
        <v>8</v>
      </c>
      <c r="U245" s="8">
        <f t="shared" si="74"/>
        <v>15</v>
      </c>
      <c r="V245" s="8">
        <v>91042</v>
      </c>
      <c r="W245" s="8">
        <v>88823</v>
      </c>
      <c r="X245" s="9" t="str">
        <f t="shared" si="75"/>
        <v>Highe Target</v>
      </c>
      <c r="Y245" s="9" t="str">
        <f t="shared" si="76"/>
        <v>Highe target</v>
      </c>
      <c r="Z245" s="9" t="str" cm="1">
        <f t="array" ref="Z245">_xlfn.IFS(W245&lt;60000,"LOWERTarget",W245&lt;80000,"Medium Target",W245,"Highe Target")</f>
        <v>Highe Target</v>
      </c>
      <c r="AA245" s="8" t="s">
        <v>96</v>
      </c>
      <c r="AB245" s="5" t="str">
        <f t="shared" si="77"/>
        <v>FAST DELIVERY</v>
      </c>
      <c r="AC245" s="5" t="str">
        <f t="shared" si="78"/>
        <v>fast delivery</v>
      </c>
      <c r="AD245" s="5" t="str">
        <f t="shared" si="80"/>
        <v>Fast Delivery</v>
      </c>
      <c r="AF245" s="6"/>
    </row>
    <row r="246" ht="14.25" customHeight="1" spans="1:32">
      <c r="A246" s="8" t="s">
        <v>1035</v>
      </c>
      <c r="B246" s="8" t="s">
        <v>392</v>
      </c>
      <c r="C246" s="9">
        <f t="shared" si="60"/>
        <v>12</v>
      </c>
      <c r="D246" s="8" t="s">
        <v>35</v>
      </c>
      <c r="E246" s="8" t="str">
        <f t="shared" si="61"/>
        <v>Nidhi Mishra(E1078) - Finance</v>
      </c>
      <c r="F246" s="9" t="str">
        <f t="shared" si="62"/>
        <v>Nidhi Mishra(E1078) -</v>
      </c>
      <c r="G246" s="9" t="str">
        <f t="shared" si="63"/>
        <v>Finance</v>
      </c>
      <c r="H246" s="9">
        <f t="shared" si="64"/>
        <v>21</v>
      </c>
      <c r="I246" s="9">
        <f t="shared" si="65"/>
        <v>8</v>
      </c>
      <c r="J246" s="8" t="s">
        <v>36</v>
      </c>
      <c r="K246" s="9" t="str">
        <f t="shared" si="66"/>
        <v>Ahmed@bad</v>
      </c>
      <c r="L246" s="8" t="s">
        <v>875</v>
      </c>
      <c r="M246" s="8" t="str">
        <f t="shared" si="67"/>
        <v>Thursday</v>
      </c>
      <c r="N246" s="8" t="str">
        <f t="shared" si="68"/>
        <v>Thu</v>
      </c>
      <c r="O246" s="8" t="str">
        <f t="shared" si="69"/>
        <v>day</v>
      </c>
      <c r="P246" s="8">
        <f t="shared" si="70"/>
        <v>2</v>
      </c>
      <c r="Q246" s="8">
        <f t="shared" si="71"/>
        <v>2024</v>
      </c>
      <c r="R246" s="8" t="s">
        <v>1036</v>
      </c>
      <c r="S246" s="8">
        <f t="shared" si="72"/>
        <v>10</v>
      </c>
      <c r="T246" s="8">
        <f t="shared" si="73"/>
        <v>22</v>
      </c>
      <c r="U246" s="8">
        <f t="shared" si="74"/>
        <v>27</v>
      </c>
      <c r="V246" s="8">
        <v>95563</v>
      </c>
      <c r="W246" s="8">
        <v>88885</v>
      </c>
      <c r="X246" s="9" t="str">
        <f t="shared" si="75"/>
        <v>Highe Target</v>
      </c>
      <c r="Y246" s="9" t="str">
        <f t="shared" si="76"/>
        <v>Highe target</v>
      </c>
      <c r="Z246" s="9" t="str" cm="1">
        <f t="array" ref="Z246">_xlfn.IFS(W246&lt;60000,"LOWERTarget",W246&lt;80000,"Medium Target",W246,"Highe Target")</f>
        <v>Highe Target</v>
      </c>
      <c r="AA246" s="8" t="s">
        <v>48</v>
      </c>
      <c r="AB246" s="5" t="str">
        <f t="shared" si="77"/>
        <v>CREATIVE IDEAS</v>
      </c>
      <c r="AC246" s="5" t="str">
        <f t="shared" si="78"/>
        <v>creative ideas</v>
      </c>
      <c r="AD246" s="5" t="str">
        <f t="shared" si="80"/>
        <v>Creative Ideas</v>
      </c>
      <c r="AF246" s="6"/>
    </row>
    <row r="247" ht="14.25" customHeight="1" spans="1:32">
      <c r="A247" s="8" t="s">
        <v>1037</v>
      </c>
      <c r="B247" s="8" t="s">
        <v>1038</v>
      </c>
      <c r="C247" s="9">
        <f t="shared" si="60"/>
        <v>12</v>
      </c>
      <c r="D247" s="8" t="s">
        <v>93</v>
      </c>
      <c r="E247" s="8" t="str">
        <f t="shared" si="61"/>
        <v>Rohan Chopra(E1297) - Sales</v>
      </c>
      <c r="F247" s="9" t="str">
        <f t="shared" si="62"/>
        <v>Rohan Chopra(E1297) -</v>
      </c>
      <c r="G247" s="9" t="str">
        <f t="shared" si="63"/>
        <v>Sales</v>
      </c>
      <c r="H247" s="9">
        <f t="shared" si="64"/>
        <v>21</v>
      </c>
      <c r="I247" s="9">
        <f t="shared" si="65"/>
        <v>6</v>
      </c>
      <c r="J247" s="8" t="s">
        <v>153</v>
      </c>
      <c r="K247" s="9" t="str">
        <f t="shared" si="66"/>
        <v>Mumb@i</v>
      </c>
      <c r="L247" s="8" t="s">
        <v>1039</v>
      </c>
      <c r="M247" s="8" t="str">
        <f t="shared" si="67"/>
        <v>Wednesday</v>
      </c>
      <c r="N247" s="8" t="str">
        <f t="shared" si="68"/>
        <v>Wed</v>
      </c>
      <c r="O247" s="8" t="str">
        <f t="shared" si="69"/>
        <v>day</v>
      </c>
      <c r="P247" s="8">
        <f t="shared" si="70"/>
        <v>7</v>
      </c>
      <c r="Q247" s="8">
        <f t="shared" si="71"/>
        <v>2021</v>
      </c>
      <c r="R247" s="8" t="s">
        <v>1040</v>
      </c>
      <c r="S247" s="8">
        <f t="shared" si="72"/>
        <v>9</v>
      </c>
      <c r="T247" s="8">
        <f t="shared" si="73"/>
        <v>14</v>
      </c>
      <c r="U247" s="8">
        <f t="shared" si="74"/>
        <v>32</v>
      </c>
      <c r="V247" s="8">
        <v>107944</v>
      </c>
      <c r="W247" s="8">
        <v>88945</v>
      </c>
      <c r="X247" s="9" t="str">
        <f t="shared" si="75"/>
        <v>Highe Target</v>
      </c>
      <c r="Y247" s="9" t="str">
        <f t="shared" si="76"/>
        <v>Highe target</v>
      </c>
      <c r="Z247" s="9" t="str" cm="1">
        <f t="array" ref="Z247">_xlfn.IFS(W247&lt;60000,"LOWERTarget",W247&lt;80000,"Medium Target",W247,"Highe Target")</f>
        <v>Highe Target</v>
      </c>
      <c r="AA247" s="8" t="s">
        <v>229</v>
      </c>
      <c r="AB247" s="5" t="str">
        <f t="shared" si="77"/>
        <v>STRONG PRESENTATION</v>
      </c>
      <c r="AC247" s="5" t="str">
        <f t="shared" si="78"/>
        <v>strong presentation</v>
      </c>
      <c r="AD247" s="5" t="str">
        <f t="shared" si="80"/>
        <v>Strong Presentation</v>
      </c>
      <c r="AF247" s="6"/>
    </row>
    <row r="248" ht="14.25" customHeight="1" spans="1:32">
      <c r="A248" s="8" t="s">
        <v>1041</v>
      </c>
      <c r="B248" s="8" t="s">
        <v>1042</v>
      </c>
      <c r="C248" s="9">
        <f t="shared" si="60"/>
        <v>11</v>
      </c>
      <c r="D248" s="8" t="s">
        <v>60</v>
      </c>
      <c r="E248" s="8" t="str">
        <f t="shared" si="61"/>
        <v>Karan Gupta(E1029) - HR</v>
      </c>
      <c r="F248" s="9" t="str">
        <f t="shared" si="62"/>
        <v>Karan Gupta(E1029) -</v>
      </c>
      <c r="G248" s="9" t="str">
        <f t="shared" si="63"/>
        <v>HR</v>
      </c>
      <c r="H248" s="9">
        <f t="shared" si="64"/>
        <v>20</v>
      </c>
      <c r="I248" s="9">
        <f t="shared" si="65"/>
        <v>3</v>
      </c>
      <c r="J248" s="8" t="s">
        <v>153</v>
      </c>
      <c r="K248" s="9" t="str">
        <f t="shared" si="66"/>
        <v>Mumb@i</v>
      </c>
      <c r="L248" s="8" t="s">
        <v>1043</v>
      </c>
      <c r="M248" s="8" t="str">
        <f t="shared" si="67"/>
        <v>Monday</v>
      </c>
      <c r="N248" s="8" t="str">
        <f t="shared" si="68"/>
        <v>Mon</v>
      </c>
      <c r="O248" s="8" t="str">
        <f t="shared" si="69"/>
        <v>day</v>
      </c>
      <c r="P248" s="8">
        <f t="shared" si="70"/>
        <v>4</v>
      </c>
      <c r="Q248" s="8">
        <f t="shared" si="71"/>
        <v>2024</v>
      </c>
      <c r="R248" s="8" t="s">
        <v>1044</v>
      </c>
      <c r="S248" s="8">
        <f t="shared" si="72"/>
        <v>10</v>
      </c>
      <c r="T248" s="8">
        <f t="shared" si="73"/>
        <v>34</v>
      </c>
      <c r="U248" s="8">
        <f t="shared" si="74"/>
        <v>3</v>
      </c>
      <c r="V248" s="8">
        <v>94571</v>
      </c>
      <c r="W248" s="8">
        <v>89019</v>
      </c>
      <c r="X248" s="9" t="str">
        <f t="shared" si="75"/>
        <v>Highe Target</v>
      </c>
      <c r="Y248" s="9" t="str">
        <f t="shared" si="76"/>
        <v>Highe target</v>
      </c>
      <c r="Z248" s="9" t="str" cm="1">
        <f t="array" ref="Z248">_xlfn.IFS(W248&lt;60000,"LOWERTarget",W248&lt;80000,"Medium Target",W248,"Highe Target")</f>
        <v>Highe Target</v>
      </c>
      <c r="AA248" s="8" t="s">
        <v>87</v>
      </c>
      <c r="AB248" s="5" t="str">
        <f t="shared" si="77"/>
        <v>EXCELLENT SERVICE</v>
      </c>
      <c r="AC248" s="5" t="str">
        <f t="shared" si="78"/>
        <v>excellent service</v>
      </c>
      <c r="AD248" s="5" t="str">
        <f t="shared" si="80"/>
        <v>Excellent Service</v>
      </c>
      <c r="AF248" s="6"/>
    </row>
    <row r="249" ht="14.25" customHeight="1" spans="1:32">
      <c r="A249" s="8" t="s">
        <v>1045</v>
      </c>
      <c r="B249" s="8" t="s">
        <v>321</v>
      </c>
      <c r="C249" s="9">
        <f t="shared" si="60"/>
        <v>12</v>
      </c>
      <c r="D249" s="8" t="s">
        <v>35</v>
      </c>
      <c r="E249" s="8" t="str">
        <f t="shared" si="61"/>
        <v>Priya Mishra(E1140) - Finance</v>
      </c>
      <c r="F249" s="9" t="str">
        <f t="shared" si="62"/>
        <v>Priya Mishra(E1140) -</v>
      </c>
      <c r="G249" s="9" t="str">
        <f t="shared" si="63"/>
        <v>Finance</v>
      </c>
      <c r="H249" s="9">
        <f t="shared" si="64"/>
        <v>21</v>
      </c>
      <c r="I249" s="9">
        <f t="shared" si="65"/>
        <v>8</v>
      </c>
      <c r="J249" s="8" t="s">
        <v>76</v>
      </c>
      <c r="K249" s="9" t="str">
        <f t="shared" si="66"/>
        <v>Pune</v>
      </c>
      <c r="L249" s="8" t="s">
        <v>702</v>
      </c>
      <c r="M249" s="8" t="str">
        <f t="shared" si="67"/>
        <v>Saturday</v>
      </c>
      <c r="N249" s="8" t="str">
        <f t="shared" si="68"/>
        <v>Sat</v>
      </c>
      <c r="O249" s="8" t="str">
        <f t="shared" si="69"/>
        <v>day</v>
      </c>
      <c r="P249" s="8">
        <f t="shared" si="70"/>
        <v>4</v>
      </c>
      <c r="Q249" s="8">
        <f t="shared" si="71"/>
        <v>2023</v>
      </c>
      <c r="R249" s="8" t="s">
        <v>1046</v>
      </c>
      <c r="S249" s="8">
        <f t="shared" si="72"/>
        <v>9</v>
      </c>
      <c r="T249" s="8">
        <f t="shared" si="73"/>
        <v>55</v>
      </c>
      <c r="U249" s="8">
        <f t="shared" si="74"/>
        <v>42</v>
      </c>
      <c r="V249" s="8">
        <v>101887</v>
      </c>
      <c r="W249" s="8">
        <v>89170</v>
      </c>
      <c r="X249" s="9" t="str">
        <f t="shared" si="75"/>
        <v>Highe Target</v>
      </c>
      <c r="Y249" s="9" t="str">
        <f t="shared" si="76"/>
        <v>Highe target</v>
      </c>
      <c r="Z249" s="9" t="str" cm="1">
        <f t="array" ref="Z249">_xlfn.IFS(W249&lt;60000,"LOWERTarget",W249&lt;80000,"Medium Target",W249,"Highe Target")</f>
        <v>Highe Target</v>
      </c>
      <c r="AA249" s="8" t="s">
        <v>243</v>
      </c>
      <c r="AB249" s="5" t="str">
        <f t="shared" si="77"/>
        <v>POSITIVE ATTITUDE</v>
      </c>
      <c r="AC249" s="5" t="str">
        <f t="shared" si="78"/>
        <v>positive attitude</v>
      </c>
      <c r="AD249" s="5" t="str">
        <f t="shared" si="80"/>
        <v>Positive Attitude</v>
      </c>
      <c r="AF249" s="6"/>
    </row>
    <row r="250" ht="14.25" customHeight="1" spans="1:32">
      <c r="A250" s="8" t="s">
        <v>1047</v>
      </c>
      <c r="B250" s="8" t="s">
        <v>766</v>
      </c>
      <c r="C250" s="9">
        <f t="shared" si="60"/>
        <v>12</v>
      </c>
      <c r="D250" s="8" t="s">
        <v>93</v>
      </c>
      <c r="E250" s="8" t="str">
        <f t="shared" si="61"/>
        <v>Nisha Bansal(E1060) - Sales</v>
      </c>
      <c r="F250" s="9" t="str">
        <f t="shared" si="62"/>
        <v>Nisha Bansal(E1060) -</v>
      </c>
      <c r="G250" s="9" t="str">
        <f t="shared" si="63"/>
        <v>Sales</v>
      </c>
      <c r="H250" s="9">
        <f t="shared" si="64"/>
        <v>21</v>
      </c>
      <c r="I250" s="9">
        <f t="shared" si="65"/>
        <v>6</v>
      </c>
      <c r="J250" s="8" t="s">
        <v>182</v>
      </c>
      <c r="K250" s="9" t="str">
        <f t="shared" si="66"/>
        <v>Kolk@ta</v>
      </c>
      <c r="L250" s="8" t="s">
        <v>1048</v>
      </c>
      <c r="M250" s="8" t="str">
        <f t="shared" si="67"/>
        <v>Monday</v>
      </c>
      <c r="N250" s="8" t="str">
        <f t="shared" si="68"/>
        <v>Mon</v>
      </c>
      <c r="O250" s="8" t="str">
        <f t="shared" si="69"/>
        <v>day</v>
      </c>
      <c r="P250" s="8">
        <f t="shared" si="70"/>
        <v>9</v>
      </c>
      <c r="Q250" s="8">
        <f t="shared" si="71"/>
        <v>2023</v>
      </c>
      <c r="R250" s="8" t="s">
        <v>1049</v>
      </c>
      <c r="S250" s="8">
        <f t="shared" si="72"/>
        <v>8</v>
      </c>
      <c r="T250" s="8">
        <f t="shared" si="73"/>
        <v>22</v>
      </c>
      <c r="U250" s="8">
        <f t="shared" si="74"/>
        <v>19</v>
      </c>
      <c r="V250" s="8">
        <v>99937</v>
      </c>
      <c r="W250" s="8">
        <v>89379</v>
      </c>
      <c r="X250" s="9" t="str">
        <f t="shared" si="75"/>
        <v>Highe Target</v>
      </c>
      <c r="Y250" s="9" t="str">
        <f t="shared" si="76"/>
        <v>Highe target</v>
      </c>
      <c r="Z250" s="9" t="str" cm="1">
        <f t="array" ref="Z250">_xlfn.IFS(W250&lt;60000,"LOWERTarget",W250&lt;80000,"Medium Target",W250,"Highe Target")</f>
        <v>Highe Target</v>
      </c>
      <c r="AA250" s="8" t="s">
        <v>243</v>
      </c>
      <c r="AB250" s="5" t="str">
        <f t="shared" si="77"/>
        <v>POSITIVE ATTITUDE</v>
      </c>
      <c r="AC250" s="5" t="str">
        <f t="shared" si="78"/>
        <v>positive attitude</v>
      </c>
      <c r="AD250" s="5" t="str">
        <f t="shared" si="80"/>
        <v>Positive Attitude</v>
      </c>
      <c r="AF250" s="6"/>
    </row>
    <row r="251" ht="14.25" customHeight="1" spans="1:32">
      <c r="A251" s="8" t="s">
        <v>1050</v>
      </c>
      <c r="B251" s="8" t="s">
        <v>870</v>
      </c>
      <c r="C251" s="9">
        <f t="shared" si="60"/>
        <v>10</v>
      </c>
      <c r="D251" s="8" t="s">
        <v>35</v>
      </c>
      <c r="E251" s="8" t="str">
        <f t="shared" si="61"/>
        <v>Neha Kumar(E1156) - Finance</v>
      </c>
      <c r="F251" s="9" t="str">
        <f t="shared" si="62"/>
        <v>Neha Kumar(E1156) -</v>
      </c>
      <c r="G251" s="9" t="str">
        <f t="shared" si="63"/>
        <v>Finance</v>
      </c>
      <c r="H251" s="9">
        <f t="shared" si="64"/>
        <v>19</v>
      </c>
      <c r="I251" s="9">
        <f t="shared" si="65"/>
        <v>8</v>
      </c>
      <c r="J251" s="8" t="s">
        <v>45</v>
      </c>
      <c r="K251" s="9" t="str">
        <f t="shared" si="66"/>
        <v>B@ngalore</v>
      </c>
      <c r="L251" s="8" t="s">
        <v>1051</v>
      </c>
      <c r="M251" s="8" t="str">
        <f t="shared" si="67"/>
        <v>Wednesday</v>
      </c>
      <c r="N251" s="8" t="str">
        <f t="shared" si="68"/>
        <v>Wed</v>
      </c>
      <c r="O251" s="8" t="str">
        <f t="shared" si="69"/>
        <v>day</v>
      </c>
      <c r="P251" s="8">
        <f t="shared" si="70"/>
        <v>12</v>
      </c>
      <c r="Q251" s="8">
        <f t="shared" si="71"/>
        <v>2021</v>
      </c>
      <c r="R251" s="8" t="s">
        <v>1052</v>
      </c>
      <c r="S251" s="8">
        <f t="shared" si="72"/>
        <v>10</v>
      </c>
      <c r="T251" s="8">
        <f t="shared" si="73"/>
        <v>9</v>
      </c>
      <c r="U251" s="8">
        <f t="shared" si="74"/>
        <v>48</v>
      </c>
      <c r="V251" s="8">
        <v>79689</v>
      </c>
      <c r="W251" s="8">
        <v>89751</v>
      </c>
      <c r="X251" s="9" t="str">
        <f t="shared" si="75"/>
        <v>Highe Target</v>
      </c>
      <c r="Y251" s="9" t="str">
        <f t="shared" si="76"/>
        <v>Highe target</v>
      </c>
      <c r="Z251" s="9" t="str" cm="1">
        <f t="array" ref="Z251">_xlfn.IFS(W251&lt;60000,"LOWERTarget",W251&lt;80000,"Medium Target",W251,"Highe Target")</f>
        <v>Highe Target</v>
      </c>
      <c r="AA251" s="8" t="s">
        <v>285</v>
      </c>
      <c r="AB251" s="5" t="str">
        <f t="shared" si="77"/>
        <v>QUICK RESPONSE</v>
      </c>
      <c r="AC251" s="5" t="str">
        <f t="shared" si="78"/>
        <v>quick response</v>
      </c>
      <c r="AD251" s="5" t="str">
        <f t="shared" si="80"/>
        <v>Quick Response</v>
      </c>
      <c r="AF251" s="6"/>
    </row>
    <row r="252" ht="14.25" customHeight="1" spans="1:32">
      <c r="A252" s="8" t="s">
        <v>1053</v>
      </c>
      <c r="B252" s="8" t="s">
        <v>240</v>
      </c>
      <c r="C252" s="9">
        <f t="shared" si="60"/>
        <v>10</v>
      </c>
      <c r="D252" s="8" t="s">
        <v>44</v>
      </c>
      <c r="E252" s="8" t="str">
        <f t="shared" si="61"/>
        <v>Sneha Iyer(E1095) - Marketing</v>
      </c>
      <c r="F252" s="9" t="str">
        <f t="shared" si="62"/>
        <v>Sneha Iyer(E1095) -</v>
      </c>
      <c r="G252" s="9" t="str">
        <f t="shared" si="63"/>
        <v>Marketing</v>
      </c>
      <c r="H252" s="9">
        <f t="shared" si="64"/>
        <v>19</v>
      </c>
      <c r="I252" s="9">
        <f t="shared" si="65"/>
        <v>10</v>
      </c>
      <c r="J252" s="8" t="s">
        <v>36</v>
      </c>
      <c r="K252" s="9" t="str">
        <f t="shared" si="66"/>
        <v>Ahmed@bad</v>
      </c>
      <c r="L252" s="8" t="s">
        <v>143</v>
      </c>
      <c r="M252" s="8" t="str">
        <f t="shared" si="67"/>
        <v>Sunday</v>
      </c>
      <c r="N252" s="8" t="str">
        <f t="shared" si="68"/>
        <v>Sun</v>
      </c>
      <c r="O252" s="8" t="str">
        <f t="shared" si="69"/>
        <v>day</v>
      </c>
      <c r="P252" s="8">
        <f t="shared" si="70"/>
        <v>8</v>
      </c>
      <c r="Q252" s="8">
        <f t="shared" si="71"/>
        <v>2022</v>
      </c>
      <c r="R252" s="8" t="s">
        <v>1054</v>
      </c>
      <c r="S252" s="8">
        <f t="shared" si="72"/>
        <v>10</v>
      </c>
      <c r="T252" s="8">
        <f t="shared" si="73"/>
        <v>25</v>
      </c>
      <c r="U252" s="8">
        <f t="shared" si="74"/>
        <v>52</v>
      </c>
      <c r="V252" s="8">
        <v>77244</v>
      </c>
      <c r="W252" s="8">
        <v>89840</v>
      </c>
      <c r="X252" s="9" t="str">
        <f t="shared" si="75"/>
        <v>Highe Target</v>
      </c>
      <c r="Y252" s="9" t="str">
        <f t="shared" si="76"/>
        <v>Highe target</v>
      </c>
      <c r="Z252" s="9" t="str" cm="1">
        <f t="array" ref="Z252">_xlfn.IFS(W252&lt;60000,"LOWERTarget",W252&lt;80000,"Medium Target",W252,"Highe Target")</f>
        <v>Highe Target</v>
      </c>
      <c r="AA252" s="8" t="s">
        <v>56</v>
      </c>
      <c r="AB252" s="5" t="str">
        <f t="shared" si="77"/>
        <v>   HELPFUL ATTITUDE   </v>
      </c>
      <c r="AC252" s="5" t="str">
        <f t="shared" si="78"/>
        <v>   helpful attitude   </v>
      </c>
      <c r="AD252" s="5" t="str">
        <f t="shared" si="80"/>
        <v>   Helpful Attitude   </v>
      </c>
      <c r="AF252" s="6"/>
    </row>
    <row r="253" ht="14.25" customHeight="1" spans="1:32">
      <c r="A253" s="8" t="s">
        <v>1055</v>
      </c>
      <c r="B253" s="8" t="s">
        <v>1056</v>
      </c>
      <c r="C253" s="9">
        <f t="shared" si="60"/>
        <v>11</v>
      </c>
      <c r="D253" s="8" t="s">
        <v>93</v>
      </c>
      <c r="E253" s="8" t="str">
        <f t="shared" si="61"/>
        <v>Nisha Goyal(E1143) - Sales</v>
      </c>
      <c r="F253" s="9" t="str">
        <f t="shared" si="62"/>
        <v>Nisha Goyal(E1143) -</v>
      </c>
      <c r="G253" s="9" t="str">
        <f t="shared" si="63"/>
        <v>Sales</v>
      </c>
      <c r="H253" s="9">
        <f t="shared" si="64"/>
        <v>20</v>
      </c>
      <c r="I253" s="9">
        <f t="shared" si="65"/>
        <v>6</v>
      </c>
      <c r="J253" s="8" t="s">
        <v>61</v>
      </c>
      <c r="K253" s="9" t="str">
        <f t="shared" si="66"/>
        <v>Chenn@i</v>
      </c>
      <c r="L253" s="8" t="s">
        <v>1057</v>
      </c>
      <c r="M253" s="8" t="str">
        <f t="shared" si="67"/>
        <v>Monday</v>
      </c>
      <c r="N253" s="8" t="str">
        <f t="shared" si="68"/>
        <v>Mon</v>
      </c>
      <c r="O253" s="8" t="str">
        <f t="shared" si="69"/>
        <v>day</v>
      </c>
      <c r="P253" s="8">
        <f t="shared" si="70"/>
        <v>3</v>
      </c>
      <c r="Q253" s="8">
        <f t="shared" si="71"/>
        <v>2021</v>
      </c>
      <c r="R253" s="8" t="s">
        <v>1058</v>
      </c>
      <c r="S253" s="8">
        <f t="shared" si="72"/>
        <v>8</v>
      </c>
      <c r="T253" s="8">
        <f t="shared" si="73"/>
        <v>17</v>
      </c>
      <c r="U253" s="8">
        <f t="shared" si="74"/>
        <v>44</v>
      </c>
      <c r="V253" s="8">
        <v>95214</v>
      </c>
      <c r="W253" s="8">
        <v>89965</v>
      </c>
      <c r="X253" s="9" t="str">
        <f t="shared" si="75"/>
        <v>Highe Target</v>
      </c>
      <c r="Y253" s="9" t="str">
        <f t="shared" si="76"/>
        <v>Highe target</v>
      </c>
      <c r="Z253" s="9" t="str" cm="1">
        <f t="array" ref="Z253">_xlfn.IFS(W253&lt;60000,"LOWERTarget",W253&lt;80000,"Medium Target",W253,"Highe Target")</f>
        <v>Highe Target</v>
      </c>
      <c r="AA253" s="8" t="s">
        <v>71</v>
      </c>
      <c r="AB253" s="5" t="str">
        <f t="shared" si="77"/>
        <v>GREAT SUPPORT</v>
      </c>
      <c r="AC253" s="5" t="str">
        <f t="shared" si="78"/>
        <v>great support</v>
      </c>
      <c r="AD253" s="5" t="str">
        <f t="shared" si="80"/>
        <v>Great Support</v>
      </c>
      <c r="AF253" s="6"/>
    </row>
    <row r="254" ht="14.25" customHeight="1" spans="1:32">
      <c r="A254" s="8" t="s">
        <v>1059</v>
      </c>
      <c r="B254" s="8" t="s">
        <v>384</v>
      </c>
      <c r="C254" s="9">
        <f t="shared" si="60"/>
        <v>10</v>
      </c>
      <c r="D254" s="8" t="s">
        <v>93</v>
      </c>
      <c r="E254" s="8" t="str">
        <f t="shared" si="61"/>
        <v>Priya Nair(E1018) - Sales</v>
      </c>
      <c r="F254" s="9" t="str">
        <f t="shared" si="62"/>
        <v>Priya Nair(E1018) -</v>
      </c>
      <c r="G254" s="9" t="str">
        <f t="shared" si="63"/>
        <v>Sales</v>
      </c>
      <c r="H254" s="9">
        <f t="shared" si="64"/>
        <v>19</v>
      </c>
      <c r="I254" s="9">
        <f t="shared" si="65"/>
        <v>6</v>
      </c>
      <c r="J254" s="8" t="s">
        <v>76</v>
      </c>
      <c r="K254" s="9" t="str">
        <f t="shared" si="66"/>
        <v>Pune</v>
      </c>
      <c r="L254" s="8" t="s">
        <v>1060</v>
      </c>
      <c r="M254" s="8" t="str">
        <f t="shared" si="67"/>
        <v>Saturday</v>
      </c>
      <c r="N254" s="8" t="str">
        <f t="shared" si="68"/>
        <v>Sat</v>
      </c>
      <c r="O254" s="8" t="str">
        <f t="shared" si="69"/>
        <v>day</v>
      </c>
      <c r="P254" s="8">
        <f t="shared" si="70"/>
        <v>9</v>
      </c>
      <c r="Q254" s="8">
        <f t="shared" si="71"/>
        <v>2023</v>
      </c>
      <c r="R254" s="8" t="s">
        <v>1061</v>
      </c>
      <c r="S254" s="8">
        <f t="shared" si="72"/>
        <v>8</v>
      </c>
      <c r="T254" s="8">
        <f t="shared" si="73"/>
        <v>48</v>
      </c>
      <c r="U254" s="8">
        <f t="shared" si="74"/>
        <v>34</v>
      </c>
      <c r="V254" s="8">
        <v>83430</v>
      </c>
      <c r="W254" s="8">
        <v>90189</v>
      </c>
      <c r="X254" s="9" t="str">
        <f t="shared" si="75"/>
        <v>Highe Target</v>
      </c>
      <c r="Y254" s="9" t="str">
        <f t="shared" si="76"/>
        <v>Highe target</v>
      </c>
      <c r="Z254" s="9" t="str" cm="1">
        <f t="array" ref="Z254">_xlfn.IFS(W254&lt;60000,"LOWERTarget",W254&lt;80000,"Medium Target",W254,"Highe Target")</f>
        <v>Highe Target</v>
      </c>
      <c r="AA254" s="8" t="s">
        <v>285</v>
      </c>
      <c r="AB254" s="5" t="str">
        <f t="shared" si="77"/>
        <v>QUICK RESPONSE</v>
      </c>
      <c r="AC254" s="5" t="str">
        <f t="shared" si="78"/>
        <v>quick response</v>
      </c>
      <c r="AD254" s="5" t="str">
        <f t="shared" si="80"/>
        <v>Quick Response</v>
      </c>
      <c r="AF254" s="6"/>
    </row>
    <row r="255" ht="14.25" customHeight="1" spans="1:32">
      <c r="A255" s="8" t="s">
        <v>1062</v>
      </c>
      <c r="B255" s="8" t="s">
        <v>1063</v>
      </c>
      <c r="C255" s="9">
        <f t="shared" si="60"/>
        <v>13</v>
      </c>
      <c r="D255" s="8" t="s">
        <v>35</v>
      </c>
      <c r="E255" s="8" t="str">
        <f t="shared" si="61"/>
        <v>Deepak Saxena(E1202) - Finance</v>
      </c>
      <c r="F255" s="9" t="str">
        <f t="shared" si="62"/>
        <v>Deepak Saxena(E1202) -</v>
      </c>
      <c r="G255" s="9" t="str">
        <f t="shared" si="63"/>
        <v>Finance</v>
      </c>
      <c r="H255" s="9">
        <f t="shared" si="64"/>
        <v>22</v>
      </c>
      <c r="I255" s="9">
        <f t="shared" si="65"/>
        <v>8</v>
      </c>
      <c r="J255" s="8" t="s">
        <v>53</v>
      </c>
      <c r="K255" s="9" t="str">
        <f t="shared" si="66"/>
        <v>Delhi</v>
      </c>
      <c r="L255" s="8" t="s">
        <v>211</v>
      </c>
      <c r="M255" s="8" t="str">
        <f t="shared" si="67"/>
        <v>Sunday</v>
      </c>
      <c r="N255" s="8" t="str">
        <f t="shared" si="68"/>
        <v>Sun</v>
      </c>
      <c r="O255" s="8" t="str">
        <f t="shared" si="69"/>
        <v>day</v>
      </c>
      <c r="P255" s="8">
        <f t="shared" si="70"/>
        <v>2</v>
      </c>
      <c r="Q255" s="8">
        <f t="shared" si="71"/>
        <v>2024</v>
      </c>
      <c r="R255" s="8" t="s">
        <v>1064</v>
      </c>
      <c r="S255" s="8">
        <f t="shared" si="72"/>
        <v>10</v>
      </c>
      <c r="T255" s="8">
        <f t="shared" si="73"/>
        <v>37</v>
      </c>
      <c r="U255" s="8">
        <f t="shared" si="74"/>
        <v>11</v>
      </c>
      <c r="V255" s="8">
        <v>83773</v>
      </c>
      <c r="W255" s="8">
        <v>90317</v>
      </c>
      <c r="X255" s="9" t="str">
        <f t="shared" si="75"/>
        <v>Highe Target</v>
      </c>
      <c r="Y255" s="9" t="str">
        <f t="shared" si="76"/>
        <v>Highe target</v>
      </c>
      <c r="Z255" s="9" t="str" cm="1">
        <f t="array" ref="Z255">_xlfn.IFS(W255&lt;60000,"LOWERTarget",W255&lt;80000,"Medium Target",W255,"Highe Target")</f>
        <v>Highe Target</v>
      </c>
      <c r="AA255" s="8" t="s">
        <v>39</v>
      </c>
      <c r="AB255" s="5" t="str">
        <f t="shared" si="77"/>
        <v>DETAILED ANALYSIS</v>
      </c>
      <c r="AC255" s="5" t="str">
        <f t="shared" si="78"/>
        <v>detailed analysis</v>
      </c>
      <c r="AD255" s="5" t="str">
        <f t="shared" si="80"/>
        <v>Detailed Analysis</v>
      </c>
      <c r="AF255" s="6"/>
    </row>
    <row r="256" ht="14.25" customHeight="1" spans="1:32">
      <c r="A256" s="8" t="s">
        <v>1065</v>
      </c>
      <c r="B256" s="8" t="s">
        <v>1066</v>
      </c>
      <c r="C256" s="9">
        <f t="shared" si="60"/>
        <v>12</v>
      </c>
      <c r="D256" s="8" t="s">
        <v>93</v>
      </c>
      <c r="E256" s="8" t="str">
        <f t="shared" si="61"/>
        <v>Vikram Goyal(E1014) - Sales</v>
      </c>
      <c r="F256" s="9" t="str">
        <f t="shared" si="62"/>
        <v>Vikram Goyal(E1014) -</v>
      </c>
      <c r="G256" s="9" t="str">
        <f t="shared" si="63"/>
        <v>Sales</v>
      </c>
      <c r="H256" s="9">
        <f t="shared" si="64"/>
        <v>21</v>
      </c>
      <c r="I256" s="9">
        <f t="shared" si="65"/>
        <v>6</v>
      </c>
      <c r="J256" s="8" t="s">
        <v>76</v>
      </c>
      <c r="K256" s="9" t="str">
        <f t="shared" si="66"/>
        <v>Pune</v>
      </c>
      <c r="L256" s="8" t="s">
        <v>1067</v>
      </c>
      <c r="M256" s="8" t="str">
        <f t="shared" si="67"/>
        <v>Monday</v>
      </c>
      <c r="N256" s="8" t="str">
        <f t="shared" si="68"/>
        <v>Mon</v>
      </c>
      <c r="O256" s="8" t="str">
        <f t="shared" si="69"/>
        <v>day</v>
      </c>
      <c r="P256" s="8">
        <f t="shared" si="70"/>
        <v>10</v>
      </c>
      <c r="Q256" s="8">
        <f t="shared" si="71"/>
        <v>2024</v>
      </c>
      <c r="R256" s="8" t="s">
        <v>1068</v>
      </c>
      <c r="S256" s="8">
        <f t="shared" si="72"/>
        <v>10</v>
      </c>
      <c r="T256" s="8">
        <f t="shared" si="73"/>
        <v>48</v>
      </c>
      <c r="U256" s="8">
        <f t="shared" si="74"/>
        <v>17</v>
      </c>
      <c r="V256" s="8">
        <v>97663</v>
      </c>
      <c r="W256" s="8">
        <v>90370</v>
      </c>
      <c r="X256" s="9" t="str">
        <f t="shared" si="75"/>
        <v>Highe Target</v>
      </c>
      <c r="Y256" s="9" t="str">
        <f t="shared" si="76"/>
        <v>Highe target</v>
      </c>
      <c r="Z256" s="9" t="str" cm="1">
        <f t="array" ref="Z256">_xlfn.IFS(W256&lt;60000,"LOWERTarget",W256&lt;80000,"Medium Target",W256,"Highe Target")</f>
        <v>Highe Target</v>
      </c>
      <c r="AA256" s="8" t="s">
        <v>160</v>
      </c>
      <c r="AB256" s="5" t="str">
        <f t="shared" si="77"/>
        <v>GOOD COMMUNICATION</v>
      </c>
      <c r="AC256" s="5" t="str">
        <f t="shared" si="78"/>
        <v>good communication</v>
      </c>
      <c r="AD256" s="5" t="str">
        <f t="shared" si="80"/>
        <v>Good Communication</v>
      </c>
      <c r="AF256" s="6"/>
    </row>
    <row r="257" ht="14.25" customHeight="1" spans="1:32">
      <c r="A257" s="8" t="s">
        <v>1069</v>
      </c>
      <c r="B257" s="8" t="s">
        <v>321</v>
      </c>
      <c r="C257" s="9">
        <f t="shared" si="60"/>
        <v>12</v>
      </c>
      <c r="D257" s="8" t="s">
        <v>44</v>
      </c>
      <c r="E257" s="8" t="str">
        <f t="shared" si="61"/>
        <v>Priya Mishra(E1222) - Marketing</v>
      </c>
      <c r="F257" s="9" t="str">
        <f t="shared" si="62"/>
        <v>Priya Mishra(E1222) -</v>
      </c>
      <c r="G257" s="9" t="str">
        <f t="shared" si="63"/>
        <v>Marketing</v>
      </c>
      <c r="H257" s="9">
        <f t="shared" si="64"/>
        <v>21</v>
      </c>
      <c r="I257" s="9">
        <f t="shared" si="65"/>
        <v>10</v>
      </c>
      <c r="J257" s="8" t="s">
        <v>53</v>
      </c>
      <c r="K257" s="9" t="str">
        <f t="shared" si="66"/>
        <v>Delhi</v>
      </c>
      <c r="L257" s="8" t="s">
        <v>192</v>
      </c>
      <c r="M257" s="8" t="str">
        <f t="shared" si="67"/>
        <v>Sunday</v>
      </c>
      <c r="N257" s="8" t="str">
        <f t="shared" si="68"/>
        <v>Sun</v>
      </c>
      <c r="O257" s="8" t="str">
        <f t="shared" si="69"/>
        <v>day</v>
      </c>
      <c r="P257" s="8">
        <f t="shared" si="70"/>
        <v>12</v>
      </c>
      <c r="Q257" s="8">
        <f t="shared" si="71"/>
        <v>2023</v>
      </c>
      <c r="R257" s="8" t="s">
        <v>1070</v>
      </c>
      <c r="S257" s="8">
        <f t="shared" si="72"/>
        <v>10</v>
      </c>
      <c r="T257" s="8">
        <f t="shared" si="73"/>
        <v>46</v>
      </c>
      <c r="U257" s="8">
        <f t="shared" si="74"/>
        <v>39</v>
      </c>
      <c r="V257" s="8">
        <v>100680</v>
      </c>
      <c r="W257" s="8">
        <v>90764</v>
      </c>
      <c r="X257" s="9" t="str">
        <f t="shared" si="75"/>
        <v>Highe Target</v>
      </c>
      <c r="Y257" s="9" t="str">
        <f t="shared" si="76"/>
        <v>Highe target</v>
      </c>
      <c r="Z257" s="9" t="str" cm="1">
        <f t="array" ref="Z257">_xlfn.IFS(W257&lt;60000,"LOWERTarget",W257&lt;80000,"Medium Target",W257,"Highe Target")</f>
        <v>Highe Target</v>
      </c>
      <c r="AA257" s="8" t="s">
        <v>1071</v>
      </c>
      <c r="AB257" s="5" t="str">
        <f t="shared" si="77"/>
        <v>   QUICK RESPONSE   </v>
      </c>
      <c r="AC257" s="5" t="str">
        <f t="shared" si="78"/>
        <v>   quick response   </v>
      </c>
      <c r="AD257" s="5" t="str">
        <f t="shared" si="80"/>
        <v>   Quick Response   </v>
      </c>
      <c r="AF257" s="6"/>
    </row>
    <row r="258" ht="14.25" customHeight="1" spans="1:32">
      <c r="A258" s="8" t="s">
        <v>1072</v>
      </c>
      <c r="B258" s="8" t="s">
        <v>1073</v>
      </c>
      <c r="C258" s="9">
        <f t="shared" ref="C258:C301" si="81">LEN(B258)</f>
        <v>13</v>
      </c>
      <c r="D258" s="8" t="s">
        <v>93</v>
      </c>
      <c r="E258" s="8" t="str">
        <f t="shared" ref="E258:E301" si="82">_xlfn.CONCAT(B258,"(",A258,")"," - ",D258)</f>
        <v>Rahul Agarwal(E1065) - Sales</v>
      </c>
      <c r="F258" s="9" t="str">
        <f t="shared" ref="F258:F301" si="83">LEFT(E258,FIND("-",E258))</f>
        <v>Rahul Agarwal(E1065) -</v>
      </c>
      <c r="G258" s="9" t="str">
        <f t="shared" ref="G258:G301" si="84">RIGHT(E258,LEN(E258)-FIND("-",E258)-1)</f>
        <v>Sales</v>
      </c>
      <c r="H258" s="9">
        <f t="shared" ref="H258:H301" si="85">FIND("-",E258)</f>
        <v>22</v>
      </c>
      <c r="I258" s="9">
        <f t="shared" ref="I258:I301" si="86">LEN(E258)-FIND("-",E258)</f>
        <v>6</v>
      </c>
      <c r="J258" s="8" t="s">
        <v>153</v>
      </c>
      <c r="K258" s="9" t="str">
        <f t="shared" ref="K258:K301" si="87">SUBSTITUTE(J258,"a","@",1)</f>
        <v>Mumb@i</v>
      </c>
      <c r="L258" s="8" t="s">
        <v>1074</v>
      </c>
      <c r="M258" s="8" t="str">
        <f t="shared" ref="M258:M301" si="88">TEXT(L258,"dddd")</f>
        <v>Sunday</v>
      </c>
      <c r="N258" s="8" t="str">
        <f t="shared" ref="N258:N301" si="89">LEFT(M258,3)</f>
        <v>Sun</v>
      </c>
      <c r="O258" s="8" t="str">
        <f t="shared" ref="O258:O301" si="90">RIGHT(M258,3)</f>
        <v>day</v>
      </c>
      <c r="P258" s="8">
        <f t="shared" ref="P258:P301" si="91">MONTH(L258)</f>
        <v>12</v>
      </c>
      <c r="Q258" s="8">
        <f t="shared" ref="Q258:Q301" si="92">YEAR(L258)</f>
        <v>2022</v>
      </c>
      <c r="R258" s="8" t="s">
        <v>1075</v>
      </c>
      <c r="S258" s="8">
        <f t="shared" ref="S258:S301" si="93">HOUR(R258)</f>
        <v>8</v>
      </c>
      <c r="T258" s="8">
        <f t="shared" ref="T258:T301" si="94">MINUTE(R258)</f>
        <v>41</v>
      </c>
      <c r="U258" s="8">
        <f t="shared" ref="U258:U301" si="95">SECOND(R258)</f>
        <v>4</v>
      </c>
      <c r="V258" s="8">
        <v>78836</v>
      </c>
      <c r="W258" s="8">
        <v>91198</v>
      </c>
      <c r="X258" s="9" t="str">
        <f t="shared" ref="X258:X301" si="96">IF(W258&gt;50000,"Highe Target","Low Target")</f>
        <v>Highe Target</v>
      </c>
      <c r="Y258" s="9" t="str">
        <f t="shared" ref="Y258:Y301" si="97">IF(NOT(W258&lt;50000),"Highe target","Lower Target")</f>
        <v>Highe target</v>
      </c>
      <c r="Z258" s="9" t="str" cm="1">
        <f t="array" ref="Z258">_xlfn.IFS(W258&lt;60000,"LOWERTarget",W258&lt;80000,"Medium Target",W258,"Highe Target")</f>
        <v>Highe Target</v>
      </c>
      <c r="AA258" s="8" t="s">
        <v>118</v>
      </c>
      <c r="AB258" s="5" t="str">
        <f t="shared" ref="AB258:AB301" si="98">UPPER(AA258)</f>
        <v>CUSTOMER FOCUSED</v>
      </c>
      <c r="AC258" s="5" t="str">
        <f t="shared" ref="AC258:AC301" si="99">LOWER(AA258)</f>
        <v>customer focused</v>
      </c>
      <c r="AD258" s="5" t="str">
        <f t="shared" si="80"/>
        <v>Customer Focused</v>
      </c>
      <c r="AF258" s="6"/>
    </row>
    <row r="259" ht="14.25" customHeight="1" spans="1:32">
      <c r="A259" s="8" t="s">
        <v>1076</v>
      </c>
      <c r="B259" s="8" t="s">
        <v>995</v>
      </c>
      <c r="C259" s="9">
        <f t="shared" si="81"/>
        <v>12</v>
      </c>
      <c r="D259" s="8" t="s">
        <v>44</v>
      </c>
      <c r="E259" s="8" t="str">
        <f t="shared" si="82"/>
        <v>Shreya Gupta(E1171) - Marketing</v>
      </c>
      <c r="F259" s="9" t="str">
        <f t="shared" si="83"/>
        <v>Shreya Gupta(E1171) -</v>
      </c>
      <c r="G259" s="9" t="str">
        <f t="shared" si="84"/>
        <v>Marketing</v>
      </c>
      <c r="H259" s="9">
        <f t="shared" si="85"/>
        <v>21</v>
      </c>
      <c r="I259" s="9">
        <f t="shared" si="86"/>
        <v>10</v>
      </c>
      <c r="J259" s="8" t="s">
        <v>45</v>
      </c>
      <c r="K259" s="9" t="str">
        <f t="shared" si="87"/>
        <v>B@ngalore</v>
      </c>
      <c r="L259" s="8" t="s">
        <v>1077</v>
      </c>
      <c r="M259" s="8" t="str">
        <f t="shared" si="88"/>
        <v>Saturday</v>
      </c>
      <c r="N259" s="8" t="str">
        <f t="shared" si="89"/>
        <v>Sat</v>
      </c>
      <c r="O259" s="8" t="str">
        <f t="shared" si="90"/>
        <v>day</v>
      </c>
      <c r="P259" s="8">
        <f t="shared" si="91"/>
        <v>12</v>
      </c>
      <c r="Q259" s="8">
        <f t="shared" si="92"/>
        <v>2023</v>
      </c>
      <c r="R259" s="8" t="s">
        <v>1078</v>
      </c>
      <c r="S259" s="8">
        <f t="shared" si="93"/>
        <v>8</v>
      </c>
      <c r="T259" s="8">
        <f t="shared" si="94"/>
        <v>19</v>
      </c>
      <c r="U259" s="8">
        <f t="shared" si="95"/>
        <v>51</v>
      </c>
      <c r="V259" s="8">
        <v>107141</v>
      </c>
      <c r="W259" s="8">
        <v>91404</v>
      </c>
      <c r="X259" s="9" t="str">
        <f t="shared" si="96"/>
        <v>Highe Target</v>
      </c>
      <c r="Y259" s="9" t="str">
        <f t="shared" si="97"/>
        <v>Highe target</v>
      </c>
      <c r="Z259" s="9" t="str" cm="1">
        <f t="array" ref="Z259">_xlfn.IFS(W259&lt;60000,"LOWERTarget",W259&lt;80000,"Medium Target",W259,"Highe Target")</f>
        <v>Highe Target</v>
      </c>
      <c r="AA259" s="8" t="s">
        <v>71</v>
      </c>
      <c r="AB259" s="5" t="str">
        <f t="shared" si="98"/>
        <v>GREAT SUPPORT</v>
      </c>
      <c r="AC259" s="5" t="str">
        <f t="shared" si="99"/>
        <v>great support</v>
      </c>
      <c r="AD259" s="5" t="str">
        <f t="shared" si="80"/>
        <v>Great Support</v>
      </c>
      <c r="AF259" s="6"/>
    </row>
    <row r="260" ht="14.25" customHeight="1" spans="1:32">
      <c r="A260" s="8" t="s">
        <v>1079</v>
      </c>
      <c r="B260" s="8" t="s">
        <v>1080</v>
      </c>
      <c r="C260" s="9">
        <f t="shared" si="81"/>
        <v>12</v>
      </c>
      <c r="D260" s="8" t="s">
        <v>44</v>
      </c>
      <c r="E260" s="8" t="str">
        <f t="shared" si="82"/>
        <v>Nidhi Chopra(E1256) - Marketing</v>
      </c>
      <c r="F260" s="9" t="str">
        <f t="shared" si="83"/>
        <v>Nidhi Chopra(E1256) -</v>
      </c>
      <c r="G260" s="9" t="str">
        <f t="shared" si="84"/>
        <v>Marketing</v>
      </c>
      <c r="H260" s="9">
        <f t="shared" si="85"/>
        <v>21</v>
      </c>
      <c r="I260" s="9">
        <f t="shared" si="86"/>
        <v>10</v>
      </c>
      <c r="J260" s="8" t="s">
        <v>153</v>
      </c>
      <c r="K260" s="9" t="str">
        <f t="shared" si="87"/>
        <v>Mumb@i</v>
      </c>
      <c r="L260" s="8" t="s">
        <v>1081</v>
      </c>
      <c r="M260" s="8" t="str">
        <f t="shared" si="88"/>
        <v>Wednesday</v>
      </c>
      <c r="N260" s="8" t="str">
        <f t="shared" si="89"/>
        <v>Wed</v>
      </c>
      <c r="O260" s="8" t="str">
        <f t="shared" si="90"/>
        <v>day</v>
      </c>
      <c r="P260" s="8">
        <f t="shared" si="91"/>
        <v>12</v>
      </c>
      <c r="Q260" s="8">
        <f t="shared" si="92"/>
        <v>2022</v>
      </c>
      <c r="R260" s="8" t="s">
        <v>1082</v>
      </c>
      <c r="S260" s="8">
        <f t="shared" si="93"/>
        <v>10</v>
      </c>
      <c r="T260" s="8">
        <f t="shared" si="94"/>
        <v>42</v>
      </c>
      <c r="U260" s="8">
        <f t="shared" si="95"/>
        <v>24</v>
      </c>
      <c r="V260" s="8">
        <v>110869</v>
      </c>
      <c r="W260" s="8">
        <v>91498</v>
      </c>
      <c r="X260" s="9" t="str">
        <f t="shared" si="96"/>
        <v>Highe Target</v>
      </c>
      <c r="Y260" s="9" t="str">
        <f t="shared" si="97"/>
        <v>Highe target</v>
      </c>
      <c r="Z260" s="9" t="str" cm="1">
        <f t="array" ref="Z260">_xlfn.IFS(W260&lt;60000,"LOWERTarget",W260&lt;80000,"Medium Target",W260,"Highe Target")</f>
        <v>Highe Target</v>
      </c>
      <c r="AA260" s="8" t="s">
        <v>48</v>
      </c>
      <c r="AB260" s="5" t="str">
        <f t="shared" si="98"/>
        <v>CREATIVE IDEAS</v>
      </c>
      <c r="AC260" s="5" t="str">
        <f t="shared" si="99"/>
        <v>creative ideas</v>
      </c>
      <c r="AD260" s="5" t="str">
        <f t="shared" si="80"/>
        <v>Creative Ideas</v>
      </c>
      <c r="AF260" s="6"/>
    </row>
    <row r="261" ht="14.25" customHeight="1" spans="1:32">
      <c r="A261" s="8" t="s">
        <v>1083</v>
      </c>
      <c r="B261" s="8" t="s">
        <v>1084</v>
      </c>
      <c r="C261" s="9">
        <f t="shared" si="81"/>
        <v>12</v>
      </c>
      <c r="D261" s="8" t="s">
        <v>60</v>
      </c>
      <c r="E261" s="8" t="str">
        <f t="shared" si="82"/>
        <v>Madhuri Jain(E1102) - HR</v>
      </c>
      <c r="F261" s="9" t="str">
        <f t="shared" si="83"/>
        <v>Madhuri Jain(E1102) -</v>
      </c>
      <c r="G261" s="9" t="str">
        <f t="shared" si="84"/>
        <v>HR</v>
      </c>
      <c r="H261" s="9">
        <f t="shared" si="85"/>
        <v>21</v>
      </c>
      <c r="I261" s="9">
        <f t="shared" si="86"/>
        <v>3</v>
      </c>
      <c r="J261" s="8" t="s">
        <v>76</v>
      </c>
      <c r="K261" s="9" t="str">
        <f t="shared" si="87"/>
        <v>Pune</v>
      </c>
      <c r="L261" s="8" t="s">
        <v>1085</v>
      </c>
      <c r="M261" s="8" t="str">
        <f t="shared" si="88"/>
        <v>Wednesday</v>
      </c>
      <c r="N261" s="8" t="str">
        <f t="shared" si="89"/>
        <v>Wed</v>
      </c>
      <c r="O261" s="8" t="str">
        <f t="shared" si="90"/>
        <v>day</v>
      </c>
      <c r="P261" s="8">
        <f t="shared" si="91"/>
        <v>7</v>
      </c>
      <c r="Q261" s="8">
        <f t="shared" si="92"/>
        <v>2022</v>
      </c>
      <c r="R261" s="8" t="s">
        <v>1086</v>
      </c>
      <c r="S261" s="8">
        <f t="shared" si="93"/>
        <v>9</v>
      </c>
      <c r="T261" s="8">
        <f t="shared" si="94"/>
        <v>21</v>
      </c>
      <c r="U261" s="8">
        <f t="shared" si="95"/>
        <v>59</v>
      </c>
      <c r="V261" s="8">
        <v>109898</v>
      </c>
      <c r="W261" s="8">
        <v>91623</v>
      </c>
      <c r="X261" s="9" t="str">
        <f t="shared" si="96"/>
        <v>Highe Target</v>
      </c>
      <c r="Y261" s="9" t="str">
        <f t="shared" si="97"/>
        <v>Highe target</v>
      </c>
      <c r="Z261" s="9" t="str" cm="1">
        <f t="array" ref="Z261">_xlfn.IFS(W261&lt;60000,"LOWERTarget",W261&lt;80000,"Medium Target",W261,"Highe Target")</f>
        <v>Highe Target</v>
      </c>
      <c r="AA261" s="8" t="s">
        <v>64</v>
      </c>
      <c r="AB261" s="5" t="str">
        <f t="shared" si="98"/>
        <v>NEEDS IMPROVEMENT</v>
      </c>
      <c r="AC261" s="5" t="str">
        <f t="shared" si="99"/>
        <v>needs improvement</v>
      </c>
      <c r="AD261" s="5" t="str">
        <f t="shared" si="80"/>
        <v>Needs Improvement</v>
      </c>
      <c r="AF261" s="6"/>
    </row>
    <row r="262" ht="14.25" customHeight="1" spans="1:32">
      <c r="A262" s="8" t="s">
        <v>1087</v>
      </c>
      <c r="B262" s="8" t="s">
        <v>1088</v>
      </c>
      <c r="C262" s="9">
        <f t="shared" si="81"/>
        <v>11</v>
      </c>
      <c r="D262" s="8" t="s">
        <v>60</v>
      </c>
      <c r="E262" s="8" t="str">
        <f t="shared" si="82"/>
        <v>Varun Goyal(E1130) - HR</v>
      </c>
      <c r="F262" s="9" t="str">
        <f t="shared" si="83"/>
        <v>Varun Goyal(E1130) -</v>
      </c>
      <c r="G262" s="9" t="str">
        <f t="shared" si="84"/>
        <v>HR</v>
      </c>
      <c r="H262" s="9">
        <f t="shared" si="85"/>
        <v>20</v>
      </c>
      <c r="I262" s="9">
        <f t="shared" si="86"/>
        <v>3</v>
      </c>
      <c r="J262" s="8" t="s">
        <v>45</v>
      </c>
      <c r="K262" s="9" t="str">
        <f t="shared" si="87"/>
        <v>B@ngalore</v>
      </c>
      <c r="L262" s="8" t="s">
        <v>1089</v>
      </c>
      <c r="M262" s="8" t="str">
        <f t="shared" si="88"/>
        <v>Saturday</v>
      </c>
      <c r="N262" s="8" t="str">
        <f t="shared" si="89"/>
        <v>Sat</v>
      </c>
      <c r="O262" s="8" t="str">
        <f t="shared" si="90"/>
        <v>day</v>
      </c>
      <c r="P262" s="8">
        <f t="shared" si="91"/>
        <v>4</v>
      </c>
      <c r="Q262" s="8">
        <f t="shared" si="92"/>
        <v>2022</v>
      </c>
      <c r="R262" s="8" t="s">
        <v>1090</v>
      </c>
      <c r="S262" s="8">
        <f t="shared" si="93"/>
        <v>9</v>
      </c>
      <c r="T262" s="8">
        <f t="shared" si="94"/>
        <v>49</v>
      </c>
      <c r="U262" s="8">
        <f t="shared" si="95"/>
        <v>9</v>
      </c>
      <c r="V262" s="8">
        <v>76869</v>
      </c>
      <c r="W262" s="8">
        <v>91684</v>
      </c>
      <c r="X262" s="9" t="str">
        <f t="shared" si="96"/>
        <v>Highe Target</v>
      </c>
      <c r="Y262" s="9" t="str">
        <f t="shared" si="97"/>
        <v>Highe target</v>
      </c>
      <c r="Z262" s="9" t="str" cm="1">
        <f t="array" ref="Z262">_xlfn.IFS(W262&lt;60000,"LOWERTarget",W262&lt;80000,"Medium Target",W262,"Highe Target")</f>
        <v>Highe Target</v>
      </c>
      <c r="AA262" s="8" t="s">
        <v>64</v>
      </c>
      <c r="AB262" s="5" t="str">
        <f t="shared" si="98"/>
        <v>NEEDS IMPROVEMENT</v>
      </c>
      <c r="AC262" s="5" t="str">
        <f t="shared" si="99"/>
        <v>needs improvement</v>
      </c>
      <c r="AD262" s="5" t="str">
        <f t="shared" si="80"/>
        <v>Needs Improvement</v>
      </c>
      <c r="AF262" s="6"/>
    </row>
    <row r="263" ht="14.25" customHeight="1" spans="1:32">
      <c r="A263" s="8" t="s">
        <v>1091</v>
      </c>
      <c r="B263" s="8" t="s">
        <v>1092</v>
      </c>
      <c r="C263" s="9">
        <f t="shared" si="81"/>
        <v>16</v>
      </c>
      <c r="D263" s="8" t="s">
        <v>60</v>
      </c>
      <c r="E263" s="8" t="str">
        <f t="shared" si="82"/>
        <v>Siddharth Bansal(E1166) - HR</v>
      </c>
      <c r="F263" s="9" t="str">
        <f t="shared" si="83"/>
        <v>Siddharth Bansal(E1166) -</v>
      </c>
      <c r="G263" s="9" t="str">
        <f t="shared" si="84"/>
        <v>HR</v>
      </c>
      <c r="H263" s="9">
        <f t="shared" si="85"/>
        <v>25</v>
      </c>
      <c r="I263" s="9">
        <f t="shared" si="86"/>
        <v>3</v>
      </c>
      <c r="J263" s="8" t="s">
        <v>76</v>
      </c>
      <c r="K263" s="9" t="str">
        <f t="shared" si="87"/>
        <v>Pune</v>
      </c>
      <c r="L263" s="8" t="s">
        <v>1093</v>
      </c>
      <c r="M263" s="8" t="str">
        <f t="shared" si="88"/>
        <v>Tuesday</v>
      </c>
      <c r="N263" s="8" t="str">
        <f t="shared" si="89"/>
        <v>Tue</v>
      </c>
      <c r="O263" s="8" t="str">
        <f t="shared" si="90"/>
        <v>day</v>
      </c>
      <c r="P263" s="8">
        <f t="shared" si="91"/>
        <v>9</v>
      </c>
      <c r="Q263" s="8">
        <f t="shared" si="92"/>
        <v>2022</v>
      </c>
      <c r="R263" s="8" t="s">
        <v>1094</v>
      </c>
      <c r="S263" s="8">
        <f t="shared" si="93"/>
        <v>10</v>
      </c>
      <c r="T263" s="8">
        <f t="shared" si="94"/>
        <v>24</v>
      </c>
      <c r="U263" s="8">
        <f t="shared" si="95"/>
        <v>41</v>
      </c>
      <c r="V263" s="8">
        <v>98409</v>
      </c>
      <c r="W263" s="8">
        <v>91882</v>
      </c>
      <c r="X263" s="9" t="str">
        <f t="shared" si="96"/>
        <v>Highe Target</v>
      </c>
      <c r="Y263" s="9" t="str">
        <f t="shared" si="97"/>
        <v>Highe target</v>
      </c>
      <c r="Z263" s="9" t="str" cm="1">
        <f t="array" ref="Z263">_xlfn.IFS(W263&lt;60000,"LOWERTarget",W263&lt;80000,"Medium Target",W263,"Highe Target")</f>
        <v>Highe Target</v>
      </c>
      <c r="AA263" s="8" t="s">
        <v>243</v>
      </c>
      <c r="AB263" s="5" t="str">
        <f t="shared" si="98"/>
        <v>POSITIVE ATTITUDE</v>
      </c>
      <c r="AC263" s="5" t="str">
        <f t="shared" si="99"/>
        <v>positive attitude</v>
      </c>
      <c r="AD263" s="5" t="str">
        <f t="shared" si="80"/>
        <v>Positive Attitude</v>
      </c>
      <c r="AF263" s="6"/>
    </row>
    <row r="264" ht="14.25" customHeight="1" spans="1:32">
      <c r="A264" s="8" t="s">
        <v>1095</v>
      </c>
      <c r="B264" s="8" t="s">
        <v>1096</v>
      </c>
      <c r="C264" s="9">
        <f t="shared" si="81"/>
        <v>13</v>
      </c>
      <c r="D264" s="8" t="s">
        <v>60</v>
      </c>
      <c r="E264" s="8" t="str">
        <f t="shared" si="82"/>
        <v>Priya Agarwal(E1043) - HR</v>
      </c>
      <c r="F264" s="9" t="str">
        <f t="shared" si="83"/>
        <v>Priya Agarwal(E1043) -</v>
      </c>
      <c r="G264" s="9" t="str">
        <f t="shared" si="84"/>
        <v>HR</v>
      </c>
      <c r="H264" s="9">
        <f t="shared" si="85"/>
        <v>22</v>
      </c>
      <c r="I264" s="9">
        <f t="shared" si="86"/>
        <v>3</v>
      </c>
      <c r="J264" s="8" t="s">
        <v>45</v>
      </c>
      <c r="K264" s="9" t="str">
        <f t="shared" si="87"/>
        <v>B@ngalore</v>
      </c>
      <c r="L264" s="8" t="s">
        <v>1097</v>
      </c>
      <c r="M264" s="8" t="str">
        <f t="shared" si="88"/>
        <v>Tuesday</v>
      </c>
      <c r="N264" s="8" t="str">
        <f t="shared" si="89"/>
        <v>Tue</v>
      </c>
      <c r="O264" s="8" t="str">
        <f t="shared" si="90"/>
        <v>day</v>
      </c>
      <c r="P264" s="8">
        <f t="shared" si="91"/>
        <v>8</v>
      </c>
      <c r="Q264" s="8">
        <f t="shared" si="92"/>
        <v>2023</v>
      </c>
      <c r="R264" s="8" t="s">
        <v>1098</v>
      </c>
      <c r="S264" s="8">
        <f t="shared" si="93"/>
        <v>9</v>
      </c>
      <c r="T264" s="8">
        <f t="shared" si="94"/>
        <v>19</v>
      </c>
      <c r="U264" s="8">
        <f t="shared" si="95"/>
        <v>52</v>
      </c>
      <c r="V264" s="8">
        <v>92038</v>
      </c>
      <c r="W264" s="8">
        <v>92123</v>
      </c>
      <c r="X264" s="9" t="str">
        <f t="shared" si="96"/>
        <v>Highe Target</v>
      </c>
      <c r="Y264" s="9" t="str">
        <f t="shared" si="97"/>
        <v>Highe target</v>
      </c>
      <c r="Z264" s="9" t="str" cm="1">
        <f t="array" ref="Z264">_xlfn.IFS(W264&lt;60000,"LOWERTarget",W264&lt;80000,"Medium Target",W264,"Highe Target")</f>
        <v>Highe Target</v>
      </c>
      <c r="AA264" s="8" t="s">
        <v>126</v>
      </c>
      <c r="AB264" s="5" t="str">
        <f t="shared" si="98"/>
        <v>ACCURATE REPORTS</v>
      </c>
      <c r="AC264" s="5" t="str">
        <f t="shared" si="99"/>
        <v>accurate reports</v>
      </c>
      <c r="AD264" s="5" t="str">
        <f t="shared" si="80"/>
        <v>Accurate Reports</v>
      </c>
      <c r="AF264" s="6"/>
    </row>
    <row r="265" ht="14.25" customHeight="1" spans="1:32">
      <c r="A265" s="8" t="s">
        <v>1099</v>
      </c>
      <c r="B265" s="8" t="s">
        <v>1100</v>
      </c>
      <c r="C265" s="9">
        <f t="shared" si="81"/>
        <v>12</v>
      </c>
      <c r="D265" s="8" t="s">
        <v>44</v>
      </c>
      <c r="E265" s="8" t="str">
        <f t="shared" si="82"/>
        <v>Anjali Mehta(E1227) - Marketing</v>
      </c>
      <c r="F265" s="9" t="str">
        <f t="shared" si="83"/>
        <v>Anjali Mehta(E1227) -</v>
      </c>
      <c r="G265" s="9" t="str">
        <f t="shared" si="84"/>
        <v>Marketing</v>
      </c>
      <c r="H265" s="9">
        <f t="shared" si="85"/>
        <v>21</v>
      </c>
      <c r="I265" s="9">
        <f t="shared" si="86"/>
        <v>10</v>
      </c>
      <c r="J265" s="8" t="s">
        <v>172</v>
      </c>
      <c r="K265" s="9" t="str">
        <f t="shared" si="87"/>
        <v>Hyder@bad</v>
      </c>
      <c r="L265" s="8" t="s">
        <v>1101</v>
      </c>
      <c r="M265" s="8" t="str">
        <f t="shared" si="88"/>
        <v>Sunday</v>
      </c>
      <c r="N265" s="8" t="str">
        <f t="shared" si="89"/>
        <v>Sun</v>
      </c>
      <c r="O265" s="8" t="str">
        <f t="shared" si="90"/>
        <v>day</v>
      </c>
      <c r="P265" s="8">
        <f t="shared" si="91"/>
        <v>9</v>
      </c>
      <c r="Q265" s="8">
        <f t="shared" si="92"/>
        <v>2023</v>
      </c>
      <c r="R265" s="8" t="s">
        <v>847</v>
      </c>
      <c r="S265" s="8">
        <f t="shared" si="93"/>
        <v>9</v>
      </c>
      <c r="T265" s="8">
        <f t="shared" si="94"/>
        <v>35</v>
      </c>
      <c r="U265" s="8">
        <f t="shared" si="95"/>
        <v>59</v>
      </c>
      <c r="V265" s="8">
        <v>95048</v>
      </c>
      <c r="W265" s="8">
        <v>92127</v>
      </c>
      <c r="X265" s="9" t="str">
        <f t="shared" si="96"/>
        <v>Highe Target</v>
      </c>
      <c r="Y265" s="9" t="str">
        <f t="shared" si="97"/>
        <v>Highe target</v>
      </c>
      <c r="Z265" s="9" t="str" cm="1">
        <f t="array" ref="Z265">_xlfn.IFS(W265&lt;60000,"LOWERTarget",W265&lt;80000,"Medium Target",W265,"Highe Target")</f>
        <v>Highe Target</v>
      </c>
      <c r="AA265" s="8" t="s">
        <v>64</v>
      </c>
      <c r="AB265" s="5" t="str">
        <f t="shared" si="98"/>
        <v>NEEDS IMPROVEMENT</v>
      </c>
      <c r="AC265" s="5" t="str">
        <f t="shared" si="99"/>
        <v>needs improvement</v>
      </c>
      <c r="AD265" s="5" t="str">
        <f t="shared" si="80"/>
        <v>Needs Improvement</v>
      </c>
      <c r="AF265" s="6"/>
    </row>
    <row r="266" ht="14.25" customHeight="1" spans="1:32">
      <c r="A266" s="8" t="s">
        <v>1102</v>
      </c>
      <c r="B266" s="8" t="s">
        <v>673</v>
      </c>
      <c r="C266" s="9">
        <f t="shared" si="81"/>
        <v>11</v>
      </c>
      <c r="D266" s="8" t="s">
        <v>60</v>
      </c>
      <c r="E266" s="8" t="str">
        <f t="shared" si="82"/>
        <v>Suresh Nair(E1054) - HR</v>
      </c>
      <c r="F266" s="9" t="str">
        <f t="shared" si="83"/>
        <v>Suresh Nair(E1054) -</v>
      </c>
      <c r="G266" s="9" t="str">
        <f t="shared" si="84"/>
        <v>HR</v>
      </c>
      <c r="H266" s="9">
        <f t="shared" si="85"/>
        <v>20</v>
      </c>
      <c r="I266" s="9">
        <f t="shared" si="86"/>
        <v>3</v>
      </c>
      <c r="J266" s="8" t="s">
        <v>153</v>
      </c>
      <c r="K266" s="9" t="str">
        <f t="shared" si="87"/>
        <v>Mumb@i</v>
      </c>
      <c r="L266" s="8" t="s">
        <v>1103</v>
      </c>
      <c r="M266" s="8" t="str">
        <f t="shared" si="88"/>
        <v>Saturday</v>
      </c>
      <c r="N266" s="8" t="str">
        <f t="shared" si="89"/>
        <v>Sat</v>
      </c>
      <c r="O266" s="8" t="str">
        <f t="shared" si="90"/>
        <v>day</v>
      </c>
      <c r="P266" s="8">
        <f t="shared" si="91"/>
        <v>8</v>
      </c>
      <c r="Q266" s="8">
        <f t="shared" si="92"/>
        <v>2021</v>
      </c>
      <c r="R266" s="8" t="s">
        <v>1104</v>
      </c>
      <c r="S266" s="8">
        <f t="shared" si="93"/>
        <v>9</v>
      </c>
      <c r="T266" s="8">
        <f t="shared" si="94"/>
        <v>14</v>
      </c>
      <c r="U266" s="8">
        <f t="shared" si="95"/>
        <v>11</v>
      </c>
      <c r="V266" s="8">
        <v>111642</v>
      </c>
      <c r="W266" s="8">
        <v>92698</v>
      </c>
      <c r="X266" s="9" t="str">
        <f t="shared" si="96"/>
        <v>Highe Target</v>
      </c>
      <c r="Y266" s="9" t="str">
        <f t="shared" si="97"/>
        <v>Highe target</v>
      </c>
      <c r="Z266" s="9" t="str" cm="1">
        <f t="array" ref="Z266">_xlfn.IFS(W266&lt;60000,"LOWERTarget",W266&lt;80000,"Medium Target",W266,"Highe Target")</f>
        <v>Highe Target</v>
      </c>
      <c r="AA266" s="8" t="s">
        <v>179</v>
      </c>
      <c r="AB266" s="5" t="str">
        <f t="shared" si="98"/>
        <v>HELPFUL ATTITUDE</v>
      </c>
      <c r="AC266" s="5" t="str">
        <f t="shared" si="99"/>
        <v>helpful attitude</v>
      </c>
      <c r="AD266" s="5" t="str">
        <f t="shared" si="80"/>
        <v>Helpful Attitude</v>
      </c>
      <c r="AF266" s="6"/>
    </row>
    <row r="267" ht="14.25" customHeight="1" spans="1:32">
      <c r="A267" s="8" t="s">
        <v>1105</v>
      </c>
      <c r="B267" s="8" t="s">
        <v>518</v>
      </c>
      <c r="C267" s="9">
        <f t="shared" si="81"/>
        <v>11</v>
      </c>
      <c r="D267" s="8" t="s">
        <v>35</v>
      </c>
      <c r="E267" s="8" t="str">
        <f t="shared" si="82"/>
        <v>Aakash Shah(E1271) - Finance</v>
      </c>
      <c r="F267" s="9" t="str">
        <f t="shared" si="83"/>
        <v>Aakash Shah(E1271) -</v>
      </c>
      <c r="G267" s="9" t="str">
        <f t="shared" si="84"/>
        <v>Finance</v>
      </c>
      <c r="H267" s="9">
        <f t="shared" si="85"/>
        <v>20</v>
      </c>
      <c r="I267" s="9">
        <f t="shared" si="86"/>
        <v>8</v>
      </c>
      <c r="J267" s="8" t="s">
        <v>153</v>
      </c>
      <c r="K267" s="9" t="str">
        <f t="shared" si="87"/>
        <v>Mumb@i</v>
      </c>
      <c r="L267" s="8" t="s">
        <v>1106</v>
      </c>
      <c r="M267" s="8" t="str">
        <f t="shared" si="88"/>
        <v>Thursday</v>
      </c>
      <c r="N267" s="8" t="str">
        <f t="shared" si="89"/>
        <v>Thu</v>
      </c>
      <c r="O267" s="8" t="str">
        <f t="shared" si="90"/>
        <v>day</v>
      </c>
      <c r="P267" s="8">
        <f t="shared" si="91"/>
        <v>10</v>
      </c>
      <c r="Q267" s="8">
        <f t="shared" si="92"/>
        <v>2023</v>
      </c>
      <c r="R267" s="8" t="s">
        <v>1107</v>
      </c>
      <c r="S267" s="8">
        <f t="shared" si="93"/>
        <v>10</v>
      </c>
      <c r="T267" s="8">
        <f t="shared" si="94"/>
        <v>43</v>
      </c>
      <c r="U267" s="8">
        <f t="shared" si="95"/>
        <v>27</v>
      </c>
      <c r="V267" s="8">
        <v>89581</v>
      </c>
      <c r="W267" s="8">
        <v>92833</v>
      </c>
      <c r="X267" s="9" t="str">
        <f t="shared" si="96"/>
        <v>Highe Target</v>
      </c>
      <c r="Y267" s="9" t="str">
        <f t="shared" si="97"/>
        <v>Highe target</v>
      </c>
      <c r="Z267" s="9" t="str" cm="1">
        <f t="array" ref="Z267">_xlfn.IFS(W267&lt;60000,"LOWERTarget",W267&lt;80000,"Medium Target",W267,"Highe Target")</f>
        <v>Highe Target</v>
      </c>
      <c r="AA267" s="8" t="s">
        <v>160</v>
      </c>
      <c r="AB267" s="5" t="str">
        <f t="shared" si="98"/>
        <v>GOOD COMMUNICATION</v>
      </c>
      <c r="AC267" s="5" t="str">
        <f t="shared" si="99"/>
        <v>good communication</v>
      </c>
      <c r="AD267" s="5" t="str">
        <f t="shared" si="80"/>
        <v>Good Communication</v>
      </c>
      <c r="AF267" s="6"/>
    </row>
    <row r="268" ht="14.25" customHeight="1" spans="1:32">
      <c r="A268" s="8" t="s">
        <v>1108</v>
      </c>
      <c r="B268" s="8" t="s">
        <v>932</v>
      </c>
      <c r="C268" s="9">
        <f t="shared" si="81"/>
        <v>12</v>
      </c>
      <c r="D268" s="8" t="s">
        <v>44</v>
      </c>
      <c r="E268" s="8" t="str">
        <f t="shared" si="82"/>
        <v>Deepak Goyal(E1235) - Marketing</v>
      </c>
      <c r="F268" s="9" t="str">
        <f t="shared" si="83"/>
        <v>Deepak Goyal(E1235) -</v>
      </c>
      <c r="G268" s="9" t="str">
        <f t="shared" si="84"/>
        <v>Marketing</v>
      </c>
      <c r="H268" s="9">
        <f t="shared" si="85"/>
        <v>21</v>
      </c>
      <c r="I268" s="9">
        <f t="shared" si="86"/>
        <v>10</v>
      </c>
      <c r="J268" s="8" t="s">
        <v>53</v>
      </c>
      <c r="K268" s="9" t="str">
        <f t="shared" si="87"/>
        <v>Delhi</v>
      </c>
      <c r="L268" s="8" t="s">
        <v>448</v>
      </c>
      <c r="M268" s="8" t="str">
        <f t="shared" si="88"/>
        <v>Monday</v>
      </c>
      <c r="N268" s="8" t="str">
        <f t="shared" si="89"/>
        <v>Mon</v>
      </c>
      <c r="O268" s="8" t="str">
        <f t="shared" si="90"/>
        <v>day</v>
      </c>
      <c r="P268" s="8">
        <f t="shared" si="91"/>
        <v>10</v>
      </c>
      <c r="Q268" s="8">
        <f t="shared" si="92"/>
        <v>2023</v>
      </c>
      <c r="R268" s="8" t="s">
        <v>1109</v>
      </c>
      <c r="S268" s="8">
        <f t="shared" si="93"/>
        <v>9</v>
      </c>
      <c r="T268" s="8">
        <f t="shared" si="94"/>
        <v>17</v>
      </c>
      <c r="U268" s="8">
        <f t="shared" si="95"/>
        <v>12</v>
      </c>
      <c r="V268" s="8">
        <v>85388</v>
      </c>
      <c r="W268" s="8">
        <v>93006</v>
      </c>
      <c r="X268" s="9" t="str">
        <f t="shared" si="96"/>
        <v>Highe Target</v>
      </c>
      <c r="Y268" s="9" t="str">
        <f t="shared" si="97"/>
        <v>Highe target</v>
      </c>
      <c r="Z268" s="9" t="str" cm="1">
        <f t="array" ref="Z268">_xlfn.IFS(W268&lt;60000,"LOWERTarget",W268&lt;80000,"Medium Target",W268,"Highe Target")</f>
        <v>Highe Target</v>
      </c>
      <c r="AA268" s="8" t="s">
        <v>48</v>
      </c>
      <c r="AB268" s="5" t="str">
        <f t="shared" si="98"/>
        <v>CREATIVE IDEAS</v>
      </c>
      <c r="AC268" s="5" t="str">
        <f t="shared" si="99"/>
        <v>creative ideas</v>
      </c>
      <c r="AD268" s="5" t="str">
        <f t="shared" si="80"/>
        <v>Creative Ideas</v>
      </c>
      <c r="AF268" s="6"/>
    </row>
    <row r="269" ht="14.25" customHeight="1" spans="1:32">
      <c r="A269" s="8" t="s">
        <v>1110</v>
      </c>
      <c r="B269" s="8" t="s">
        <v>1111</v>
      </c>
      <c r="C269" s="9">
        <f t="shared" si="81"/>
        <v>11</v>
      </c>
      <c r="D269" s="8" t="s">
        <v>93</v>
      </c>
      <c r="E269" s="8" t="str">
        <f t="shared" si="82"/>
        <v>Rahul Verma(E1139) - Sales</v>
      </c>
      <c r="F269" s="9" t="str">
        <f t="shared" si="83"/>
        <v>Rahul Verma(E1139) -</v>
      </c>
      <c r="G269" s="9" t="str">
        <f t="shared" si="84"/>
        <v>Sales</v>
      </c>
      <c r="H269" s="9">
        <f t="shared" si="85"/>
        <v>20</v>
      </c>
      <c r="I269" s="9">
        <f t="shared" si="86"/>
        <v>6</v>
      </c>
      <c r="J269" s="8" t="s">
        <v>182</v>
      </c>
      <c r="K269" s="9" t="str">
        <f t="shared" si="87"/>
        <v>Kolk@ta</v>
      </c>
      <c r="L269" s="8" t="s">
        <v>1112</v>
      </c>
      <c r="M269" s="8" t="str">
        <f t="shared" si="88"/>
        <v>Saturday</v>
      </c>
      <c r="N269" s="8" t="str">
        <f t="shared" si="89"/>
        <v>Sat</v>
      </c>
      <c r="O269" s="8" t="str">
        <f t="shared" si="90"/>
        <v>day</v>
      </c>
      <c r="P269" s="8">
        <f t="shared" si="91"/>
        <v>7</v>
      </c>
      <c r="Q269" s="8">
        <f t="shared" si="92"/>
        <v>2021</v>
      </c>
      <c r="R269" s="8" t="s">
        <v>1113</v>
      </c>
      <c r="S269" s="8">
        <f t="shared" si="93"/>
        <v>10</v>
      </c>
      <c r="T269" s="8">
        <f t="shared" si="94"/>
        <v>47</v>
      </c>
      <c r="U269" s="8">
        <f t="shared" si="95"/>
        <v>23</v>
      </c>
      <c r="V269" s="8">
        <v>86727</v>
      </c>
      <c r="W269" s="8">
        <v>93200</v>
      </c>
      <c r="X269" s="9" t="str">
        <f t="shared" si="96"/>
        <v>Highe Target</v>
      </c>
      <c r="Y269" s="9" t="str">
        <f t="shared" si="97"/>
        <v>Highe target</v>
      </c>
      <c r="Z269" s="9" t="str" cm="1">
        <f t="array" ref="Z269">_xlfn.IFS(W269&lt;60000,"LOWERTarget",W269&lt;80000,"Medium Target",W269,"Highe Target")</f>
        <v>Highe Target</v>
      </c>
      <c r="AA269" s="8" t="s">
        <v>229</v>
      </c>
      <c r="AB269" s="5" t="str">
        <f t="shared" si="98"/>
        <v>STRONG PRESENTATION</v>
      </c>
      <c r="AC269" s="5" t="str">
        <f t="shared" si="99"/>
        <v>strong presentation</v>
      </c>
      <c r="AD269" s="5" t="str">
        <f t="shared" si="80"/>
        <v>Strong Presentation</v>
      </c>
      <c r="AF269" s="6"/>
    </row>
    <row r="270" ht="14.25" customHeight="1" spans="1:32">
      <c r="A270" s="8" t="s">
        <v>1114</v>
      </c>
      <c r="B270" s="8" t="s">
        <v>1115</v>
      </c>
      <c r="C270" s="9">
        <f t="shared" si="81"/>
        <v>11</v>
      </c>
      <c r="D270" s="8" t="s">
        <v>35</v>
      </c>
      <c r="E270" s="8" t="str">
        <f t="shared" si="82"/>
        <v>Pooja Singh(E1184) - Finance</v>
      </c>
      <c r="F270" s="9" t="str">
        <f t="shared" si="83"/>
        <v>Pooja Singh(E1184) -</v>
      </c>
      <c r="G270" s="9" t="str">
        <f t="shared" si="84"/>
        <v>Finance</v>
      </c>
      <c r="H270" s="9">
        <f t="shared" si="85"/>
        <v>20</v>
      </c>
      <c r="I270" s="9">
        <f t="shared" si="86"/>
        <v>8</v>
      </c>
      <c r="J270" s="8" t="s">
        <v>53</v>
      </c>
      <c r="K270" s="9" t="str">
        <f t="shared" si="87"/>
        <v>Delhi</v>
      </c>
      <c r="L270" s="8" t="s">
        <v>1116</v>
      </c>
      <c r="M270" s="8" t="str">
        <f t="shared" si="88"/>
        <v>Thursday</v>
      </c>
      <c r="N270" s="8" t="str">
        <f t="shared" si="89"/>
        <v>Thu</v>
      </c>
      <c r="O270" s="8" t="str">
        <f t="shared" si="90"/>
        <v>day</v>
      </c>
      <c r="P270" s="8">
        <f t="shared" si="91"/>
        <v>4</v>
      </c>
      <c r="Q270" s="8">
        <f t="shared" si="92"/>
        <v>2021</v>
      </c>
      <c r="R270" s="8" t="s">
        <v>1117</v>
      </c>
      <c r="S270" s="8">
        <f t="shared" si="93"/>
        <v>9</v>
      </c>
      <c r="T270" s="8">
        <f t="shared" si="94"/>
        <v>34</v>
      </c>
      <c r="U270" s="8">
        <f t="shared" si="95"/>
        <v>21</v>
      </c>
      <c r="V270" s="8">
        <v>89788</v>
      </c>
      <c r="W270" s="8">
        <v>93314</v>
      </c>
      <c r="X270" s="9" t="str">
        <f t="shared" si="96"/>
        <v>Highe Target</v>
      </c>
      <c r="Y270" s="9" t="str">
        <f t="shared" si="97"/>
        <v>Highe target</v>
      </c>
      <c r="Z270" s="9" t="str" cm="1">
        <f t="array" ref="Z270">_xlfn.IFS(W270&lt;60000,"LOWERTarget",W270&lt;80000,"Medium Target",W270,"Highe Target")</f>
        <v>Highe Target</v>
      </c>
      <c r="AA270" s="8" t="s">
        <v>243</v>
      </c>
      <c r="AB270" s="5" t="str">
        <f t="shared" si="98"/>
        <v>POSITIVE ATTITUDE</v>
      </c>
      <c r="AC270" s="5" t="str">
        <f t="shared" si="99"/>
        <v>positive attitude</v>
      </c>
      <c r="AD270" s="5" t="str">
        <f t="shared" si="80"/>
        <v>Positive Attitude</v>
      </c>
      <c r="AF270" s="6"/>
    </row>
    <row r="271" ht="14.25" customHeight="1" spans="1:32">
      <c r="A271" s="8" t="s">
        <v>1118</v>
      </c>
      <c r="B271" s="8" t="s">
        <v>1119</v>
      </c>
      <c r="C271" s="9">
        <f t="shared" si="81"/>
        <v>11</v>
      </c>
      <c r="D271" s="8" t="s">
        <v>60</v>
      </c>
      <c r="E271" s="8" t="str">
        <f t="shared" si="82"/>
        <v>Neha Saxena(E1155) - HR</v>
      </c>
      <c r="F271" s="9" t="str">
        <f t="shared" si="83"/>
        <v>Neha Saxena(E1155) -</v>
      </c>
      <c r="G271" s="9" t="str">
        <f t="shared" si="84"/>
        <v>HR</v>
      </c>
      <c r="H271" s="9">
        <f t="shared" si="85"/>
        <v>20</v>
      </c>
      <c r="I271" s="9">
        <f t="shared" si="86"/>
        <v>3</v>
      </c>
      <c r="J271" s="8" t="s">
        <v>172</v>
      </c>
      <c r="K271" s="9" t="str">
        <f t="shared" si="87"/>
        <v>Hyder@bad</v>
      </c>
      <c r="L271" s="8" t="s">
        <v>1120</v>
      </c>
      <c r="M271" s="8" t="str">
        <f t="shared" si="88"/>
        <v>Wednesday</v>
      </c>
      <c r="N271" s="8" t="str">
        <f t="shared" si="89"/>
        <v>Wed</v>
      </c>
      <c r="O271" s="8" t="str">
        <f t="shared" si="90"/>
        <v>day</v>
      </c>
      <c r="P271" s="8">
        <f t="shared" si="91"/>
        <v>12</v>
      </c>
      <c r="Q271" s="8">
        <f t="shared" si="92"/>
        <v>2022</v>
      </c>
      <c r="R271" s="8" t="s">
        <v>1121</v>
      </c>
      <c r="S271" s="8">
        <f t="shared" si="93"/>
        <v>10</v>
      </c>
      <c r="T271" s="8">
        <f t="shared" si="94"/>
        <v>52</v>
      </c>
      <c r="U271" s="8">
        <f t="shared" si="95"/>
        <v>41</v>
      </c>
      <c r="V271" s="8">
        <v>88093</v>
      </c>
      <c r="W271" s="8">
        <v>93414</v>
      </c>
      <c r="X271" s="9" t="str">
        <f t="shared" si="96"/>
        <v>Highe Target</v>
      </c>
      <c r="Y271" s="9" t="str">
        <f t="shared" si="97"/>
        <v>Highe target</v>
      </c>
      <c r="Z271" s="9" t="str" cm="1">
        <f t="array" ref="Z271">_xlfn.IFS(W271&lt;60000,"LOWERTarget",W271&lt;80000,"Medium Target",W271,"Highe Target")</f>
        <v>Highe Target</v>
      </c>
      <c r="AA271" s="8" t="s">
        <v>126</v>
      </c>
      <c r="AB271" s="5" t="str">
        <f t="shared" si="98"/>
        <v>ACCURATE REPORTS</v>
      </c>
      <c r="AC271" s="5" t="str">
        <f t="shared" si="99"/>
        <v>accurate reports</v>
      </c>
      <c r="AD271" s="5" t="str">
        <f t="shared" si="80"/>
        <v>Accurate Reports</v>
      </c>
      <c r="AF271" s="6"/>
    </row>
    <row r="272" ht="14.25" customHeight="1" spans="1:32">
      <c r="A272" s="8" t="s">
        <v>1122</v>
      </c>
      <c r="B272" s="8" t="s">
        <v>1123</v>
      </c>
      <c r="C272" s="9">
        <f t="shared" si="81"/>
        <v>13</v>
      </c>
      <c r="D272" s="8" t="s">
        <v>60</v>
      </c>
      <c r="E272" s="8" t="str">
        <f t="shared" si="82"/>
        <v>Madhuri Singh(E1272) - HR</v>
      </c>
      <c r="F272" s="9" t="str">
        <f t="shared" si="83"/>
        <v>Madhuri Singh(E1272) -</v>
      </c>
      <c r="G272" s="9" t="str">
        <f t="shared" si="84"/>
        <v>HR</v>
      </c>
      <c r="H272" s="9">
        <f t="shared" si="85"/>
        <v>22</v>
      </c>
      <c r="I272" s="9">
        <f t="shared" si="86"/>
        <v>3</v>
      </c>
      <c r="J272" s="8" t="s">
        <v>45</v>
      </c>
      <c r="K272" s="9" t="str">
        <f t="shared" si="87"/>
        <v>B@ngalore</v>
      </c>
      <c r="L272" s="8" t="s">
        <v>1124</v>
      </c>
      <c r="M272" s="8" t="str">
        <f t="shared" si="88"/>
        <v>Saturday</v>
      </c>
      <c r="N272" s="8" t="str">
        <f t="shared" si="89"/>
        <v>Sat</v>
      </c>
      <c r="O272" s="8" t="str">
        <f t="shared" si="90"/>
        <v>day</v>
      </c>
      <c r="P272" s="8">
        <f t="shared" si="91"/>
        <v>1</v>
      </c>
      <c r="Q272" s="8">
        <f t="shared" si="92"/>
        <v>2022</v>
      </c>
      <c r="R272" s="8" t="s">
        <v>1125</v>
      </c>
      <c r="S272" s="8">
        <f t="shared" si="93"/>
        <v>10</v>
      </c>
      <c r="T272" s="8">
        <f t="shared" si="94"/>
        <v>33</v>
      </c>
      <c r="U272" s="8">
        <f t="shared" si="95"/>
        <v>16</v>
      </c>
      <c r="V272" s="8">
        <v>101653</v>
      </c>
      <c r="W272" s="8">
        <v>93425</v>
      </c>
      <c r="X272" s="9" t="str">
        <f t="shared" si="96"/>
        <v>Highe Target</v>
      </c>
      <c r="Y272" s="9" t="str">
        <f t="shared" si="97"/>
        <v>Highe target</v>
      </c>
      <c r="Z272" s="9" t="str" cm="1">
        <f t="array" ref="Z272">_xlfn.IFS(W272&lt;60000,"LOWERTarget",W272&lt;80000,"Medium Target",W272,"Highe Target")</f>
        <v>Highe Target</v>
      </c>
      <c r="AA272" s="8" t="s">
        <v>64</v>
      </c>
      <c r="AB272" s="5" t="str">
        <f t="shared" si="98"/>
        <v>NEEDS IMPROVEMENT</v>
      </c>
      <c r="AC272" s="5" t="str">
        <f t="shared" si="99"/>
        <v>needs improvement</v>
      </c>
      <c r="AD272" s="5" t="str">
        <f t="shared" si="80"/>
        <v>Needs Improvement</v>
      </c>
      <c r="AF272" s="6"/>
    </row>
    <row r="273" ht="14.25" customHeight="1" spans="1:32">
      <c r="A273" s="8" t="s">
        <v>1126</v>
      </c>
      <c r="B273" s="8" t="s">
        <v>1127</v>
      </c>
      <c r="C273" s="9">
        <f t="shared" si="81"/>
        <v>11</v>
      </c>
      <c r="D273" s="8" t="s">
        <v>60</v>
      </c>
      <c r="E273" s="8" t="str">
        <f t="shared" si="82"/>
        <v>Karan Patel(E1186) - HR</v>
      </c>
      <c r="F273" s="9" t="str">
        <f t="shared" si="83"/>
        <v>Karan Patel(E1186) -</v>
      </c>
      <c r="G273" s="9" t="str">
        <f t="shared" si="84"/>
        <v>HR</v>
      </c>
      <c r="H273" s="9">
        <f t="shared" si="85"/>
        <v>20</v>
      </c>
      <c r="I273" s="9">
        <f t="shared" si="86"/>
        <v>3</v>
      </c>
      <c r="J273" s="8" t="s">
        <v>153</v>
      </c>
      <c r="K273" s="9" t="str">
        <f t="shared" si="87"/>
        <v>Mumb@i</v>
      </c>
      <c r="L273" s="8" t="s">
        <v>346</v>
      </c>
      <c r="M273" s="8" t="str">
        <f t="shared" si="88"/>
        <v>Sunday</v>
      </c>
      <c r="N273" s="8" t="str">
        <f t="shared" si="89"/>
        <v>Sun</v>
      </c>
      <c r="O273" s="8" t="str">
        <f t="shared" si="90"/>
        <v>day</v>
      </c>
      <c r="P273" s="8">
        <f t="shared" si="91"/>
        <v>10</v>
      </c>
      <c r="Q273" s="8">
        <f t="shared" si="92"/>
        <v>2022</v>
      </c>
      <c r="R273" s="8" t="s">
        <v>1128</v>
      </c>
      <c r="S273" s="8">
        <f t="shared" si="93"/>
        <v>9</v>
      </c>
      <c r="T273" s="8">
        <f t="shared" si="94"/>
        <v>32</v>
      </c>
      <c r="U273" s="8">
        <f t="shared" si="95"/>
        <v>25</v>
      </c>
      <c r="V273" s="8">
        <v>109462</v>
      </c>
      <c r="W273" s="8">
        <v>93438</v>
      </c>
      <c r="X273" s="9" t="str">
        <f t="shared" si="96"/>
        <v>Highe Target</v>
      </c>
      <c r="Y273" s="9" t="str">
        <f t="shared" si="97"/>
        <v>Highe target</v>
      </c>
      <c r="Z273" s="9" t="str" cm="1">
        <f t="array" ref="Z273">_xlfn.IFS(W273&lt;60000,"LOWERTarget",W273&lt;80000,"Medium Target",W273,"Highe Target")</f>
        <v>Highe Target</v>
      </c>
      <c r="AA273" s="8" t="s">
        <v>64</v>
      </c>
      <c r="AB273" s="5" t="str">
        <f t="shared" si="98"/>
        <v>NEEDS IMPROVEMENT</v>
      </c>
      <c r="AC273" s="5" t="str">
        <f t="shared" si="99"/>
        <v>needs improvement</v>
      </c>
      <c r="AD273" s="5" t="str">
        <f t="shared" si="80"/>
        <v>Needs Improvement</v>
      </c>
      <c r="AF273" s="6"/>
    </row>
    <row r="274" ht="14.25" customHeight="1" spans="1:32">
      <c r="A274" s="8" t="s">
        <v>1129</v>
      </c>
      <c r="B274" s="8" t="s">
        <v>266</v>
      </c>
      <c r="C274" s="9">
        <f t="shared" si="81"/>
        <v>12</v>
      </c>
      <c r="D274" s="8" t="s">
        <v>60</v>
      </c>
      <c r="E274" s="8" t="str">
        <f t="shared" si="82"/>
        <v>Aakash Gupta(E1254) - HR</v>
      </c>
      <c r="F274" s="9" t="str">
        <f t="shared" si="83"/>
        <v>Aakash Gupta(E1254) -</v>
      </c>
      <c r="G274" s="9" t="str">
        <f t="shared" si="84"/>
        <v>HR</v>
      </c>
      <c r="H274" s="9">
        <f t="shared" si="85"/>
        <v>21</v>
      </c>
      <c r="I274" s="9">
        <f t="shared" si="86"/>
        <v>3</v>
      </c>
      <c r="J274" s="8" t="s">
        <v>172</v>
      </c>
      <c r="K274" s="9" t="str">
        <f t="shared" si="87"/>
        <v>Hyder@bad</v>
      </c>
      <c r="L274" s="8" t="s">
        <v>1130</v>
      </c>
      <c r="M274" s="8" t="str">
        <f t="shared" si="88"/>
        <v>Thursday</v>
      </c>
      <c r="N274" s="8" t="str">
        <f t="shared" si="89"/>
        <v>Thu</v>
      </c>
      <c r="O274" s="8" t="str">
        <f t="shared" si="90"/>
        <v>day</v>
      </c>
      <c r="P274" s="8">
        <f t="shared" si="91"/>
        <v>3</v>
      </c>
      <c r="Q274" s="8">
        <f t="shared" si="92"/>
        <v>2024</v>
      </c>
      <c r="R274" s="8" t="s">
        <v>1131</v>
      </c>
      <c r="S274" s="8">
        <f t="shared" si="93"/>
        <v>10</v>
      </c>
      <c r="T274" s="8">
        <f t="shared" si="94"/>
        <v>49</v>
      </c>
      <c r="U274" s="8">
        <f t="shared" si="95"/>
        <v>43</v>
      </c>
      <c r="V274" s="8">
        <v>99648</v>
      </c>
      <c r="W274" s="8">
        <v>93633</v>
      </c>
      <c r="X274" s="9" t="str">
        <f t="shared" si="96"/>
        <v>Highe Target</v>
      </c>
      <c r="Y274" s="9" t="str">
        <f t="shared" si="97"/>
        <v>Highe target</v>
      </c>
      <c r="Z274" s="9" t="str" cm="1">
        <f t="array" ref="Z274">_xlfn.IFS(W274&lt;60000,"LOWERTarget",W274&lt;80000,"Medium Target",W274,"Highe Target")</f>
        <v>Highe Target</v>
      </c>
      <c r="AA274" s="8" t="s">
        <v>126</v>
      </c>
      <c r="AB274" s="5" t="str">
        <f t="shared" si="98"/>
        <v>ACCURATE REPORTS</v>
      </c>
      <c r="AC274" s="5" t="str">
        <f t="shared" si="99"/>
        <v>accurate reports</v>
      </c>
      <c r="AD274" s="5" t="str">
        <f t="shared" si="80"/>
        <v>Accurate Reports</v>
      </c>
      <c r="AF274" s="6"/>
    </row>
    <row r="275" ht="14.25" customHeight="1" spans="1:32">
      <c r="A275" s="8" t="s">
        <v>1132</v>
      </c>
      <c r="B275" s="8" t="s">
        <v>1133</v>
      </c>
      <c r="C275" s="9">
        <f t="shared" si="81"/>
        <v>12</v>
      </c>
      <c r="D275" s="8" t="s">
        <v>35</v>
      </c>
      <c r="E275" s="8" t="str">
        <f t="shared" si="82"/>
        <v>Tanya Saxena(E1189) - Finance</v>
      </c>
      <c r="F275" s="9" t="str">
        <f t="shared" si="83"/>
        <v>Tanya Saxena(E1189) -</v>
      </c>
      <c r="G275" s="9" t="str">
        <f t="shared" si="84"/>
        <v>Finance</v>
      </c>
      <c r="H275" s="9">
        <f t="shared" si="85"/>
        <v>21</v>
      </c>
      <c r="I275" s="9">
        <f t="shared" si="86"/>
        <v>8</v>
      </c>
      <c r="J275" s="8" t="s">
        <v>76</v>
      </c>
      <c r="K275" s="9" t="str">
        <f t="shared" si="87"/>
        <v>Pune</v>
      </c>
      <c r="L275" s="8" t="s">
        <v>1134</v>
      </c>
      <c r="M275" s="8" t="str">
        <f t="shared" si="88"/>
        <v>Saturday</v>
      </c>
      <c r="N275" s="8" t="str">
        <f t="shared" si="89"/>
        <v>Sat</v>
      </c>
      <c r="O275" s="8" t="str">
        <f t="shared" si="90"/>
        <v>day</v>
      </c>
      <c r="P275" s="8">
        <f t="shared" si="91"/>
        <v>5</v>
      </c>
      <c r="Q275" s="8">
        <f t="shared" si="92"/>
        <v>2023</v>
      </c>
      <c r="R275" s="8" t="s">
        <v>1135</v>
      </c>
      <c r="S275" s="8">
        <f t="shared" si="93"/>
        <v>8</v>
      </c>
      <c r="T275" s="8">
        <f t="shared" si="94"/>
        <v>27</v>
      </c>
      <c r="U275" s="8">
        <f t="shared" si="95"/>
        <v>38</v>
      </c>
      <c r="V275" s="8">
        <v>90718</v>
      </c>
      <c r="W275" s="8">
        <v>93892</v>
      </c>
      <c r="X275" s="9" t="str">
        <f t="shared" si="96"/>
        <v>Highe Target</v>
      </c>
      <c r="Y275" s="9" t="str">
        <f t="shared" si="97"/>
        <v>Highe target</v>
      </c>
      <c r="Z275" s="9" t="str" cm="1">
        <f t="array" ref="Z275">_xlfn.IFS(W275&lt;60000,"LOWERTarget",W275&lt;80000,"Medium Target",W275,"Highe Target")</f>
        <v>Highe Target</v>
      </c>
      <c r="AA275" s="8" t="s">
        <v>229</v>
      </c>
      <c r="AB275" s="5" t="str">
        <f t="shared" si="98"/>
        <v>STRONG PRESENTATION</v>
      </c>
      <c r="AC275" s="5" t="str">
        <f t="shared" si="99"/>
        <v>strong presentation</v>
      </c>
      <c r="AD275" s="5" t="str">
        <f t="shared" si="80"/>
        <v>Strong Presentation</v>
      </c>
      <c r="AF275" s="6"/>
    </row>
    <row r="276" ht="14.25" customHeight="1" spans="1:32">
      <c r="A276" s="8" t="s">
        <v>1136</v>
      </c>
      <c r="B276" s="8" t="s">
        <v>1006</v>
      </c>
      <c r="C276" s="9">
        <f t="shared" si="81"/>
        <v>10</v>
      </c>
      <c r="D276" s="8" t="s">
        <v>44</v>
      </c>
      <c r="E276" s="8" t="str">
        <f t="shared" si="82"/>
        <v>Varun Jain(E1289) - Marketing</v>
      </c>
      <c r="F276" s="9" t="str">
        <f t="shared" si="83"/>
        <v>Varun Jain(E1289) -</v>
      </c>
      <c r="G276" s="9" t="str">
        <f t="shared" si="84"/>
        <v>Marketing</v>
      </c>
      <c r="H276" s="9">
        <f t="shared" si="85"/>
        <v>19</v>
      </c>
      <c r="I276" s="9">
        <f t="shared" si="86"/>
        <v>10</v>
      </c>
      <c r="J276" s="8" t="s">
        <v>172</v>
      </c>
      <c r="K276" s="9" t="str">
        <f t="shared" si="87"/>
        <v>Hyder@bad</v>
      </c>
      <c r="L276" s="8" t="s">
        <v>1137</v>
      </c>
      <c r="M276" s="8" t="str">
        <f t="shared" si="88"/>
        <v>Wednesday</v>
      </c>
      <c r="N276" s="8" t="str">
        <f t="shared" si="89"/>
        <v>Wed</v>
      </c>
      <c r="O276" s="8" t="str">
        <f t="shared" si="90"/>
        <v>day</v>
      </c>
      <c r="P276" s="8">
        <f t="shared" si="91"/>
        <v>6</v>
      </c>
      <c r="Q276" s="8">
        <f t="shared" si="92"/>
        <v>2023</v>
      </c>
      <c r="R276" s="8" t="s">
        <v>1138</v>
      </c>
      <c r="S276" s="8">
        <f t="shared" si="93"/>
        <v>9</v>
      </c>
      <c r="T276" s="8">
        <f t="shared" si="94"/>
        <v>27</v>
      </c>
      <c r="U276" s="8">
        <f t="shared" si="95"/>
        <v>52</v>
      </c>
      <c r="V276" s="8">
        <v>87892</v>
      </c>
      <c r="W276" s="8">
        <v>93971</v>
      </c>
      <c r="X276" s="9" t="str">
        <f t="shared" si="96"/>
        <v>Highe Target</v>
      </c>
      <c r="Y276" s="9" t="str">
        <f t="shared" si="97"/>
        <v>Highe target</v>
      </c>
      <c r="Z276" s="9" t="str" cm="1">
        <f t="array" ref="Z276">_xlfn.IFS(W276&lt;60000,"LOWERTarget",W276&lt;80000,"Medium Target",W276,"Highe Target")</f>
        <v>Highe Target</v>
      </c>
      <c r="AA276" s="8" t="s">
        <v>64</v>
      </c>
      <c r="AB276" s="5" t="str">
        <f t="shared" si="98"/>
        <v>NEEDS IMPROVEMENT</v>
      </c>
      <c r="AC276" s="5" t="str">
        <f t="shared" si="99"/>
        <v>needs improvement</v>
      </c>
      <c r="AD276" s="5" t="str">
        <f t="shared" si="80"/>
        <v>Needs Improvement</v>
      </c>
      <c r="AF276" s="6"/>
    </row>
    <row r="277" ht="14.25" customHeight="1" spans="1:32">
      <c r="A277" s="8" t="s">
        <v>1139</v>
      </c>
      <c r="B277" s="8" t="s">
        <v>1140</v>
      </c>
      <c r="C277" s="9">
        <f t="shared" si="81"/>
        <v>12</v>
      </c>
      <c r="D277" s="8" t="s">
        <v>93</v>
      </c>
      <c r="E277" s="8" t="str">
        <f t="shared" si="82"/>
        <v>Aditya Reddy(E1128) - Sales</v>
      </c>
      <c r="F277" s="9" t="str">
        <f t="shared" si="83"/>
        <v>Aditya Reddy(E1128) -</v>
      </c>
      <c r="G277" s="9" t="str">
        <f t="shared" si="84"/>
        <v>Sales</v>
      </c>
      <c r="H277" s="9">
        <f t="shared" si="85"/>
        <v>21</v>
      </c>
      <c r="I277" s="9">
        <f t="shared" si="86"/>
        <v>6</v>
      </c>
      <c r="J277" s="8" t="s">
        <v>182</v>
      </c>
      <c r="K277" s="9" t="str">
        <f t="shared" si="87"/>
        <v>Kolk@ta</v>
      </c>
      <c r="L277" s="8" t="s">
        <v>1085</v>
      </c>
      <c r="M277" s="8" t="str">
        <f t="shared" si="88"/>
        <v>Wednesday</v>
      </c>
      <c r="N277" s="8" t="str">
        <f t="shared" si="89"/>
        <v>Wed</v>
      </c>
      <c r="O277" s="8" t="str">
        <f t="shared" si="90"/>
        <v>day</v>
      </c>
      <c r="P277" s="8">
        <f t="shared" si="91"/>
        <v>7</v>
      </c>
      <c r="Q277" s="8">
        <f t="shared" si="92"/>
        <v>2022</v>
      </c>
      <c r="R277" s="8" t="s">
        <v>1141</v>
      </c>
      <c r="S277" s="8">
        <f t="shared" si="93"/>
        <v>8</v>
      </c>
      <c r="T277" s="8">
        <f t="shared" si="94"/>
        <v>7</v>
      </c>
      <c r="U277" s="8">
        <f t="shared" si="95"/>
        <v>54</v>
      </c>
      <c r="V277" s="8">
        <v>108814</v>
      </c>
      <c r="W277" s="8">
        <v>94014</v>
      </c>
      <c r="X277" s="9" t="str">
        <f t="shared" si="96"/>
        <v>Highe Target</v>
      </c>
      <c r="Y277" s="9" t="str">
        <f t="shared" si="97"/>
        <v>Highe target</v>
      </c>
      <c r="Z277" s="9" t="str" cm="1">
        <f t="array" ref="Z277">_xlfn.IFS(W277&lt;60000,"LOWERTarget",W277&lt;80000,"Medium Target",W277,"Highe Target")</f>
        <v>Highe Target</v>
      </c>
      <c r="AA277" s="8" t="s">
        <v>160</v>
      </c>
      <c r="AB277" s="5" t="str">
        <f t="shared" si="98"/>
        <v>GOOD COMMUNICATION</v>
      </c>
      <c r="AC277" s="5" t="str">
        <f t="shared" si="99"/>
        <v>good communication</v>
      </c>
      <c r="AD277" s="5" t="str">
        <f t="shared" si="80"/>
        <v>Good Communication</v>
      </c>
      <c r="AF277" s="6"/>
    </row>
    <row r="278" ht="14.25" customHeight="1" spans="1:32">
      <c r="A278" s="8" t="s">
        <v>1142</v>
      </c>
      <c r="B278" s="8" t="s">
        <v>1143</v>
      </c>
      <c r="C278" s="9">
        <f t="shared" si="81"/>
        <v>10</v>
      </c>
      <c r="D278" s="8" t="s">
        <v>35</v>
      </c>
      <c r="E278" s="8" t="str">
        <f t="shared" si="82"/>
        <v>Rahul Iyer(E1096) - Finance</v>
      </c>
      <c r="F278" s="9" t="str">
        <f t="shared" si="83"/>
        <v>Rahul Iyer(E1096) -</v>
      </c>
      <c r="G278" s="9" t="str">
        <f t="shared" si="84"/>
        <v>Finance</v>
      </c>
      <c r="H278" s="9">
        <f t="shared" si="85"/>
        <v>19</v>
      </c>
      <c r="I278" s="9">
        <f t="shared" si="86"/>
        <v>8</v>
      </c>
      <c r="J278" s="8" t="s">
        <v>172</v>
      </c>
      <c r="K278" s="9" t="str">
        <f t="shared" si="87"/>
        <v>Hyder@bad</v>
      </c>
      <c r="L278" s="8" t="s">
        <v>1144</v>
      </c>
      <c r="M278" s="8" t="str">
        <f t="shared" si="88"/>
        <v>Thursday</v>
      </c>
      <c r="N278" s="8" t="str">
        <f t="shared" si="89"/>
        <v>Thu</v>
      </c>
      <c r="O278" s="8" t="str">
        <f t="shared" si="90"/>
        <v>day</v>
      </c>
      <c r="P278" s="8">
        <f t="shared" si="91"/>
        <v>8</v>
      </c>
      <c r="Q278" s="8">
        <f t="shared" si="92"/>
        <v>2021</v>
      </c>
      <c r="R278" s="8" t="s">
        <v>1145</v>
      </c>
      <c r="S278" s="8">
        <f t="shared" si="93"/>
        <v>9</v>
      </c>
      <c r="T278" s="8">
        <f t="shared" si="94"/>
        <v>55</v>
      </c>
      <c r="U278" s="8">
        <f t="shared" si="95"/>
        <v>32</v>
      </c>
      <c r="V278" s="8">
        <v>79137</v>
      </c>
      <c r="W278" s="8">
        <v>94062</v>
      </c>
      <c r="X278" s="9" t="str">
        <f t="shared" si="96"/>
        <v>Highe Target</v>
      </c>
      <c r="Y278" s="9" t="str">
        <f t="shared" si="97"/>
        <v>Highe target</v>
      </c>
      <c r="Z278" s="9" t="str" cm="1">
        <f t="array" ref="Z278">_xlfn.IFS(W278&lt;60000,"LOWERTarget",W278&lt;80000,"Medium Target",W278,"Highe Target")</f>
        <v>Highe Target</v>
      </c>
      <c r="AA278" s="8" t="s">
        <v>165</v>
      </c>
      <c r="AB278" s="5" t="str">
        <f t="shared" si="98"/>
        <v>   GOOD TEAMWORK   </v>
      </c>
      <c r="AC278" s="5" t="str">
        <f t="shared" si="99"/>
        <v>   good teamwork   </v>
      </c>
      <c r="AD278" s="5" t="str">
        <f t="shared" si="80"/>
        <v>   Good Teamwork   </v>
      </c>
      <c r="AF278" s="6"/>
    </row>
    <row r="279" ht="14.25" customHeight="1" spans="1:32">
      <c r="A279" s="8" t="s">
        <v>1146</v>
      </c>
      <c r="B279" s="8" t="s">
        <v>1147</v>
      </c>
      <c r="C279" s="9">
        <f t="shared" si="81"/>
        <v>11</v>
      </c>
      <c r="D279" s="8" t="s">
        <v>60</v>
      </c>
      <c r="E279" s="8" t="str">
        <f t="shared" si="82"/>
        <v>Tanya Singh(E1137) - HR</v>
      </c>
      <c r="F279" s="9" t="str">
        <f t="shared" si="83"/>
        <v>Tanya Singh(E1137) -</v>
      </c>
      <c r="G279" s="9" t="str">
        <f t="shared" si="84"/>
        <v>HR</v>
      </c>
      <c r="H279" s="9">
        <f t="shared" si="85"/>
        <v>20</v>
      </c>
      <c r="I279" s="9">
        <f t="shared" si="86"/>
        <v>3</v>
      </c>
      <c r="J279" s="8" t="s">
        <v>182</v>
      </c>
      <c r="K279" s="9" t="str">
        <f t="shared" si="87"/>
        <v>Kolk@ta</v>
      </c>
      <c r="L279" s="8" t="s">
        <v>1148</v>
      </c>
      <c r="M279" s="8" t="str">
        <f t="shared" si="88"/>
        <v>Friday</v>
      </c>
      <c r="N279" s="8" t="str">
        <f t="shared" si="89"/>
        <v>Fri</v>
      </c>
      <c r="O279" s="8" t="str">
        <f t="shared" si="90"/>
        <v>day</v>
      </c>
      <c r="P279" s="8">
        <f t="shared" si="91"/>
        <v>7</v>
      </c>
      <c r="Q279" s="8">
        <f t="shared" si="92"/>
        <v>2023</v>
      </c>
      <c r="R279" s="8" t="s">
        <v>1149</v>
      </c>
      <c r="S279" s="8">
        <f t="shared" si="93"/>
        <v>8</v>
      </c>
      <c r="T279" s="8">
        <f t="shared" si="94"/>
        <v>26</v>
      </c>
      <c r="U279" s="8">
        <f t="shared" si="95"/>
        <v>21</v>
      </c>
      <c r="V279" s="8">
        <v>108945</v>
      </c>
      <c r="W279" s="8">
        <v>94225</v>
      </c>
      <c r="X279" s="9" t="str">
        <f t="shared" si="96"/>
        <v>Highe Target</v>
      </c>
      <c r="Y279" s="9" t="str">
        <f t="shared" si="97"/>
        <v>Highe target</v>
      </c>
      <c r="Z279" s="9" t="str" cm="1">
        <f t="array" ref="Z279">_xlfn.IFS(W279&lt;60000,"LOWERTarget",W279&lt;80000,"Medium Target",W279,"Highe Target")</f>
        <v>Highe Target</v>
      </c>
      <c r="AA279" s="8" t="s">
        <v>39</v>
      </c>
      <c r="AB279" s="5" t="str">
        <f t="shared" si="98"/>
        <v>DETAILED ANALYSIS</v>
      </c>
      <c r="AC279" s="5" t="str">
        <f t="shared" si="99"/>
        <v>detailed analysis</v>
      </c>
      <c r="AD279" s="5" t="str">
        <f t="shared" si="80"/>
        <v>Detailed Analysis</v>
      </c>
      <c r="AF279" s="6"/>
    </row>
    <row r="280" ht="14.25" customHeight="1" spans="1:32">
      <c r="A280" s="8" t="s">
        <v>1150</v>
      </c>
      <c r="B280" s="8" t="s">
        <v>924</v>
      </c>
      <c r="C280" s="9">
        <f t="shared" si="81"/>
        <v>11</v>
      </c>
      <c r="D280" s="8" t="s">
        <v>44</v>
      </c>
      <c r="E280" s="8" t="str">
        <f t="shared" si="82"/>
        <v>Isha Chopra(E1071) - Marketing</v>
      </c>
      <c r="F280" s="9" t="str">
        <f t="shared" si="83"/>
        <v>Isha Chopra(E1071) -</v>
      </c>
      <c r="G280" s="9" t="str">
        <f t="shared" si="84"/>
        <v>Marketing</v>
      </c>
      <c r="H280" s="9">
        <f t="shared" si="85"/>
        <v>20</v>
      </c>
      <c r="I280" s="9">
        <f t="shared" si="86"/>
        <v>10</v>
      </c>
      <c r="J280" s="8" t="s">
        <v>76</v>
      </c>
      <c r="K280" s="9" t="str">
        <f t="shared" si="87"/>
        <v>Pune</v>
      </c>
      <c r="L280" s="8" t="s">
        <v>1151</v>
      </c>
      <c r="M280" s="8" t="str">
        <f t="shared" si="88"/>
        <v>Wednesday</v>
      </c>
      <c r="N280" s="8" t="str">
        <f t="shared" si="89"/>
        <v>Wed</v>
      </c>
      <c r="O280" s="8" t="str">
        <f t="shared" si="90"/>
        <v>day</v>
      </c>
      <c r="P280" s="8">
        <f t="shared" si="91"/>
        <v>6</v>
      </c>
      <c r="Q280" s="8">
        <f t="shared" si="92"/>
        <v>2023</v>
      </c>
      <c r="R280" s="8" t="s">
        <v>1152</v>
      </c>
      <c r="S280" s="8">
        <f t="shared" si="93"/>
        <v>9</v>
      </c>
      <c r="T280" s="8">
        <f t="shared" si="94"/>
        <v>40</v>
      </c>
      <c r="U280" s="8">
        <f t="shared" si="95"/>
        <v>57</v>
      </c>
      <c r="V280" s="8">
        <v>109439</v>
      </c>
      <c r="W280" s="8">
        <v>94310</v>
      </c>
      <c r="X280" s="9" t="str">
        <f t="shared" si="96"/>
        <v>Highe Target</v>
      </c>
      <c r="Y280" s="9" t="str">
        <f t="shared" si="97"/>
        <v>Highe target</v>
      </c>
      <c r="Z280" s="9" t="str" cm="1">
        <f t="array" ref="Z280">_xlfn.IFS(W280&lt;60000,"LOWERTarget",W280&lt;80000,"Medium Target",W280,"Highe Target")</f>
        <v>Highe Target</v>
      </c>
      <c r="AA280" s="8" t="s">
        <v>96</v>
      </c>
      <c r="AB280" s="5" t="str">
        <f t="shared" si="98"/>
        <v>FAST DELIVERY</v>
      </c>
      <c r="AC280" s="5" t="str">
        <f t="shared" si="99"/>
        <v>fast delivery</v>
      </c>
      <c r="AD280" s="5" t="str">
        <f t="shared" si="80"/>
        <v>Fast Delivery</v>
      </c>
      <c r="AF280" s="6"/>
    </row>
    <row r="281" ht="14.25" customHeight="1" spans="1:32">
      <c r="A281" s="8" t="s">
        <v>1153</v>
      </c>
      <c r="B281" s="8" t="s">
        <v>964</v>
      </c>
      <c r="C281" s="9">
        <f t="shared" si="81"/>
        <v>17</v>
      </c>
      <c r="D281" s="8" t="s">
        <v>44</v>
      </c>
      <c r="E281" s="8" t="str">
        <f t="shared" si="82"/>
        <v>Siddharth Agarwal(E1178) - Marketing</v>
      </c>
      <c r="F281" s="9" t="str">
        <f t="shared" si="83"/>
        <v>Siddharth Agarwal(E1178) -</v>
      </c>
      <c r="G281" s="9" t="str">
        <f t="shared" si="84"/>
        <v>Marketing</v>
      </c>
      <c r="H281" s="9">
        <f t="shared" si="85"/>
        <v>26</v>
      </c>
      <c r="I281" s="9">
        <f t="shared" si="86"/>
        <v>10</v>
      </c>
      <c r="J281" s="8" t="s">
        <v>153</v>
      </c>
      <c r="K281" s="9" t="str">
        <f t="shared" si="87"/>
        <v>Mumb@i</v>
      </c>
      <c r="L281" s="8" t="s">
        <v>1154</v>
      </c>
      <c r="M281" s="8" t="str">
        <f t="shared" si="88"/>
        <v>Saturday</v>
      </c>
      <c r="N281" s="8" t="str">
        <f t="shared" si="89"/>
        <v>Sat</v>
      </c>
      <c r="O281" s="8" t="str">
        <f t="shared" si="90"/>
        <v>day</v>
      </c>
      <c r="P281" s="8">
        <f t="shared" si="91"/>
        <v>6</v>
      </c>
      <c r="Q281" s="8">
        <f t="shared" si="92"/>
        <v>2021</v>
      </c>
      <c r="R281" s="8" t="s">
        <v>1155</v>
      </c>
      <c r="S281" s="8">
        <f t="shared" si="93"/>
        <v>8</v>
      </c>
      <c r="T281" s="8">
        <f t="shared" si="94"/>
        <v>16</v>
      </c>
      <c r="U281" s="8">
        <f t="shared" si="95"/>
        <v>13</v>
      </c>
      <c r="V281" s="8">
        <v>89518</v>
      </c>
      <c r="W281" s="8">
        <v>94720</v>
      </c>
      <c r="X281" s="9" t="str">
        <f t="shared" si="96"/>
        <v>Highe Target</v>
      </c>
      <c r="Y281" s="9" t="str">
        <f t="shared" si="97"/>
        <v>Highe target</v>
      </c>
      <c r="Z281" s="9" t="str" cm="1">
        <f t="array" ref="Z281">_xlfn.IFS(W281&lt;60000,"LOWERTarget",W281&lt;80000,"Medium Target",W281,"Highe Target")</f>
        <v>Highe Target</v>
      </c>
      <c r="AA281" s="8" t="s">
        <v>229</v>
      </c>
      <c r="AB281" s="5" t="str">
        <f t="shared" si="98"/>
        <v>STRONG PRESENTATION</v>
      </c>
      <c r="AC281" s="5" t="str">
        <f t="shared" si="99"/>
        <v>strong presentation</v>
      </c>
      <c r="AD281" s="5" t="str">
        <f t="shared" si="80"/>
        <v>Strong Presentation</v>
      </c>
      <c r="AF281" s="6"/>
    </row>
    <row r="282" ht="14.25" customHeight="1" spans="1:32">
      <c r="A282" s="8" t="s">
        <v>1156</v>
      </c>
      <c r="B282" s="8" t="s">
        <v>506</v>
      </c>
      <c r="C282" s="9">
        <f t="shared" si="81"/>
        <v>12</v>
      </c>
      <c r="D282" s="8" t="s">
        <v>35</v>
      </c>
      <c r="E282" s="8" t="str">
        <f t="shared" si="82"/>
        <v>Priya Chopra(E1092) - Finance</v>
      </c>
      <c r="F282" s="9" t="str">
        <f t="shared" si="83"/>
        <v>Priya Chopra(E1092) -</v>
      </c>
      <c r="G282" s="9" t="str">
        <f t="shared" si="84"/>
        <v>Finance</v>
      </c>
      <c r="H282" s="9">
        <f t="shared" si="85"/>
        <v>21</v>
      </c>
      <c r="I282" s="9">
        <f t="shared" si="86"/>
        <v>8</v>
      </c>
      <c r="J282" s="8" t="s">
        <v>61</v>
      </c>
      <c r="K282" s="9" t="str">
        <f t="shared" si="87"/>
        <v>Chenn@i</v>
      </c>
      <c r="L282" s="8" t="s">
        <v>1157</v>
      </c>
      <c r="M282" s="8" t="str">
        <f t="shared" si="88"/>
        <v>Monday</v>
      </c>
      <c r="N282" s="8" t="str">
        <f t="shared" si="89"/>
        <v>Mon</v>
      </c>
      <c r="O282" s="8" t="str">
        <f t="shared" si="90"/>
        <v>day</v>
      </c>
      <c r="P282" s="8">
        <f t="shared" si="91"/>
        <v>2</v>
      </c>
      <c r="Q282" s="8">
        <f t="shared" si="92"/>
        <v>2021</v>
      </c>
      <c r="R282" s="8" t="s">
        <v>1158</v>
      </c>
      <c r="S282" s="8">
        <f t="shared" si="93"/>
        <v>8</v>
      </c>
      <c r="T282" s="8">
        <f t="shared" si="94"/>
        <v>14</v>
      </c>
      <c r="U282" s="8">
        <f t="shared" si="95"/>
        <v>43</v>
      </c>
      <c r="V282" s="8">
        <v>81144</v>
      </c>
      <c r="W282" s="8">
        <v>94785</v>
      </c>
      <c r="X282" s="9" t="str">
        <f t="shared" si="96"/>
        <v>Highe Target</v>
      </c>
      <c r="Y282" s="9" t="str">
        <f t="shared" si="97"/>
        <v>Highe target</v>
      </c>
      <c r="Z282" s="9" t="str" cm="1">
        <f t="array" ref="Z282">_xlfn.IFS(W282&lt;60000,"LOWERTarget",W282&lt;80000,"Medium Target",W282,"Highe Target")</f>
        <v>Highe Target</v>
      </c>
      <c r="AA282" s="8" t="s">
        <v>118</v>
      </c>
      <c r="AB282" s="5" t="str">
        <f t="shared" si="98"/>
        <v>CUSTOMER FOCUSED</v>
      </c>
      <c r="AC282" s="5" t="str">
        <f t="shared" si="99"/>
        <v>customer focused</v>
      </c>
      <c r="AD282" s="5" t="str">
        <f t="shared" si="80"/>
        <v>Customer Focused</v>
      </c>
      <c r="AF282" s="6"/>
    </row>
    <row r="283" ht="14.25" customHeight="1" spans="1:32">
      <c r="A283" s="8" t="s">
        <v>1159</v>
      </c>
      <c r="B283" s="8" t="s">
        <v>552</v>
      </c>
      <c r="C283" s="9">
        <f t="shared" si="81"/>
        <v>11</v>
      </c>
      <c r="D283" s="8" t="s">
        <v>93</v>
      </c>
      <c r="E283" s="8" t="str">
        <f t="shared" si="82"/>
        <v>Harsh Kumar(E1279) - Sales</v>
      </c>
      <c r="F283" s="9" t="str">
        <f t="shared" si="83"/>
        <v>Harsh Kumar(E1279) -</v>
      </c>
      <c r="G283" s="9" t="str">
        <f t="shared" si="84"/>
        <v>Sales</v>
      </c>
      <c r="H283" s="9">
        <f t="shared" si="85"/>
        <v>20</v>
      </c>
      <c r="I283" s="9">
        <f t="shared" si="86"/>
        <v>6</v>
      </c>
      <c r="J283" s="8" t="s">
        <v>172</v>
      </c>
      <c r="K283" s="9" t="str">
        <f t="shared" si="87"/>
        <v>Hyder@bad</v>
      </c>
      <c r="L283" s="8" t="s">
        <v>1160</v>
      </c>
      <c r="M283" s="8" t="str">
        <f t="shared" si="88"/>
        <v>Tuesday</v>
      </c>
      <c r="N283" s="8" t="str">
        <f t="shared" si="89"/>
        <v>Tue</v>
      </c>
      <c r="O283" s="8" t="str">
        <f t="shared" si="90"/>
        <v>day</v>
      </c>
      <c r="P283" s="8">
        <f t="shared" si="91"/>
        <v>4</v>
      </c>
      <c r="Q283" s="8">
        <f t="shared" si="92"/>
        <v>2021</v>
      </c>
      <c r="R283" s="8" t="s">
        <v>1161</v>
      </c>
      <c r="S283" s="8">
        <f t="shared" si="93"/>
        <v>8</v>
      </c>
      <c r="T283" s="8">
        <f t="shared" si="94"/>
        <v>27</v>
      </c>
      <c r="U283" s="8">
        <f t="shared" si="95"/>
        <v>14</v>
      </c>
      <c r="V283" s="8">
        <v>84944</v>
      </c>
      <c r="W283" s="8">
        <v>94963</v>
      </c>
      <c r="X283" s="9" t="str">
        <f t="shared" si="96"/>
        <v>Highe Target</v>
      </c>
      <c r="Y283" s="9" t="str">
        <f t="shared" si="97"/>
        <v>Highe target</v>
      </c>
      <c r="Z283" s="9" t="str" cm="1">
        <f t="array" ref="Z283">_xlfn.IFS(W283&lt;60000,"LOWERTarget",W283&lt;80000,"Medium Target",W283,"Highe Target")</f>
        <v>Highe Target</v>
      </c>
      <c r="AA283" s="8" t="s">
        <v>48</v>
      </c>
      <c r="AB283" s="5" t="str">
        <f t="shared" si="98"/>
        <v>CREATIVE IDEAS</v>
      </c>
      <c r="AC283" s="5" t="str">
        <f t="shared" si="99"/>
        <v>creative ideas</v>
      </c>
      <c r="AD283" s="5" t="str">
        <f t="shared" si="80"/>
        <v>Creative Ideas</v>
      </c>
      <c r="AF283" s="6"/>
    </row>
    <row r="284" ht="14.25" customHeight="1" spans="1:32">
      <c r="A284" s="8" t="s">
        <v>1162</v>
      </c>
      <c r="B284" s="8" t="s">
        <v>456</v>
      </c>
      <c r="C284" s="9">
        <f t="shared" si="81"/>
        <v>13</v>
      </c>
      <c r="D284" s="8" t="s">
        <v>60</v>
      </c>
      <c r="E284" s="8" t="str">
        <f t="shared" si="82"/>
        <v>Rohan Agarwal(E1168) - HR</v>
      </c>
      <c r="F284" s="9" t="str">
        <f t="shared" si="83"/>
        <v>Rohan Agarwal(E1168) -</v>
      </c>
      <c r="G284" s="9" t="str">
        <f t="shared" si="84"/>
        <v>HR</v>
      </c>
      <c r="H284" s="9">
        <f t="shared" si="85"/>
        <v>22</v>
      </c>
      <c r="I284" s="9">
        <f t="shared" si="86"/>
        <v>3</v>
      </c>
      <c r="J284" s="8" t="s">
        <v>45</v>
      </c>
      <c r="K284" s="9" t="str">
        <f t="shared" si="87"/>
        <v>B@ngalore</v>
      </c>
      <c r="L284" s="8" t="s">
        <v>1163</v>
      </c>
      <c r="M284" s="8" t="str">
        <f t="shared" si="88"/>
        <v>Saturday</v>
      </c>
      <c r="N284" s="8" t="str">
        <f t="shared" si="89"/>
        <v>Sat</v>
      </c>
      <c r="O284" s="8" t="str">
        <f t="shared" si="90"/>
        <v>day</v>
      </c>
      <c r="P284" s="8">
        <f t="shared" si="91"/>
        <v>10</v>
      </c>
      <c r="Q284" s="8">
        <f t="shared" si="92"/>
        <v>2021</v>
      </c>
      <c r="R284" s="8" t="s">
        <v>1164</v>
      </c>
      <c r="S284" s="8">
        <f t="shared" si="93"/>
        <v>8</v>
      </c>
      <c r="T284" s="8">
        <f t="shared" si="94"/>
        <v>4</v>
      </c>
      <c r="U284" s="8">
        <f t="shared" si="95"/>
        <v>18</v>
      </c>
      <c r="V284" s="8">
        <v>86968</v>
      </c>
      <c r="W284" s="8">
        <v>95340</v>
      </c>
      <c r="X284" s="9" t="str">
        <f t="shared" si="96"/>
        <v>Highe Target</v>
      </c>
      <c r="Y284" s="9" t="str">
        <f t="shared" si="97"/>
        <v>Highe target</v>
      </c>
      <c r="Z284" s="9" t="str" cm="1">
        <f t="array" ref="Z284">_xlfn.IFS(W284&lt;60000,"LOWERTarget",W284&lt;80000,"Medium Target",W284,"Highe Target")</f>
        <v>Highe Target</v>
      </c>
      <c r="AA284" s="8" t="s">
        <v>229</v>
      </c>
      <c r="AB284" s="5" t="str">
        <f t="shared" si="98"/>
        <v>STRONG PRESENTATION</v>
      </c>
      <c r="AC284" s="5" t="str">
        <f t="shared" si="99"/>
        <v>strong presentation</v>
      </c>
      <c r="AD284" s="5" t="str">
        <f t="shared" si="80"/>
        <v>Strong Presentation</v>
      </c>
      <c r="AF284" s="6"/>
    </row>
    <row r="285" ht="14.25" customHeight="1" spans="1:32">
      <c r="A285" s="8" t="s">
        <v>1165</v>
      </c>
      <c r="B285" s="8" t="s">
        <v>1166</v>
      </c>
      <c r="C285" s="9">
        <f t="shared" si="81"/>
        <v>12</v>
      </c>
      <c r="D285" s="8" t="s">
        <v>35</v>
      </c>
      <c r="E285" s="8" t="str">
        <f t="shared" si="82"/>
        <v>Shreya Patel(E1134) - Finance</v>
      </c>
      <c r="F285" s="9" t="str">
        <f t="shared" si="83"/>
        <v>Shreya Patel(E1134) -</v>
      </c>
      <c r="G285" s="9" t="str">
        <f t="shared" si="84"/>
        <v>Finance</v>
      </c>
      <c r="H285" s="9">
        <f t="shared" si="85"/>
        <v>21</v>
      </c>
      <c r="I285" s="9">
        <f t="shared" si="86"/>
        <v>8</v>
      </c>
      <c r="J285" s="8" t="s">
        <v>36</v>
      </c>
      <c r="K285" s="9" t="str">
        <f t="shared" si="87"/>
        <v>Ahmed@bad</v>
      </c>
      <c r="L285" s="8" t="s">
        <v>1167</v>
      </c>
      <c r="M285" s="8" t="str">
        <f t="shared" si="88"/>
        <v>Saturday</v>
      </c>
      <c r="N285" s="8" t="str">
        <f t="shared" si="89"/>
        <v>Sat</v>
      </c>
      <c r="O285" s="8" t="str">
        <f t="shared" si="90"/>
        <v>day</v>
      </c>
      <c r="P285" s="8">
        <f t="shared" si="91"/>
        <v>8</v>
      </c>
      <c r="Q285" s="8">
        <f t="shared" si="92"/>
        <v>2024</v>
      </c>
      <c r="R285" s="8" t="s">
        <v>1168</v>
      </c>
      <c r="S285" s="8">
        <f t="shared" si="93"/>
        <v>8</v>
      </c>
      <c r="T285" s="8">
        <f t="shared" si="94"/>
        <v>3</v>
      </c>
      <c r="U285" s="8">
        <f t="shared" si="95"/>
        <v>30</v>
      </c>
      <c r="V285" s="8">
        <v>106848</v>
      </c>
      <c r="W285" s="8">
        <v>95528</v>
      </c>
      <c r="X285" s="9" t="str">
        <f t="shared" si="96"/>
        <v>Highe Target</v>
      </c>
      <c r="Y285" s="9" t="str">
        <f t="shared" si="97"/>
        <v>Highe target</v>
      </c>
      <c r="Z285" s="9" t="str" cm="1">
        <f t="array" ref="Z285">_xlfn.IFS(W285&lt;60000,"LOWERTarget",W285&lt;80000,"Medium Target",W285,"Highe Target")</f>
        <v>Highe Target</v>
      </c>
      <c r="AA285" s="8" t="s">
        <v>39</v>
      </c>
      <c r="AB285" s="5" t="str">
        <f t="shared" si="98"/>
        <v>DETAILED ANALYSIS</v>
      </c>
      <c r="AC285" s="5" t="str">
        <f t="shared" si="99"/>
        <v>detailed analysis</v>
      </c>
      <c r="AD285" s="5" t="str">
        <f t="shared" si="80"/>
        <v>Detailed Analysis</v>
      </c>
      <c r="AF285" s="6"/>
    </row>
    <row r="286" ht="14.25" customHeight="1" spans="1:32">
      <c r="A286" s="8" t="s">
        <v>1169</v>
      </c>
      <c r="B286" s="8" t="s">
        <v>341</v>
      </c>
      <c r="C286" s="9">
        <f t="shared" si="81"/>
        <v>15</v>
      </c>
      <c r="D286" s="8" t="s">
        <v>93</v>
      </c>
      <c r="E286" s="8" t="str">
        <f t="shared" si="82"/>
        <v>Siddharth Mehta(E1069) - Sales</v>
      </c>
      <c r="F286" s="9" t="str">
        <f t="shared" si="83"/>
        <v>Siddharth Mehta(E1069) -</v>
      </c>
      <c r="G286" s="9" t="str">
        <f t="shared" si="84"/>
        <v>Sales</v>
      </c>
      <c r="H286" s="9">
        <f t="shared" si="85"/>
        <v>24</v>
      </c>
      <c r="I286" s="9">
        <f t="shared" si="86"/>
        <v>6</v>
      </c>
      <c r="J286" s="8" t="s">
        <v>45</v>
      </c>
      <c r="K286" s="9" t="str">
        <f t="shared" si="87"/>
        <v>B@ngalore</v>
      </c>
      <c r="L286" s="8" t="s">
        <v>1170</v>
      </c>
      <c r="M286" s="8" t="str">
        <f t="shared" si="88"/>
        <v>Wednesday</v>
      </c>
      <c r="N286" s="8" t="str">
        <f t="shared" si="89"/>
        <v>Wed</v>
      </c>
      <c r="O286" s="8" t="str">
        <f t="shared" si="90"/>
        <v>day</v>
      </c>
      <c r="P286" s="8">
        <f t="shared" si="91"/>
        <v>7</v>
      </c>
      <c r="Q286" s="8">
        <f t="shared" si="92"/>
        <v>2021</v>
      </c>
      <c r="R286" s="8" t="s">
        <v>1171</v>
      </c>
      <c r="S286" s="8">
        <f t="shared" si="93"/>
        <v>10</v>
      </c>
      <c r="T286" s="8">
        <f t="shared" si="94"/>
        <v>49</v>
      </c>
      <c r="U286" s="8">
        <f t="shared" si="95"/>
        <v>19</v>
      </c>
      <c r="V286" s="8">
        <v>88657</v>
      </c>
      <c r="W286" s="8">
        <v>95724</v>
      </c>
      <c r="X286" s="9" t="str">
        <f t="shared" si="96"/>
        <v>Highe Target</v>
      </c>
      <c r="Y286" s="9" t="str">
        <f t="shared" si="97"/>
        <v>Highe target</v>
      </c>
      <c r="Z286" s="9" t="str" cm="1">
        <f t="array" ref="Z286">_xlfn.IFS(W286&lt;60000,"LOWERTarget",W286&lt;80000,"Medium Target",W286,"Highe Target")</f>
        <v>Highe Target</v>
      </c>
      <c r="AA286" s="8" t="s">
        <v>118</v>
      </c>
      <c r="AB286" s="5" t="str">
        <f t="shared" si="98"/>
        <v>CUSTOMER FOCUSED</v>
      </c>
      <c r="AC286" s="5" t="str">
        <f t="shared" si="99"/>
        <v>customer focused</v>
      </c>
      <c r="AD286" s="5" t="str">
        <f t="shared" si="80"/>
        <v>Customer Focused</v>
      </c>
      <c r="AF286" s="6"/>
    </row>
    <row r="287" ht="14.25" customHeight="1" spans="1:32">
      <c r="A287" s="8" t="s">
        <v>1172</v>
      </c>
      <c r="B287" s="8" t="s">
        <v>1173</v>
      </c>
      <c r="C287" s="9">
        <f t="shared" si="81"/>
        <v>11</v>
      </c>
      <c r="D287" s="8" t="s">
        <v>35</v>
      </c>
      <c r="E287" s="8" t="str">
        <f t="shared" si="82"/>
        <v>Kavita Shah(E1108) - Finance</v>
      </c>
      <c r="F287" s="9" t="str">
        <f t="shared" si="83"/>
        <v>Kavita Shah(E1108) -</v>
      </c>
      <c r="G287" s="9" t="str">
        <f t="shared" si="84"/>
        <v>Finance</v>
      </c>
      <c r="H287" s="9">
        <f t="shared" si="85"/>
        <v>20</v>
      </c>
      <c r="I287" s="9">
        <f t="shared" si="86"/>
        <v>8</v>
      </c>
      <c r="J287" s="8" t="s">
        <v>182</v>
      </c>
      <c r="K287" s="9" t="str">
        <f t="shared" si="87"/>
        <v>Kolk@ta</v>
      </c>
      <c r="L287" s="8" t="s">
        <v>1174</v>
      </c>
      <c r="M287" s="8" t="str">
        <f t="shared" si="88"/>
        <v>Friday</v>
      </c>
      <c r="N287" s="8" t="str">
        <f t="shared" si="89"/>
        <v>Fri</v>
      </c>
      <c r="O287" s="8" t="str">
        <f t="shared" si="90"/>
        <v>day</v>
      </c>
      <c r="P287" s="8">
        <f t="shared" si="91"/>
        <v>8</v>
      </c>
      <c r="Q287" s="8">
        <f t="shared" si="92"/>
        <v>2024</v>
      </c>
      <c r="R287" s="8" t="s">
        <v>1175</v>
      </c>
      <c r="S287" s="8">
        <f t="shared" si="93"/>
        <v>8</v>
      </c>
      <c r="T287" s="8">
        <f t="shared" si="94"/>
        <v>54</v>
      </c>
      <c r="U287" s="8">
        <f t="shared" si="95"/>
        <v>21</v>
      </c>
      <c r="V287" s="8">
        <v>115830</v>
      </c>
      <c r="W287" s="8">
        <v>95859</v>
      </c>
      <c r="X287" s="9" t="str">
        <f t="shared" si="96"/>
        <v>Highe Target</v>
      </c>
      <c r="Y287" s="9" t="str">
        <f t="shared" si="97"/>
        <v>Highe target</v>
      </c>
      <c r="Z287" s="9" t="str" cm="1">
        <f t="array" ref="Z287">_xlfn.IFS(W287&lt;60000,"LOWERTarget",W287&lt;80000,"Medium Target",W287,"Highe Target")</f>
        <v>Highe Target</v>
      </c>
      <c r="AA287" s="8" t="s">
        <v>39</v>
      </c>
      <c r="AB287" s="5" t="str">
        <f t="shared" si="98"/>
        <v>DETAILED ANALYSIS</v>
      </c>
      <c r="AC287" s="5" t="str">
        <f t="shared" si="99"/>
        <v>detailed analysis</v>
      </c>
      <c r="AD287" s="5" t="str">
        <f t="shared" si="80"/>
        <v>Detailed Analysis</v>
      </c>
      <c r="AF287" s="6"/>
    </row>
    <row r="288" ht="14.25" customHeight="1" spans="1:32">
      <c r="A288" s="8" t="s">
        <v>1176</v>
      </c>
      <c r="B288" s="8" t="s">
        <v>1177</v>
      </c>
      <c r="C288" s="9">
        <f t="shared" si="81"/>
        <v>12</v>
      </c>
      <c r="D288" s="8" t="s">
        <v>35</v>
      </c>
      <c r="E288" s="8" t="str">
        <f t="shared" si="82"/>
        <v>Deepak Mehta(E1209) - Finance</v>
      </c>
      <c r="F288" s="9" t="str">
        <f t="shared" si="83"/>
        <v>Deepak Mehta(E1209) -</v>
      </c>
      <c r="G288" s="9" t="str">
        <f t="shared" si="84"/>
        <v>Finance</v>
      </c>
      <c r="H288" s="9">
        <f t="shared" si="85"/>
        <v>21</v>
      </c>
      <c r="I288" s="9">
        <f t="shared" si="86"/>
        <v>8</v>
      </c>
      <c r="J288" s="8" t="s">
        <v>53</v>
      </c>
      <c r="K288" s="9" t="str">
        <f t="shared" si="87"/>
        <v>Delhi</v>
      </c>
      <c r="L288" s="8" t="s">
        <v>291</v>
      </c>
      <c r="M288" s="8" t="str">
        <f t="shared" si="88"/>
        <v>Monday</v>
      </c>
      <c r="N288" s="8" t="str">
        <f t="shared" si="89"/>
        <v>Mon</v>
      </c>
      <c r="O288" s="8" t="str">
        <f t="shared" si="90"/>
        <v>day</v>
      </c>
      <c r="P288" s="8">
        <f t="shared" si="91"/>
        <v>10</v>
      </c>
      <c r="Q288" s="8">
        <f t="shared" si="92"/>
        <v>2022</v>
      </c>
      <c r="R288" s="8" t="s">
        <v>1178</v>
      </c>
      <c r="S288" s="8">
        <f t="shared" si="93"/>
        <v>10</v>
      </c>
      <c r="T288" s="8">
        <f t="shared" si="94"/>
        <v>20</v>
      </c>
      <c r="U288" s="8">
        <f t="shared" si="95"/>
        <v>46</v>
      </c>
      <c r="V288" s="8">
        <v>104045</v>
      </c>
      <c r="W288" s="8">
        <v>96411</v>
      </c>
      <c r="X288" s="9" t="str">
        <f t="shared" si="96"/>
        <v>Highe Target</v>
      </c>
      <c r="Y288" s="9" t="str">
        <f t="shared" si="97"/>
        <v>Highe target</v>
      </c>
      <c r="Z288" s="9" t="str" cm="1">
        <f t="array" ref="Z288">_xlfn.IFS(W288&lt;60000,"LOWERTarget",W288&lt;80000,"Medium Target",W288,"Highe Target")</f>
        <v>Highe Target</v>
      </c>
      <c r="AA288" s="8" t="s">
        <v>39</v>
      </c>
      <c r="AB288" s="5" t="str">
        <f t="shared" si="98"/>
        <v>DETAILED ANALYSIS</v>
      </c>
      <c r="AC288" s="5" t="str">
        <f t="shared" si="99"/>
        <v>detailed analysis</v>
      </c>
      <c r="AD288" s="5" t="str">
        <f t="shared" si="80"/>
        <v>Detailed Analysis</v>
      </c>
      <c r="AF288" s="6"/>
    </row>
    <row r="289" ht="14.25" customHeight="1" spans="1:32">
      <c r="A289" s="8" t="s">
        <v>1179</v>
      </c>
      <c r="B289" s="8" t="s">
        <v>1180</v>
      </c>
      <c r="C289" s="9">
        <f t="shared" si="81"/>
        <v>12</v>
      </c>
      <c r="D289" s="8" t="s">
        <v>35</v>
      </c>
      <c r="E289" s="8" t="str">
        <f t="shared" si="82"/>
        <v>Varun Sharma(E1103) - Finance</v>
      </c>
      <c r="F289" s="9" t="str">
        <f t="shared" si="83"/>
        <v>Varun Sharma(E1103) -</v>
      </c>
      <c r="G289" s="9" t="str">
        <f t="shared" si="84"/>
        <v>Finance</v>
      </c>
      <c r="H289" s="9">
        <f t="shared" si="85"/>
        <v>21</v>
      </c>
      <c r="I289" s="9">
        <f t="shared" si="86"/>
        <v>8</v>
      </c>
      <c r="J289" s="8" t="s">
        <v>61</v>
      </c>
      <c r="K289" s="9" t="str">
        <f t="shared" si="87"/>
        <v>Chenn@i</v>
      </c>
      <c r="L289" s="8" t="s">
        <v>1181</v>
      </c>
      <c r="M289" s="8" t="str">
        <f t="shared" si="88"/>
        <v>Wednesday</v>
      </c>
      <c r="N289" s="8" t="str">
        <f t="shared" si="89"/>
        <v>Wed</v>
      </c>
      <c r="O289" s="8" t="str">
        <f t="shared" si="90"/>
        <v>day</v>
      </c>
      <c r="P289" s="8">
        <f t="shared" si="91"/>
        <v>4</v>
      </c>
      <c r="Q289" s="8">
        <f t="shared" si="92"/>
        <v>2024</v>
      </c>
      <c r="R289" s="8" t="s">
        <v>1182</v>
      </c>
      <c r="S289" s="8">
        <f t="shared" si="93"/>
        <v>10</v>
      </c>
      <c r="T289" s="8">
        <f t="shared" si="94"/>
        <v>42</v>
      </c>
      <c r="U289" s="8">
        <f t="shared" si="95"/>
        <v>31</v>
      </c>
      <c r="V289" s="8">
        <v>91443</v>
      </c>
      <c r="W289" s="8">
        <v>96705</v>
      </c>
      <c r="X289" s="9" t="str">
        <f t="shared" si="96"/>
        <v>Highe Target</v>
      </c>
      <c r="Y289" s="9" t="str">
        <f t="shared" si="97"/>
        <v>Highe target</v>
      </c>
      <c r="Z289" s="9" t="str" cm="1">
        <f t="array" ref="Z289">_xlfn.IFS(W289&lt;60000,"LOWERTarget",W289&lt;80000,"Medium Target",W289,"Highe Target")</f>
        <v>Highe Target</v>
      </c>
      <c r="AA289" s="8" t="s">
        <v>179</v>
      </c>
      <c r="AB289" s="5" t="str">
        <f t="shared" si="98"/>
        <v>HELPFUL ATTITUDE</v>
      </c>
      <c r="AC289" s="5" t="str">
        <f t="shared" si="99"/>
        <v>helpful attitude</v>
      </c>
      <c r="AD289" s="5" t="str">
        <f t="shared" si="80"/>
        <v>Helpful Attitude</v>
      </c>
      <c r="AF289" s="6"/>
    </row>
    <row r="290" ht="14.25" customHeight="1" spans="1:32">
      <c r="A290" s="8" t="s">
        <v>1183</v>
      </c>
      <c r="B290" s="8" t="s">
        <v>1184</v>
      </c>
      <c r="C290" s="9">
        <f t="shared" si="81"/>
        <v>10</v>
      </c>
      <c r="D290" s="8" t="s">
        <v>44</v>
      </c>
      <c r="E290" s="8" t="str">
        <f t="shared" si="82"/>
        <v>Yash Goyal(E1003) - Marketing</v>
      </c>
      <c r="F290" s="9" t="str">
        <f t="shared" si="83"/>
        <v>Yash Goyal(E1003) -</v>
      </c>
      <c r="G290" s="9" t="str">
        <f t="shared" si="84"/>
        <v>Marketing</v>
      </c>
      <c r="H290" s="9">
        <f t="shared" si="85"/>
        <v>19</v>
      </c>
      <c r="I290" s="9">
        <f t="shared" si="86"/>
        <v>10</v>
      </c>
      <c r="J290" s="8" t="s">
        <v>45</v>
      </c>
      <c r="K290" s="9" t="str">
        <f t="shared" si="87"/>
        <v>B@ngalore</v>
      </c>
      <c r="L290" s="8" t="s">
        <v>610</v>
      </c>
      <c r="M290" s="8" t="str">
        <f t="shared" si="88"/>
        <v>Sunday</v>
      </c>
      <c r="N290" s="8" t="str">
        <f t="shared" si="89"/>
        <v>Sun</v>
      </c>
      <c r="O290" s="8" t="str">
        <f t="shared" si="90"/>
        <v>day</v>
      </c>
      <c r="P290" s="8">
        <f t="shared" si="91"/>
        <v>7</v>
      </c>
      <c r="Q290" s="8">
        <f t="shared" si="92"/>
        <v>2023</v>
      </c>
      <c r="R290" s="8" t="s">
        <v>1185</v>
      </c>
      <c r="S290" s="8">
        <f t="shared" si="93"/>
        <v>10</v>
      </c>
      <c r="T290" s="8">
        <f t="shared" si="94"/>
        <v>17</v>
      </c>
      <c r="U290" s="8">
        <f t="shared" si="95"/>
        <v>51</v>
      </c>
      <c r="V290" s="8">
        <v>82395</v>
      </c>
      <c r="W290" s="8">
        <v>96970</v>
      </c>
      <c r="X290" s="9" t="str">
        <f t="shared" si="96"/>
        <v>Highe Target</v>
      </c>
      <c r="Y290" s="9" t="str">
        <f t="shared" si="97"/>
        <v>Highe target</v>
      </c>
      <c r="Z290" s="9" t="str" cm="1">
        <f t="array" ref="Z290">_xlfn.IFS(W290&lt;60000,"LOWERTarget",W290&lt;80000,"Medium Target",W290,"Highe Target")</f>
        <v>Highe Target</v>
      </c>
      <c r="AA290" s="8" t="s">
        <v>118</v>
      </c>
      <c r="AB290" s="5" t="str">
        <f t="shared" si="98"/>
        <v>CUSTOMER FOCUSED</v>
      </c>
      <c r="AC290" s="5" t="str">
        <f t="shared" si="99"/>
        <v>customer focused</v>
      </c>
      <c r="AD290" s="5" t="str">
        <f t="shared" si="80"/>
        <v>Customer Focused</v>
      </c>
      <c r="AF290" s="6"/>
    </row>
    <row r="291" ht="14.25" customHeight="1" spans="1:32">
      <c r="A291" s="8" t="s">
        <v>1186</v>
      </c>
      <c r="B291" s="8" t="s">
        <v>1187</v>
      </c>
      <c r="C291" s="9">
        <f t="shared" si="81"/>
        <v>11</v>
      </c>
      <c r="D291" s="8" t="s">
        <v>44</v>
      </c>
      <c r="E291" s="8" t="str">
        <f t="shared" si="82"/>
        <v>Nidhi Kumar(E1106) - Marketing</v>
      </c>
      <c r="F291" s="9" t="str">
        <f t="shared" si="83"/>
        <v>Nidhi Kumar(E1106) -</v>
      </c>
      <c r="G291" s="9" t="str">
        <f t="shared" si="84"/>
        <v>Marketing</v>
      </c>
      <c r="H291" s="9">
        <f t="shared" si="85"/>
        <v>20</v>
      </c>
      <c r="I291" s="9">
        <f t="shared" si="86"/>
        <v>10</v>
      </c>
      <c r="J291" s="8" t="s">
        <v>153</v>
      </c>
      <c r="K291" s="9" t="str">
        <f t="shared" si="87"/>
        <v>Mumb@i</v>
      </c>
      <c r="L291" s="8" t="s">
        <v>917</v>
      </c>
      <c r="M291" s="8" t="str">
        <f t="shared" si="88"/>
        <v>Thursday</v>
      </c>
      <c r="N291" s="8" t="str">
        <f t="shared" si="89"/>
        <v>Thu</v>
      </c>
      <c r="O291" s="8" t="str">
        <f t="shared" si="90"/>
        <v>day</v>
      </c>
      <c r="P291" s="8">
        <f t="shared" si="91"/>
        <v>9</v>
      </c>
      <c r="Q291" s="8">
        <f t="shared" si="92"/>
        <v>2021</v>
      </c>
      <c r="R291" s="8" t="s">
        <v>1188</v>
      </c>
      <c r="S291" s="8">
        <f t="shared" si="93"/>
        <v>10</v>
      </c>
      <c r="T291" s="8">
        <f t="shared" si="94"/>
        <v>37</v>
      </c>
      <c r="U291" s="8">
        <f t="shared" si="95"/>
        <v>21</v>
      </c>
      <c r="V291" s="8">
        <v>88573</v>
      </c>
      <c r="W291" s="8">
        <v>96996</v>
      </c>
      <c r="X291" s="9" t="str">
        <f t="shared" si="96"/>
        <v>Highe Target</v>
      </c>
      <c r="Y291" s="9" t="str">
        <f t="shared" si="97"/>
        <v>Highe target</v>
      </c>
      <c r="Z291" s="9" t="str" cm="1">
        <f t="array" ref="Z291">_xlfn.IFS(W291&lt;60000,"LOWERTarget",W291&lt;80000,"Medium Target",W291,"Highe Target")</f>
        <v>Highe Target</v>
      </c>
      <c r="AA291" s="8" t="s">
        <v>243</v>
      </c>
      <c r="AB291" s="5" t="str">
        <f t="shared" si="98"/>
        <v>POSITIVE ATTITUDE</v>
      </c>
      <c r="AC291" s="5" t="str">
        <f t="shared" si="99"/>
        <v>positive attitude</v>
      </c>
      <c r="AD291" s="5" t="str">
        <f t="shared" si="80"/>
        <v>Positive Attitude</v>
      </c>
      <c r="AF291" s="6"/>
    </row>
    <row r="292" ht="14.25" customHeight="1" spans="1:32">
      <c r="A292" s="8" t="s">
        <v>1189</v>
      </c>
      <c r="B292" s="8" t="s">
        <v>1190</v>
      </c>
      <c r="C292" s="9">
        <f t="shared" si="81"/>
        <v>13</v>
      </c>
      <c r="D292" s="8" t="s">
        <v>93</v>
      </c>
      <c r="E292" s="8" t="str">
        <f t="shared" si="82"/>
        <v>Isha Malhotra(E1107) - Sales</v>
      </c>
      <c r="F292" s="9" t="str">
        <f t="shared" si="83"/>
        <v>Isha Malhotra(E1107) -</v>
      </c>
      <c r="G292" s="9" t="str">
        <f t="shared" si="84"/>
        <v>Sales</v>
      </c>
      <c r="H292" s="9">
        <f t="shared" si="85"/>
        <v>22</v>
      </c>
      <c r="I292" s="9">
        <f t="shared" si="86"/>
        <v>6</v>
      </c>
      <c r="J292" s="8" t="s">
        <v>36</v>
      </c>
      <c r="K292" s="9" t="str">
        <f t="shared" si="87"/>
        <v>Ahmed@bad</v>
      </c>
      <c r="L292" s="8" t="s">
        <v>1191</v>
      </c>
      <c r="M292" s="8" t="str">
        <f t="shared" si="88"/>
        <v>Monday</v>
      </c>
      <c r="N292" s="8" t="str">
        <f t="shared" si="89"/>
        <v>Mon</v>
      </c>
      <c r="O292" s="8" t="str">
        <f t="shared" si="90"/>
        <v>day</v>
      </c>
      <c r="P292" s="8">
        <f t="shared" si="91"/>
        <v>2</v>
      </c>
      <c r="Q292" s="8">
        <f t="shared" si="92"/>
        <v>2021</v>
      </c>
      <c r="R292" s="8" t="s">
        <v>1192</v>
      </c>
      <c r="S292" s="8">
        <f t="shared" si="93"/>
        <v>10</v>
      </c>
      <c r="T292" s="8">
        <f t="shared" si="94"/>
        <v>9</v>
      </c>
      <c r="U292" s="8">
        <f t="shared" si="95"/>
        <v>26</v>
      </c>
      <c r="V292" s="8">
        <v>92193</v>
      </c>
      <c r="W292" s="8">
        <v>97077</v>
      </c>
      <c r="X292" s="9" t="str">
        <f t="shared" si="96"/>
        <v>Highe Target</v>
      </c>
      <c r="Y292" s="9" t="str">
        <f t="shared" si="97"/>
        <v>Highe target</v>
      </c>
      <c r="Z292" s="9" t="str" cm="1">
        <f t="array" ref="Z292">_xlfn.IFS(W292&lt;60000,"LOWERTarget",W292&lt;80000,"Medium Target",W292,"Highe Target")</f>
        <v>Highe Target</v>
      </c>
      <c r="AA292" s="8" t="s">
        <v>160</v>
      </c>
      <c r="AB292" s="5" t="str">
        <f t="shared" si="98"/>
        <v>GOOD COMMUNICATION</v>
      </c>
      <c r="AC292" s="5" t="str">
        <f t="shared" si="99"/>
        <v>good communication</v>
      </c>
      <c r="AD292" s="5" t="str">
        <f t="shared" si="80"/>
        <v>Good Communication</v>
      </c>
      <c r="AF292" s="6"/>
    </row>
    <row r="293" ht="14.25" customHeight="1" spans="1:32">
      <c r="A293" s="8" t="s">
        <v>1193</v>
      </c>
      <c r="B293" s="8" t="s">
        <v>570</v>
      </c>
      <c r="C293" s="9">
        <f t="shared" si="81"/>
        <v>10</v>
      </c>
      <c r="D293" s="8" t="s">
        <v>44</v>
      </c>
      <c r="E293" s="8" t="str">
        <f t="shared" si="82"/>
        <v>Pooja Nair(E1251) - Marketing</v>
      </c>
      <c r="F293" s="9" t="str">
        <f t="shared" si="83"/>
        <v>Pooja Nair(E1251) -</v>
      </c>
      <c r="G293" s="9" t="str">
        <f t="shared" si="84"/>
        <v>Marketing</v>
      </c>
      <c r="H293" s="9">
        <f t="shared" si="85"/>
        <v>19</v>
      </c>
      <c r="I293" s="9">
        <f t="shared" si="86"/>
        <v>10</v>
      </c>
      <c r="J293" s="8" t="s">
        <v>172</v>
      </c>
      <c r="K293" s="9" t="str">
        <f t="shared" si="87"/>
        <v>Hyder@bad</v>
      </c>
      <c r="L293" s="8" t="s">
        <v>1194</v>
      </c>
      <c r="M293" s="8" t="str">
        <f t="shared" si="88"/>
        <v>Sunday</v>
      </c>
      <c r="N293" s="8" t="str">
        <f t="shared" si="89"/>
        <v>Sun</v>
      </c>
      <c r="O293" s="8" t="str">
        <f t="shared" si="90"/>
        <v>day</v>
      </c>
      <c r="P293" s="8">
        <f t="shared" si="91"/>
        <v>11</v>
      </c>
      <c r="Q293" s="8">
        <f t="shared" si="92"/>
        <v>2021</v>
      </c>
      <c r="R293" s="8" t="s">
        <v>1195</v>
      </c>
      <c r="S293" s="8">
        <f t="shared" si="93"/>
        <v>9</v>
      </c>
      <c r="T293" s="8">
        <f t="shared" si="94"/>
        <v>12</v>
      </c>
      <c r="U293" s="8">
        <f t="shared" si="95"/>
        <v>59</v>
      </c>
      <c r="V293" s="8">
        <v>89752</v>
      </c>
      <c r="W293" s="8">
        <v>97357</v>
      </c>
      <c r="X293" s="9" t="str">
        <f t="shared" si="96"/>
        <v>Highe Target</v>
      </c>
      <c r="Y293" s="9" t="str">
        <f t="shared" si="97"/>
        <v>Highe target</v>
      </c>
      <c r="Z293" s="9" t="str" cm="1">
        <f t="array" ref="Z293">_xlfn.IFS(W293&lt;60000,"LOWERTarget",W293&lt;80000,"Medium Target",W293,"Highe Target")</f>
        <v>Highe Target</v>
      </c>
      <c r="AA293" s="8" t="s">
        <v>87</v>
      </c>
      <c r="AB293" s="5" t="str">
        <f t="shared" si="98"/>
        <v>EXCELLENT SERVICE</v>
      </c>
      <c r="AC293" s="5" t="str">
        <f t="shared" si="99"/>
        <v>excellent service</v>
      </c>
      <c r="AD293" s="5" t="str">
        <f t="shared" si="80"/>
        <v>Excellent Service</v>
      </c>
      <c r="AF293" s="6"/>
    </row>
    <row r="294" ht="14.25" customHeight="1" spans="1:32">
      <c r="A294" s="8" t="s">
        <v>1196</v>
      </c>
      <c r="B294" s="8" t="s">
        <v>1197</v>
      </c>
      <c r="C294" s="9">
        <f t="shared" si="81"/>
        <v>10</v>
      </c>
      <c r="D294" s="8" t="s">
        <v>44</v>
      </c>
      <c r="E294" s="8" t="str">
        <f t="shared" si="82"/>
        <v>Yash Verma(E1160) - Marketing</v>
      </c>
      <c r="F294" s="9" t="str">
        <f t="shared" si="83"/>
        <v>Yash Verma(E1160) -</v>
      </c>
      <c r="G294" s="9" t="str">
        <f t="shared" si="84"/>
        <v>Marketing</v>
      </c>
      <c r="H294" s="9">
        <f t="shared" si="85"/>
        <v>19</v>
      </c>
      <c r="I294" s="9">
        <f t="shared" si="86"/>
        <v>10</v>
      </c>
      <c r="J294" s="8" t="s">
        <v>36</v>
      </c>
      <c r="K294" s="9" t="str">
        <f t="shared" si="87"/>
        <v>Ahmed@bad</v>
      </c>
      <c r="L294" s="8" t="s">
        <v>1198</v>
      </c>
      <c r="M294" s="8" t="str">
        <f t="shared" si="88"/>
        <v>Wednesday</v>
      </c>
      <c r="N294" s="8" t="str">
        <f t="shared" si="89"/>
        <v>Wed</v>
      </c>
      <c r="O294" s="8" t="str">
        <f t="shared" si="90"/>
        <v>day</v>
      </c>
      <c r="P294" s="8">
        <f t="shared" si="91"/>
        <v>4</v>
      </c>
      <c r="Q294" s="8">
        <f t="shared" si="92"/>
        <v>2024</v>
      </c>
      <c r="R294" s="8" t="s">
        <v>1199</v>
      </c>
      <c r="S294" s="8">
        <f t="shared" si="93"/>
        <v>10</v>
      </c>
      <c r="T294" s="8">
        <f t="shared" si="94"/>
        <v>50</v>
      </c>
      <c r="U294" s="8">
        <f t="shared" si="95"/>
        <v>47</v>
      </c>
      <c r="V294" s="8">
        <v>86400</v>
      </c>
      <c r="W294" s="8">
        <v>98712</v>
      </c>
      <c r="X294" s="9" t="str">
        <f t="shared" si="96"/>
        <v>Highe Target</v>
      </c>
      <c r="Y294" s="9" t="str">
        <f t="shared" si="97"/>
        <v>Highe target</v>
      </c>
      <c r="Z294" s="9" t="str" cm="1">
        <f t="array" ref="Z294">_xlfn.IFS(W294&lt;60000,"LOWERTarget",W294&lt;80000,"Medium Target",W294,"Highe Target")</f>
        <v>Highe Target</v>
      </c>
      <c r="AA294" s="8" t="s">
        <v>179</v>
      </c>
      <c r="AB294" s="5" t="str">
        <f t="shared" si="98"/>
        <v>HELPFUL ATTITUDE</v>
      </c>
      <c r="AC294" s="5" t="str">
        <f t="shared" si="99"/>
        <v>helpful attitude</v>
      </c>
      <c r="AD294" s="5" t="str">
        <f t="shared" si="80"/>
        <v>Helpful Attitude</v>
      </c>
      <c r="AF294" s="6"/>
    </row>
    <row r="295" ht="14.25" customHeight="1" spans="1:32">
      <c r="A295" s="8" t="s">
        <v>1200</v>
      </c>
      <c r="B295" s="8" t="s">
        <v>1201</v>
      </c>
      <c r="C295" s="9">
        <f t="shared" si="81"/>
        <v>15</v>
      </c>
      <c r="D295" s="8" t="s">
        <v>60</v>
      </c>
      <c r="E295" s="8" t="str">
        <f t="shared" si="82"/>
        <v>Madhuri Agarwal(E1197) - HR</v>
      </c>
      <c r="F295" s="9" t="str">
        <f t="shared" si="83"/>
        <v>Madhuri Agarwal(E1197) -</v>
      </c>
      <c r="G295" s="9" t="str">
        <f t="shared" si="84"/>
        <v>HR</v>
      </c>
      <c r="H295" s="9">
        <f t="shared" si="85"/>
        <v>24</v>
      </c>
      <c r="I295" s="9">
        <f t="shared" si="86"/>
        <v>3</v>
      </c>
      <c r="J295" s="8" t="s">
        <v>76</v>
      </c>
      <c r="K295" s="9" t="str">
        <f t="shared" si="87"/>
        <v>Pune</v>
      </c>
      <c r="L295" s="8" t="s">
        <v>412</v>
      </c>
      <c r="M295" s="8" t="str">
        <f t="shared" si="88"/>
        <v>Tuesday</v>
      </c>
      <c r="N295" s="8" t="str">
        <f t="shared" si="89"/>
        <v>Tue</v>
      </c>
      <c r="O295" s="8" t="str">
        <f t="shared" si="90"/>
        <v>day</v>
      </c>
      <c r="P295" s="8">
        <f t="shared" si="91"/>
        <v>10</v>
      </c>
      <c r="Q295" s="8">
        <f t="shared" si="92"/>
        <v>2021</v>
      </c>
      <c r="R295" s="8" t="s">
        <v>1202</v>
      </c>
      <c r="S295" s="8">
        <f t="shared" si="93"/>
        <v>8</v>
      </c>
      <c r="T295" s="8">
        <f t="shared" si="94"/>
        <v>28</v>
      </c>
      <c r="U295" s="8">
        <f t="shared" si="95"/>
        <v>11</v>
      </c>
      <c r="V295" s="8">
        <v>113065</v>
      </c>
      <c r="W295" s="8">
        <v>98895</v>
      </c>
      <c r="X295" s="9" t="str">
        <f t="shared" si="96"/>
        <v>Highe Target</v>
      </c>
      <c r="Y295" s="9" t="str">
        <f t="shared" si="97"/>
        <v>Highe target</v>
      </c>
      <c r="Z295" s="9" t="str" cm="1">
        <f t="array" ref="Z295">_xlfn.IFS(W295&lt;60000,"LOWERTarget",W295&lt;80000,"Medium Target",W295,"Highe Target")</f>
        <v>Highe Target</v>
      </c>
      <c r="AA295" s="8" t="s">
        <v>160</v>
      </c>
      <c r="AB295" s="5" t="str">
        <f t="shared" si="98"/>
        <v>GOOD COMMUNICATION</v>
      </c>
      <c r="AC295" s="5" t="str">
        <f t="shared" si="99"/>
        <v>good communication</v>
      </c>
      <c r="AD295" s="5" t="str">
        <f t="shared" si="80"/>
        <v>Good Communication</v>
      </c>
      <c r="AF295" s="6"/>
    </row>
    <row r="296" ht="14.25" customHeight="1" spans="1:32">
      <c r="A296" s="8" t="s">
        <v>1203</v>
      </c>
      <c r="B296" s="8" t="s">
        <v>1204</v>
      </c>
      <c r="C296" s="9">
        <f t="shared" si="81"/>
        <v>12</v>
      </c>
      <c r="D296" s="8" t="s">
        <v>60</v>
      </c>
      <c r="E296" s="8" t="str">
        <f t="shared" si="82"/>
        <v>Ritika Verma(E1205) - HR</v>
      </c>
      <c r="F296" s="9" t="str">
        <f t="shared" si="83"/>
        <v>Ritika Verma(E1205) -</v>
      </c>
      <c r="G296" s="9" t="str">
        <f t="shared" si="84"/>
        <v>HR</v>
      </c>
      <c r="H296" s="9">
        <f t="shared" si="85"/>
        <v>21</v>
      </c>
      <c r="I296" s="9">
        <f t="shared" si="86"/>
        <v>3</v>
      </c>
      <c r="J296" s="8" t="s">
        <v>53</v>
      </c>
      <c r="K296" s="9" t="str">
        <f t="shared" si="87"/>
        <v>Delhi</v>
      </c>
      <c r="L296" s="8" t="s">
        <v>1205</v>
      </c>
      <c r="M296" s="8" t="str">
        <f t="shared" si="88"/>
        <v>Friday</v>
      </c>
      <c r="N296" s="8" t="str">
        <f t="shared" si="89"/>
        <v>Fri</v>
      </c>
      <c r="O296" s="8" t="str">
        <f t="shared" si="90"/>
        <v>day</v>
      </c>
      <c r="P296" s="8">
        <f t="shared" si="91"/>
        <v>12</v>
      </c>
      <c r="Q296" s="8">
        <f t="shared" si="92"/>
        <v>2021</v>
      </c>
      <c r="R296" s="8" t="s">
        <v>1206</v>
      </c>
      <c r="S296" s="8">
        <f t="shared" si="93"/>
        <v>10</v>
      </c>
      <c r="T296" s="8">
        <f t="shared" si="94"/>
        <v>39</v>
      </c>
      <c r="U296" s="8">
        <f t="shared" si="95"/>
        <v>46</v>
      </c>
      <c r="V296" s="8">
        <v>106239</v>
      </c>
      <c r="W296" s="8">
        <v>99113</v>
      </c>
      <c r="X296" s="9" t="str">
        <f t="shared" si="96"/>
        <v>Highe Target</v>
      </c>
      <c r="Y296" s="9" t="str">
        <f t="shared" si="97"/>
        <v>Highe target</v>
      </c>
      <c r="Z296" s="9" t="str" cm="1">
        <f t="array" ref="Z296">_xlfn.IFS(W296&lt;60000,"LOWERTarget",W296&lt;80000,"Medium Target",W296,"Highe Target")</f>
        <v>Highe Target</v>
      </c>
      <c r="AA296" s="8" t="s">
        <v>243</v>
      </c>
      <c r="AB296" s="5" t="str">
        <f t="shared" si="98"/>
        <v>POSITIVE ATTITUDE</v>
      </c>
      <c r="AC296" s="5" t="str">
        <f t="shared" si="99"/>
        <v>positive attitude</v>
      </c>
      <c r="AD296" s="5" t="str">
        <f t="shared" si="80"/>
        <v>Positive Attitude</v>
      </c>
      <c r="AF296" s="6"/>
    </row>
    <row r="297" ht="14.25" customHeight="1" spans="1:32">
      <c r="A297" s="8" t="s">
        <v>1207</v>
      </c>
      <c r="B297" s="8" t="s">
        <v>1208</v>
      </c>
      <c r="C297" s="9">
        <f t="shared" si="81"/>
        <v>10</v>
      </c>
      <c r="D297" s="8" t="s">
        <v>35</v>
      </c>
      <c r="E297" s="8" t="str">
        <f t="shared" si="82"/>
        <v>Neha Patel(E1211) - Finance</v>
      </c>
      <c r="F297" s="9" t="str">
        <f t="shared" si="83"/>
        <v>Neha Patel(E1211) -</v>
      </c>
      <c r="G297" s="9" t="str">
        <f t="shared" si="84"/>
        <v>Finance</v>
      </c>
      <c r="H297" s="9">
        <f t="shared" si="85"/>
        <v>19</v>
      </c>
      <c r="I297" s="9">
        <f t="shared" si="86"/>
        <v>8</v>
      </c>
      <c r="J297" s="8" t="s">
        <v>182</v>
      </c>
      <c r="K297" s="9" t="str">
        <f t="shared" si="87"/>
        <v>Kolk@ta</v>
      </c>
      <c r="L297" s="8" t="s">
        <v>1209</v>
      </c>
      <c r="M297" s="8" t="str">
        <f t="shared" si="88"/>
        <v>Friday</v>
      </c>
      <c r="N297" s="8" t="str">
        <f t="shared" si="89"/>
        <v>Fri</v>
      </c>
      <c r="O297" s="8" t="str">
        <f t="shared" si="90"/>
        <v>day</v>
      </c>
      <c r="P297" s="8">
        <f t="shared" si="91"/>
        <v>6</v>
      </c>
      <c r="Q297" s="8">
        <f t="shared" si="92"/>
        <v>2024</v>
      </c>
      <c r="R297" s="8" t="s">
        <v>1210</v>
      </c>
      <c r="S297" s="8">
        <f t="shared" si="93"/>
        <v>9</v>
      </c>
      <c r="T297" s="8">
        <f t="shared" si="94"/>
        <v>15</v>
      </c>
      <c r="U297" s="8">
        <f t="shared" si="95"/>
        <v>55</v>
      </c>
      <c r="V297" s="8">
        <v>94599</v>
      </c>
      <c r="W297" s="8">
        <v>99133</v>
      </c>
      <c r="X297" s="9" t="str">
        <f t="shared" si="96"/>
        <v>Highe Target</v>
      </c>
      <c r="Y297" s="9" t="str">
        <f t="shared" si="97"/>
        <v>Highe target</v>
      </c>
      <c r="Z297" s="9" t="str" cm="1">
        <f t="array" ref="Z297">_xlfn.IFS(W297&lt;60000,"LOWERTarget",W297&lt;80000,"Medium Target",W297,"Highe Target")</f>
        <v>Highe Target</v>
      </c>
      <c r="AA297" s="8" t="s">
        <v>243</v>
      </c>
      <c r="AB297" s="5" t="str">
        <f t="shared" si="98"/>
        <v>POSITIVE ATTITUDE</v>
      </c>
      <c r="AC297" s="5" t="str">
        <f t="shared" si="99"/>
        <v>positive attitude</v>
      </c>
      <c r="AD297" s="5" t="str">
        <f>PROPER(AA297)</f>
        <v>Positive Attitude</v>
      </c>
      <c r="AF297" s="6"/>
    </row>
    <row r="298" ht="14.25" customHeight="1" spans="1:32">
      <c r="A298" s="8" t="s">
        <v>1211</v>
      </c>
      <c r="B298" s="8" t="s">
        <v>1212</v>
      </c>
      <c r="C298" s="9">
        <f t="shared" si="81"/>
        <v>12</v>
      </c>
      <c r="D298" s="8" t="s">
        <v>93</v>
      </c>
      <c r="E298" s="8" t="str">
        <f t="shared" si="82"/>
        <v>Rahul Chopra(E1110) - Sales</v>
      </c>
      <c r="F298" s="9" t="str">
        <f t="shared" si="83"/>
        <v>Rahul Chopra(E1110) -</v>
      </c>
      <c r="G298" s="9" t="str">
        <f t="shared" si="84"/>
        <v>Sales</v>
      </c>
      <c r="H298" s="9">
        <f t="shared" si="85"/>
        <v>21</v>
      </c>
      <c r="I298" s="9">
        <f t="shared" si="86"/>
        <v>6</v>
      </c>
      <c r="J298" s="8" t="s">
        <v>76</v>
      </c>
      <c r="K298" s="9" t="str">
        <f t="shared" si="87"/>
        <v>Pune</v>
      </c>
      <c r="L298" s="8" t="s">
        <v>1213</v>
      </c>
      <c r="M298" s="8" t="str">
        <f t="shared" si="88"/>
        <v>Wednesday</v>
      </c>
      <c r="N298" s="8" t="str">
        <f t="shared" si="89"/>
        <v>Wed</v>
      </c>
      <c r="O298" s="8" t="str">
        <f t="shared" si="90"/>
        <v>day</v>
      </c>
      <c r="P298" s="8">
        <f t="shared" si="91"/>
        <v>6</v>
      </c>
      <c r="Q298" s="8">
        <f t="shared" si="92"/>
        <v>2023</v>
      </c>
      <c r="R298" s="8" t="s">
        <v>1214</v>
      </c>
      <c r="S298" s="8">
        <f t="shared" si="93"/>
        <v>8</v>
      </c>
      <c r="T298" s="8">
        <f t="shared" si="94"/>
        <v>44</v>
      </c>
      <c r="U298" s="8">
        <f t="shared" si="95"/>
        <v>19</v>
      </c>
      <c r="V298" s="8">
        <v>86103</v>
      </c>
      <c r="W298" s="8">
        <v>99206</v>
      </c>
      <c r="X298" s="9" t="str">
        <f t="shared" si="96"/>
        <v>Highe Target</v>
      </c>
      <c r="Y298" s="9" t="str">
        <f t="shared" si="97"/>
        <v>Highe target</v>
      </c>
      <c r="Z298" s="9" t="str" cm="1">
        <f t="array" ref="Z298">_xlfn.IFS(W298&lt;60000,"LOWERTarget",W298&lt;80000,"Medium Target",W298,"Highe Target")</f>
        <v>Highe Target</v>
      </c>
      <c r="AA298" s="8" t="s">
        <v>87</v>
      </c>
      <c r="AB298" s="5" t="str">
        <f t="shared" si="98"/>
        <v>EXCELLENT SERVICE</v>
      </c>
      <c r="AC298" s="5" t="str">
        <f t="shared" si="99"/>
        <v>excellent service</v>
      </c>
      <c r="AD298" s="5" t="str">
        <f>PROPER(AA298)</f>
        <v>Excellent Service</v>
      </c>
      <c r="AF298" s="6"/>
    </row>
    <row r="299" ht="14.25" customHeight="1" spans="1:32">
      <c r="A299" s="8" t="s">
        <v>1215</v>
      </c>
      <c r="B299" s="8" t="s">
        <v>1216</v>
      </c>
      <c r="C299" s="9">
        <f t="shared" si="81"/>
        <v>11</v>
      </c>
      <c r="D299" s="8" t="s">
        <v>93</v>
      </c>
      <c r="E299" s="8" t="str">
        <f t="shared" si="82"/>
        <v>Isha Saxena(E1174) - Sales</v>
      </c>
      <c r="F299" s="9" t="str">
        <f t="shared" si="83"/>
        <v>Isha Saxena(E1174) -</v>
      </c>
      <c r="G299" s="9" t="str">
        <f t="shared" si="84"/>
        <v>Sales</v>
      </c>
      <c r="H299" s="9">
        <f t="shared" si="85"/>
        <v>20</v>
      </c>
      <c r="I299" s="9">
        <f t="shared" si="86"/>
        <v>6</v>
      </c>
      <c r="J299" s="8" t="s">
        <v>61</v>
      </c>
      <c r="K299" s="9" t="str">
        <f t="shared" si="87"/>
        <v>Chenn@i</v>
      </c>
      <c r="L299" s="8" t="s">
        <v>1217</v>
      </c>
      <c r="M299" s="8" t="str">
        <f t="shared" si="88"/>
        <v>Monday</v>
      </c>
      <c r="N299" s="8" t="str">
        <f t="shared" si="89"/>
        <v>Mon</v>
      </c>
      <c r="O299" s="8" t="str">
        <f t="shared" si="90"/>
        <v>day</v>
      </c>
      <c r="P299" s="8">
        <f t="shared" si="91"/>
        <v>6</v>
      </c>
      <c r="Q299" s="8">
        <f t="shared" si="92"/>
        <v>2021</v>
      </c>
      <c r="R299" s="8" t="s">
        <v>200</v>
      </c>
      <c r="S299" s="8">
        <f t="shared" si="93"/>
        <v>8</v>
      </c>
      <c r="T299" s="8">
        <f t="shared" si="94"/>
        <v>17</v>
      </c>
      <c r="U299" s="8">
        <f t="shared" si="95"/>
        <v>28</v>
      </c>
      <c r="V299" s="8">
        <v>117973</v>
      </c>
      <c r="W299" s="8">
        <v>99330</v>
      </c>
      <c r="X299" s="9" t="str">
        <f t="shared" si="96"/>
        <v>Highe Target</v>
      </c>
      <c r="Y299" s="9" t="str">
        <f t="shared" si="97"/>
        <v>Highe target</v>
      </c>
      <c r="Z299" s="9" t="str" cm="1">
        <f t="array" ref="Z299">_xlfn.IFS(W299&lt;60000,"LOWERTarget",W299&lt;80000,"Medium Target",W299,"Highe Target")</f>
        <v>Highe Target</v>
      </c>
      <c r="AA299" s="8" t="s">
        <v>285</v>
      </c>
      <c r="AB299" s="5" t="str">
        <f t="shared" si="98"/>
        <v>QUICK RESPONSE</v>
      </c>
      <c r="AC299" s="5" t="str">
        <f t="shared" si="99"/>
        <v>quick response</v>
      </c>
      <c r="AD299" s="5" t="str">
        <f>PROPER(AA299)</f>
        <v>Quick Response</v>
      </c>
      <c r="AF299" s="6"/>
    </row>
    <row r="300" ht="14.25" customHeight="1" spans="1:32">
      <c r="A300" s="8" t="s">
        <v>1218</v>
      </c>
      <c r="B300" s="8" t="s">
        <v>1219</v>
      </c>
      <c r="C300" s="9">
        <f t="shared" si="81"/>
        <v>12</v>
      </c>
      <c r="D300" s="8" t="s">
        <v>60</v>
      </c>
      <c r="E300" s="8" t="str">
        <f t="shared" si="82"/>
        <v>Nidhi Bansal(E1062) - HR</v>
      </c>
      <c r="F300" s="9" t="str">
        <f t="shared" si="83"/>
        <v>Nidhi Bansal(E1062) -</v>
      </c>
      <c r="G300" s="9" t="str">
        <f t="shared" si="84"/>
        <v>HR</v>
      </c>
      <c r="H300" s="9">
        <f t="shared" si="85"/>
        <v>21</v>
      </c>
      <c r="I300" s="9">
        <f t="shared" si="86"/>
        <v>3</v>
      </c>
      <c r="J300" s="8" t="s">
        <v>36</v>
      </c>
      <c r="K300" s="9" t="str">
        <f t="shared" si="87"/>
        <v>Ahmed@bad</v>
      </c>
      <c r="L300" s="8" t="s">
        <v>1220</v>
      </c>
      <c r="M300" s="8" t="str">
        <f t="shared" si="88"/>
        <v>Sunday</v>
      </c>
      <c r="N300" s="8" t="str">
        <f t="shared" si="89"/>
        <v>Sun</v>
      </c>
      <c r="O300" s="8" t="str">
        <f t="shared" si="90"/>
        <v>day</v>
      </c>
      <c r="P300" s="8">
        <f t="shared" si="91"/>
        <v>9</v>
      </c>
      <c r="Q300" s="8">
        <f t="shared" si="92"/>
        <v>2021</v>
      </c>
      <c r="R300" s="8" t="s">
        <v>1221</v>
      </c>
      <c r="S300" s="8">
        <f t="shared" si="93"/>
        <v>10</v>
      </c>
      <c r="T300" s="8">
        <f t="shared" si="94"/>
        <v>34</v>
      </c>
      <c r="U300" s="8">
        <f t="shared" si="95"/>
        <v>1</v>
      </c>
      <c r="V300" s="8">
        <v>110258</v>
      </c>
      <c r="W300" s="8">
        <v>99436</v>
      </c>
      <c r="X300" s="9" t="str">
        <f t="shared" si="96"/>
        <v>Highe Target</v>
      </c>
      <c r="Y300" s="9" t="str">
        <f t="shared" si="97"/>
        <v>Highe target</v>
      </c>
      <c r="Z300" s="9" t="str" cm="1">
        <f t="array" ref="Z300">_xlfn.IFS(W300&lt;60000,"LOWERTarget",W300&lt;80000,"Medium Target",W300,"Highe Target")</f>
        <v>Highe Target</v>
      </c>
      <c r="AA300" s="8" t="s">
        <v>79</v>
      </c>
      <c r="AB300" s="5" t="str">
        <f t="shared" si="98"/>
        <v>EXCELLENT LEADERSHIP</v>
      </c>
      <c r="AC300" s="5" t="str">
        <f t="shared" si="99"/>
        <v>excellent leadership</v>
      </c>
      <c r="AD300" s="5" t="str">
        <f>PROPER(AA300)</f>
        <v>Excellent Leadership</v>
      </c>
      <c r="AF300" s="6"/>
    </row>
    <row r="301" ht="14.25" customHeight="1" spans="1:32">
      <c r="A301" s="8" t="s">
        <v>1222</v>
      </c>
      <c r="B301" s="8" t="s">
        <v>1223</v>
      </c>
      <c r="C301" s="9">
        <f t="shared" si="81"/>
        <v>14</v>
      </c>
      <c r="D301" s="8" t="s">
        <v>93</v>
      </c>
      <c r="E301" s="8" t="str">
        <f t="shared" si="82"/>
        <v>Madhuri Chopra(E1295) - Sales</v>
      </c>
      <c r="F301" s="9" t="str">
        <f t="shared" si="83"/>
        <v>Madhuri Chopra(E1295) -</v>
      </c>
      <c r="G301" s="9" t="str">
        <f t="shared" si="84"/>
        <v>Sales</v>
      </c>
      <c r="H301" s="9">
        <f t="shared" si="85"/>
        <v>23</v>
      </c>
      <c r="I301" s="9">
        <f t="shared" si="86"/>
        <v>6</v>
      </c>
      <c r="J301" s="8" t="s">
        <v>172</v>
      </c>
      <c r="K301" s="9" t="str">
        <f t="shared" si="87"/>
        <v>Hyder@bad</v>
      </c>
      <c r="L301" s="8" t="s">
        <v>1224</v>
      </c>
      <c r="M301" s="8" t="str">
        <f t="shared" si="88"/>
        <v>Saturday</v>
      </c>
      <c r="N301" s="8" t="str">
        <f t="shared" si="89"/>
        <v>Sat</v>
      </c>
      <c r="O301" s="8" t="str">
        <f t="shared" si="90"/>
        <v>day</v>
      </c>
      <c r="P301" s="8">
        <f t="shared" si="91"/>
        <v>12</v>
      </c>
      <c r="Q301" s="8">
        <f t="shared" si="92"/>
        <v>2024</v>
      </c>
      <c r="R301" s="8" t="s">
        <v>1225</v>
      </c>
      <c r="S301" s="8">
        <f t="shared" si="93"/>
        <v>10</v>
      </c>
      <c r="T301" s="8">
        <f t="shared" si="94"/>
        <v>38</v>
      </c>
      <c r="U301" s="8">
        <f t="shared" si="95"/>
        <v>40</v>
      </c>
      <c r="V301" s="8">
        <v>90495</v>
      </c>
      <c r="W301" s="8">
        <v>99926</v>
      </c>
      <c r="X301" s="9" t="str">
        <f t="shared" si="96"/>
        <v>Highe Target</v>
      </c>
      <c r="Y301" s="9" t="str">
        <f t="shared" si="97"/>
        <v>Highe target</v>
      </c>
      <c r="Z301" s="9" t="str" cm="1">
        <f t="array" ref="Z301">_xlfn.IFS(W301&lt;60000,"LOWERTarget",W301&lt;80000,"Medium Target",W301,"Highe Target")</f>
        <v>Highe Target</v>
      </c>
      <c r="AA301" s="8" t="s">
        <v>160</v>
      </c>
      <c r="AB301" s="5" t="str">
        <f t="shared" si="98"/>
        <v>GOOD COMMUNICATION</v>
      </c>
      <c r="AC301" s="5" t="str">
        <f t="shared" si="99"/>
        <v>good communication</v>
      </c>
      <c r="AD301" s="5" t="str">
        <f>PROPER(AA301)</f>
        <v>Good Communication</v>
      </c>
      <c r="AF301" s="6"/>
    </row>
    <row r="302" ht="14.25" customHeight="1" spans="1:32">
      <c r="V302">
        <f>SUM(V2:V301)</f>
        <v>21622710</v>
      </c>
      <c r="W302">
        <f>SUM(W2:W301)</f>
        <v>21015519</v>
      </c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H5:AJ5"/>
    <mergeCell ref="AH15:AJ15"/>
  </mergeCells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singh</cp:lastModifiedBy>
  <dcterms:created xsi:type="dcterms:W3CDTF">2026-08-06T06:11:00Z</dcterms:created>
  <dcterms:modified xsi:type="dcterms:W3CDTF">2026-08-12T07:24:50Z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0FAAB6CCEC874CF7B9A24F5DA0F4E606_12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