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18350" windowHeight="6800"/>
  </bookViews>
  <sheets>
    <sheet name="Sheet1" sheetId="1" r:id="rId1"/>
  </sheets>
  <definedNames>
    <definedName name="Threshold1">Sheet1!$H$4</definedName>
    <definedName name="Threshold2">Sheet1!$H$5</definedName>
    <definedName name="Yellow_High">Sheet1!$H$2</definedName>
    <definedName name="Yellow_Low">Sheet1!$H$3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<sst xmlns="http://schemas.openxmlformats.org/spreadsheetml/2006/main" count="19" uniqueCount="19">
  <si>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Footballer</t>
  </si>
  <si>
    <t>Salary p.m.</t>
  </si>
  <si>
    <t>Yellow Cards</t>
  </si>
  <si>
    <t>Red Cards</t>
  </si>
  <si>
    <t>Action to take</t>
  </si>
  <si>
    <t>Wayne Rooney</t>
  </si>
  <si>
    <t>Yellow High</t>
  </si>
  <si>
    <t>Robin van Persie</t>
  </si>
  <si>
    <t>Yellow Low</t>
  </si>
  <si>
    <t>Lionel Messi</t>
  </si>
  <si>
    <t>Threshold1</t>
  </si>
  <si>
    <t>Cristiano Ronaldo</t>
  </si>
  <si>
    <t>Threshold2</t>
  </si>
  <si>
    <t>Fernando Torres</t>
  </si>
  <si>
    <t>Gareth Bale</t>
  </si>
  <si>
    <t>David Silva</t>
  </si>
  <si>
    <t>Frank Lampard</t>
  </si>
  <si>
    <t>Carlos Tevez</t>
  </si>
  <si>
    <t>Didier Drogba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</si>
</sst>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£&quot;#,##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 indent="1"/>
    </xf>
    <xf numFmtId="0" fontId="0" fillId="0" borderId="1" xfId="0" applyBorder="1"/>
    <xf numFmtId="180" fontId="0" fillId="0" borderId="1" xfId="0" applyNumberFormat="1" applyBorder="1" applyAlignment="1">
      <alignment horizontal="right" indent="1"/>
    </xf>
    <xf numFmtId="0" fontId="0" fillId="0" borderId="1" xfId="0" applyBorder="1" applyAlignment="1">
      <alignment horizontal="right" indent="1"/>
    </xf>
    <xf numFmtId="9" fontId="0" fillId="2" borderId="1" xfId="0" applyNumberFormat="1" applyFill="1" applyBorder="1"/>
    <xf numFmtId="0" fontId="0" fillId="3" borderId="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topLeftCell="E1" workbookViewId="0">
      <selection activeCell="L6" sqref="L6"/>
    </sheetView>
  </sheetViews>
  <sheetFormatPr defaultColWidth="9" defaultRowHeight="14.5" outlineLevelCol="7"/>
  <cols>
    <col min="1" max="1" width="15.7090909090909" customWidth="1"/>
    <col min="2" max="2" width="11.8545454545455" customWidth="1"/>
    <col min="3" max="3" width="12.8545454545455" customWidth="1"/>
    <col min="4" max="4" width="12.2818181818182" customWidth="1"/>
    <col min="5" max="5" width="14.4272727272727" customWidth="1"/>
    <col min="7" max="7" width="14.1363636363636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8">
      <c r="A2" s="3" t="s">
        <v>5</v>
      </c>
      <c r="B2" s="4">
        <v>85000</v>
      </c>
      <c r="C2" s="5">
        <v>8</v>
      </c>
      <c r="D2" s="5">
        <v>0</v>
      </c>
      <c r="E2" s="4" t="str" cm="1">
        <f t="array" ref="E2">_xlfn.IFS(C2&gt;=30,"Fine -"&amp;TEXT(B2*10%,"£#,##0"),C2&gt;=10,"Fine of "&amp;TEXT(B2*2%,"£#,##0"),C2&lt;10,"No Action")</f>
        <v>No Action</v>
      </c>
      <c r="G2" t="s">
        <v>6</v>
      </c>
      <c r="H2" s="6">
        <v>0.1</v>
      </c>
    </row>
    <row r="3" spans="1:8">
      <c r="A3" s="3" t="s">
        <v>7</v>
      </c>
      <c r="B3" s="4">
        <v>87500</v>
      </c>
      <c r="C3" s="5">
        <v>4</v>
      </c>
      <c r="D3" s="5">
        <v>0</v>
      </c>
      <c r="E3" s="4" t="str" cm="1">
        <f t="array" ref="E3">_xlfn.IFS(C3&gt;=30,"Fine -"&amp;TEXT(B3*10%,"£#,##0"),C3&gt;=10,"Fine of "&amp;TEXT(B3*2%,"£#,##0"),C3&lt;10,"No Action")</f>
        <v>No Action</v>
      </c>
      <c r="G3" t="s">
        <v>8</v>
      </c>
      <c r="H3" s="6">
        <v>0.02</v>
      </c>
    </row>
    <row r="4" spans="1:8">
      <c r="A4" s="3" t="s">
        <v>9</v>
      </c>
      <c r="B4" s="4">
        <v>92300</v>
      </c>
      <c r="C4" s="5">
        <v>18</v>
      </c>
      <c r="D4" s="5">
        <v>2</v>
      </c>
      <c r="E4" s="4" t="str" cm="1">
        <f t="array" ref="E4">_xlfn.IFS(C4&gt;=30,"Fine -"&amp;TEXT(B4*10%,"£#,##0"),C4&gt;=10,"Fine of "&amp;TEXT(B4*2%,"£#,##0"),C4&lt;10,"No Action")</f>
        <v>Fine of £1,846</v>
      </c>
      <c r="G4" t="s">
        <v>10</v>
      </c>
      <c r="H4" s="7">
        <v>30</v>
      </c>
    </row>
    <row r="5" spans="1:8">
      <c r="A5" s="3" t="s">
        <v>11</v>
      </c>
      <c r="B5" s="4">
        <v>98600</v>
      </c>
      <c r="C5" s="5">
        <v>25</v>
      </c>
      <c r="D5" s="5">
        <v>6</v>
      </c>
      <c r="E5" s="4" t="str" cm="1">
        <f t="array" ref="E5">_xlfn.IFS(C5&gt;=30,"Fine -"&amp;TEXT(B5*10%,"£#,##0"),C5&gt;=10,"Fine of "&amp;TEXT(B5*2%,"£#,##0"),C5&lt;10,"No Action")</f>
        <v>Fine of £1,972</v>
      </c>
      <c r="G5" t="s">
        <v>12</v>
      </c>
      <c r="H5" s="7">
        <v>10</v>
      </c>
    </row>
    <row r="6" spans="1:8">
      <c r="A6" s="3" t="s">
        <v>13</v>
      </c>
      <c r="B6" s="4">
        <v>74500</v>
      </c>
      <c r="C6" s="5">
        <v>7</v>
      </c>
      <c r="D6" s="5">
        <v>0</v>
      </c>
      <c r="E6" s="4" t="str" cm="1">
        <f t="array" ref="E6">_xlfn.IFS(C6&gt;=30,"Fine -"&amp;TEXT(B6*10%,"£#,##0"),C6&gt;=10,"Fine of "&amp;TEXT(B6*2%,"£#,##0"),C6&lt;10,"No Action")</f>
        <v>No Action</v>
      </c>
    </row>
    <row r="7" spans="1:8">
      <c r="A7" s="3" t="s">
        <v>14</v>
      </c>
      <c r="B7" s="4">
        <v>38000</v>
      </c>
      <c r="C7" s="5">
        <v>3</v>
      </c>
      <c r="D7" s="5">
        <v>0</v>
      </c>
      <c r="E7" s="4" t="str" cm="1">
        <f t="array" ref="E7">_xlfn.IFS(C7&gt;=30,"Fine -"&amp;TEXT(B7*10%,"£#,##0"),C7&gt;=10,"Fine of "&amp;TEXT(B7*2%,"£#,##0"),C7&lt;10,"No Action")</f>
        <v>No Action</v>
      </c>
    </row>
    <row r="8" spans="1:8">
      <c r="A8" s="3" t="s">
        <v>15</v>
      </c>
      <c r="B8" s="4">
        <v>46400</v>
      </c>
      <c r="C8" s="5">
        <v>5</v>
      </c>
      <c r="D8" s="5">
        <v>1</v>
      </c>
      <c r="E8" s="4" t="str" cm="1">
        <f t="array" ref="E8">_xlfn.IFS(C8&gt;=30,"Fine -"&amp;TEXT(B8*10%,"£#,##0"),C8&gt;=10,"Fine of "&amp;TEXT(B8*2%,"£#,##0"),C8&lt;10,"No Action")</f>
        <v>No Action</v>
      </c>
    </row>
    <row r="9" spans="1:8">
      <c r="A9" s="3" t="s">
        <v>16</v>
      </c>
      <c r="B9" s="4">
        <v>64500</v>
      </c>
      <c r="C9" s="5">
        <v>14</v>
      </c>
      <c r="D9" s="5">
        <v>2</v>
      </c>
      <c r="E9" s="4" t="str" cm="1">
        <f t="array" ref="E9">_xlfn.IFS(C9&gt;=30,"Fine -"&amp;TEXT(B9*10%,"£#,##0"),C9&gt;=10,"Fine of "&amp;TEXT(B9*2%,"£#,##0"),C9&lt;10,"No Action")</f>
        <v>Fine of £1,290</v>
      </c>
    </row>
    <row r="10" spans="1:8">
      <c r="A10" s="3" t="s">
        <v>17</v>
      </c>
      <c r="B10" s="4">
        <v>78300</v>
      </c>
      <c r="C10" s="5">
        <v>58</v>
      </c>
      <c r="D10" s="5">
        <v>19</v>
      </c>
      <c r="E10" s="4" t="str" cm="1">
        <f t="array" ref="E10">_xlfn.IFS(C10&gt;=30,"Fine -"&amp;TEXT(B10*10%,"£#,##0"),C10&gt;=10,"Fine of "&amp;TEXT(B10*2%,"£#,##0"),C10&lt;10,"No Action")</f>
        <v>Fine -£7,830</v>
      </c>
    </row>
    <row r="11" spans="1:8">
      <c r="A11" s="3" t="s">
        <v>18</v>
      </c>
      <c r="B11" s="4">
        <v>66350</v>
      </c>
      <c r="C11" s="5">
        <v>12</v>
      </c>
      <c r="D11" s="5">
        <v>2</v>
      </c>
      <c r="E11" s="4" t="str" cm="1">
        <f t="array" ref="E11">_xlfn.IFS(C11&gt;=30,"Fine -"&amp;TEXT(B11*10%,"£#,##0"),C11&gt;=10,"Fine of "&amp;TEXT(B11*2%,"£#,##0"),C11&lt;10,"No Action")</f>
        <v>Fine of £1,327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JennyOwl</dc:creator>
  <cp:lastModifiedBy>Suraj singh</cp:lastModifiedBy>
  <dcterms:created xsi:type="dcterms:W3CDTF">2013-05-16T12:12:00Z</dcterms:created>
  <dcterms:modified xsi:type="dcterms:W3CDTF">2026-09-06T17:40:02Z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97F20D99E9FE469689FE43A15A05DE18_12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