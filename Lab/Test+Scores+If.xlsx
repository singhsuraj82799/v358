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Test Sco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<sst xmlns="http://schemas.openxmlformats.org/spreadsheetml/2006/main" count="17" uniqueCount="16">
  <si>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Test Results</t>
  </si>
  <si>
    <t>Benchmark: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</si>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</sst>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180" fontId="0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80" fontId="2" fillId="0" borderId="0" xfId="3" applyNumberFormat="1" applyFont="1" applyAlignment="1">
      <alignment horizontal="center"/>
    </xf>
    <xf numFmtId="9" fontId="0" fillId="0" borderId="0" xfId="3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3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3" sqref="H3"/>
    </sheetView>
  </sheetViews>
  <sheetFormatPr defaultColWidth="9" defaultRowHeight="14.5" outlineLevelCol="6"/>
  <cols>
    <col min="1" max="1" width="24.5727272727273" customWidth="1"/>
    <col min="2" max="2" width="12" style="1" customWidth="1"/>
    <col min="3" max="3" width="8.28181818181818" style="1" customWidth="1"/>
    <col min="4" max="4" width="9.85454545454546" style="1" customWidth="1"/>
    <col min="5" max="5" width="17.5727272727273" style="1" customWidth="1"/>
    <col min="6" max="6" width="8.85454545454546" style="1" customWidth="1"/>
    <col min="7" max="7" width="24.9090909090909" style="2" customWidth="1"/>
  </cols>
  <sheetData>
    <row r="1" ht="26" spans="1:7">
      <c r="A1" s="3" t="s">
        <v>0</v>
      </c>
      <c r="E1" s="4"/>
      <c r="F1" s="5" t="s">
        <v>1</v>
      </c>
    </row>
    <row r="2" ht="18.5" spans="1:7">
      <c r="A2" s="6" t="s">
        <v>2</v>
      </c>
      <c r="F2" s="1">
        <v>0.77</v>
      </c>
    </row>
    <row r="4" spans="1:7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7" t="s">
        <v>9</v>
      </c>
    </row>
    <row r="5" spans="1:7">
      <c r="A5" s="2" t="s">
        <v>10</v>
      </c>
      <c r="B5" s="1">
        <v>0.888698824467507</v>
      </c>
      <c r="C5" s="1">
        <v>0.705811535546096</v>
      </c>
      <c r="D5" s="1">
        <v>0.759108509872253</v>
      </c>
      <c r="E5" s="1">
        <v>0.778551732663635</v>
      </c>
      <c r="F5" s="1">
        <f>AVERAGE(B5:E5)</f>
        <v>0.783042650637373</v>
      </c>
      <c r="G5" s="9" t="str">
        <f>IF(F5&gt;77%,"KEEP IT UP","NEED FOR IMPROVEMENT")</f>
        <v>KEEP IT UP</v>
      </c>
    </row>
    <row r="6" spans="1:7">
      <c r="A6" s="2" t="s">
        <v>11</v>
      </c>
      <c r="B6" s="1">
        <v>0.756320400355834</v>
      </c>
      <c r="C6" s="1">
        <v>0.9273631022354</v>
      </c>
      <c r="D6" s="1">
        <v>0.730640897714948</v>
      </c>
      <c r="E6" s="1">
        <v>0.629590495991981</v>
      </c>
      <c r="F6" s="1">
        <f t="shared" ref="F6:F10" si="0">AVERAGE(B6:E6)</f>
        <v>0.760978724074541</v>
      </c>
      <c r="G6" s="9" t="str">
        <f>IF(F6&gt;77%,"KEEP IT UP","NEED FOR IMPROVEMENT")</f>
        <v>NEED FOR IMPROVEMENT</v>
      </c>
    </row>
    <row r="7" spans="1:7">
      <c r="A7" s="2" t="s">
        <v>12</v>
      </c>
      <c r="B7" s="1">
        <v>0.757271749231533</v>
      </c>
      <c r="C7" s="1">
        <v>0.590248925389517</v>
      </c>
      <c r="D7" s="1">
        <v>0.885506398630627</v>
      </c>
      <c r="E7" s="1">
        <v>0.657501412803491</v>
      </c>
      <c r="F7" s="1">
        <f t="shared" si="0"/>
        <v>0.722632121513792</v>
      </c>
      <c r="G7" s="9" t="str">
        <f>IF(F7&gt;77%,"KEEP IT UP","NEED FOR IMPROVEMENT")</f>
        <v>NEED FOR IMPROVEMENT</v>
      </c>
    </row>
    <row r="8" spans="1:7">
      <c r="A8" s="2" t="s">
        <v>13</v>
      </c>
      <c r="B8" s="1">
        <v>0.68472032109995</v>
      </c>
      <c r="C8" s="1">
        <v>0.888482729699724</v>
      </c>
      <c r="D8" s="1">
        <v>0.877345124694681</v>
      </c>
      <c r="E8" s="1">
        <v>0.703517912531219</v>
      </c>
      <c r="F8" s="1">
        <f t="shared" si="0"/>
        <v>0.788516522006393</v>
      </c>
      <c r="G8" s="9" t="str">
        <f>IF(F8&gt;77%,"KEEP IT UP","NEED FOR IMPROVEMENT")</f>
        <v>KEEP IT UP</v>
      </c>
    </row>
    <row r="9" spans="1:7">
      <c r="A9" s="2" t="s">
        <v>14</v>
      </c>
      <c r="B9" s="1">
        <v>0.820558916361688</v>
      </c>
      <c r="C9" s="1">
        <v>0.802997885377951</v>
      </c>
      <c r="D9" s="1">
        <v>0.718539730490394</v>
      </c>
      <c r="E9" s="1">
        <v>0.650073565848736</v>
      </c>
      <c r="F9" s="1">
        <f t="shared" si="0"/>
        <v>0.748042524519692</v>
      </c>
      <c r="G9" s="9" t="str">
        <f>IF(F9&gt;77%,"KEEP IT UP","NEED FOR IMPROVEMENT")</f>
        <v>NEED FOR IMPROVEMENT</v>
      </c>
    </row>
    <row r="10" spans="1:7">
      <c r="A10" s="2" t="s">
        <v>15</v>
      </c>
      <c r="B10" s="1">
        <v>0.925618197182673</v>
      </c>
      <c r="C10" s="1">
        <v>0.683841851910951</v>
      </c>
      <c r="D10" s="1">
        <v>0.802121158567918</v>
      </c>
      <c r="E10" s="1">
        <v>0.923373397552359</v>
      </c>
      <c r="F10" s="1">
        <f t="shared" si="0"/>
        <v>0.833738651303475</v>
      </c>
      <c r="G10" s="9" t="str">
        <f>IF(F10&gt;77%,"KEEP IT UP","NEED FOR IMPROVEMENT")</f>
        <v>KEEP IT UP</v>
      </c>
    </row>
    <row r="12" spans="1:7">
      <c r="A12" s="10" t="s">
        <v>8</v>
      </c>
      <c r="B12" s="1">
        <f>AVERAGE(B5:B10)</f>
        <v>0.805531401449864</v>
      </c>
      <c r="C12" s="1">
        <f t="shared" ref="C12:F12" si="1">AVERAGE(C5:C10)</f>
        <v>0.766457671693273</v>
      </c>
      <c r="D12" s="1">
        <f t="shared" si="1"/>
        <v>0.795543636661803</v>
      </c>
      <c r="E12" s="1">
        <f t="shared" si="1"/>
        <v>0.723768086231903</v>
      </c>
      <c r="F12" s="1">
        <f t="shared" si="1"/>
        <v>0.772825199009211</v>
      </c>
    </row>
    <row r="13" spans="1:7">
      <c r="A13" s="10"/>
    </row>
    <row r="15" spans="1:7">
      <c r="A15" s="10"/>
      <c r="C15" s="11"/>
      <c r="D15" s="11"/>
      <c r="E15" s="11"/>
      <c r="F15" s="11"/>
    </row>
    <row r="16" spans="1:7">
      <c r="A16" s="10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elementk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singh</cp:lastModifiedBy>
  <dcterms:created xsi:type="dcterms:W3CDTF">2006-12-12T15:21:00Z</dcterms:created>
  <dcterms:modified xsi:type="dcterms:W3CDTF">2026-09-04T18:39:36Z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30168273D7C54F3AB44943D65D9BCD7F_12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