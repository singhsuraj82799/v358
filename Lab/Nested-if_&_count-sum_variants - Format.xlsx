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tabRatio="500" activeTab="1"/>
  </bookViews>
  <sheets>
    <sheet name="Sales_Data" sheetId="1" r:id="rId1"/>
    <sheet name="Practice_Tasks" sheetId="3" r:id="rId2"/>
    <sheet name="Quick_Referenc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<sst xmlns="http://schemas.openxmlformats.org/spreadsheetml/2006/main" count="397" uniqueCount="161">
  <si>
    <t>📊  SALES PERFORMANCE DATA — FY 2024-25</t>
  </si>
  <si>
    <t>Salesperson</t>
  </si>
  <si>
    <t>Region</t>
  </si>
  <si>
    <t>Category</t>
  </si>
  <si>
    <t>Sales (₹)</t>
  </si>
  <si>
    <t>Status</t>
  </si>
  <si>
    <t>Aarav Shah</t>
  </si>
  <si>
    <t>North</t>
  </si>
  <si>
    <t>Electronics</t>
  </si>
  <si>
    <t>Completed</t>
  </si>
  <si>
    <t>Priya Mehta</t>
  </si>
  <si>
    <t>South</t>
  </si>
  <si>
    <t>Clothing</t>
  </si>
  <si>
    <t>Pending</t>
  </si>
  <si>
    <t>Rahul Verma</t>
  </si>
  <si>
    <t>East</t>
  </si>
  <si>
    <t>Furniture</t>
  </si>
  <si>
    <t>Cancelled</t>
  </si>
  <si>
    <t>Sneha Patil</t>
  </si>
  <si>
    <t>West</t>
  </si>
  <si>
    <t>Groceries</t>
  </si>
  <si>
    <t>Karan Joshi</t>
  </si>
  <si>
    <t>Central</t>
  </si>
  <si>
    <t>Stationery</t>
  </si>
  <si>
    <t>Divya Nair</t>
  </si>
  <si>
    <t>Amit Yadav</t>
  </si>
  <si>
    <t>Neha Gupta</t>
  </si>
  <si>
    <t>Rohan Kapoor</t>
  </si>
  <si>
    <t>Pooja Tiwari</t>
  </si>
  <si>
    <t>Vijay Reddy</t>
  </si>
  <si>
    <t>Ananya Singh</t>
  </si>
  <si>
    <t>Suresh Kumar</t>
  </si>
  <si>
    <t>Meera Iyer</t>
  </si>
  <si>
    <t>Deepak Patel</t>
  </si>
  <si>
    <t>Kavita Sharma</t>
  </si>
  <si>
    <t>Arun Bose</t>
  </si>
  <si>
    <t>Ritu Saxena</t>
  </si>
  <si>
    <t>Manish Dubey</t>
  </si>
  <si>
    <t>Swati Jain</t>
  </si>
  <si>
    <t>Harish Rao</t>
  </si>
  <si>
    <t>Preeti Desai</t>
  </si>
  <si>
    <t>Sunil Mishra</t>
  </si>
  <si>
    <t>Anjali Sinha</t>
  </si>
  <si>
    <t>Tushar More</t>
  </si>
  <si>
    <t>Leela Nambiar</t>
  </si>
  <si>
    <t>Aditya Roy</t>
  </si>
  <si>
    <t>Sunita Choudhary</t>
  </si>
  <si>
    <t>Vivek Menon</t>
  </si>
  <si>
    <t>Bhavna Pillai</t>
  </si>
  <si>
    <t>New Rison</t>
  </si>
  <si>
    <t>Units</t>
  </si>
  <si>
    <t>IF-1</t>
  </si>
  <si>
    <t>IF-2</t>
  </si>
  <si>
    <t>Nested IF-1</t>
  </si>
  <si>
    <t>Nested IF-2</t>
  </si>
  <si>
    <t>IFERROR</t>
  </si>
  <si>
    <t>COUNT</t>
  </si>
  <si>
    <t>Status of Highe And Low Sales</t>
  </si>
  <si>
    <t>Status Were is true or false</t>
  </si>
  <si>
    <t>Lavle of Greade</t>
  </si>
  <si>
    <t>📝  PRACTICE TASKS — DATA SCIENCE TRAINING</t>
  </si>
  <si>
    <t>Instructions: Write your answers in Column E (Answer column). Refer to Sales_Data sheet for data.</t>
  </si>
  <si>
    <t xml:space="preserve"> =IF(D3&gt;=75000,"A",IF(D3&gt;=50000,"B","C"))</t>
  </si>
  <si>
    <t>#</t>
  </si>
  <si>
    <t>Topic</t>
  </si>
  <si>
    <t>Task</t>
  </si>
  <si>
    <t>Expected Output</t>
  </si>
  <si>
    <t>Your Answer</t>
  </si>
  <si>
    <t>IF</t>
  </si>
  <si>
    <t>In column F of Sales_Data, write an IF formula to label each sale as 'High' if Sales ≥ ₹60,000, else 'Low'.</t>
  </si>
  <si>
    <t>High / Low for each row</t>
  </si>
  <si>
    <t>Write an IF formula that returns 'Achieved' if Status is 'Completed', otherwise 'Not Achieved'.</t>
  </si>
  <si>
    <t>Achieved / Not Achieved</t>
  </si>
  <si>
    <r>
      <rPr>
        <b/>
        <sz val="11"/>
        <color theme="1"/>
        <rFont val="Calibri"/>
        <charset val="1"/>
      </rPr>
      <t>IF</t>
    </r>
    <r>
      <rPr>
        <sz val="11"/>
        <color theme="1"/>
        <rFont val="Calibri"/>
        <charset val="1"/>
      </rPr>
      <t xml:space="preserve"> → Excel evaluates condition directly → no quotes</t>
    </r>
  </si>
  <si>
    <t>Nested IF</t>
  </si>
  <si>
    <t>Create a 3-level grade: ≥75000 = 'A', ≥50000 = 'B', else 'C'.</t>
  </si>
  <si>
    <t>A / B / C per row</t>
  </si>
  <si>
    <r>
      <rPr>
        <sz val="11"/>
        <color theme="1"/>
        <rFont val="Calibri"/>
        <charset val="1"/>
      </rPr>
      <t>D3&gt;=50000</t>
    </r>
  </si>
  <si>
    <t>Classify Region: North→'Zone 1', South→'Zone 2', East→'Zone 3', others→'Zone 4'.</t>
  </si>
  <si>
    <t>Zone 1–4 per row</t>
  </si>
  <si>
    <t>Use IFERROR to divide Sales  by Units. If sales is blank/zero, show 'N/A'.</t>
  </si>
  <si>
    <t>Numeric or N/A</t>
  </si>
  <si>
    <r>
      <rPr>
        <b/>
        <sz val="11"/>
        <color theme="1"/>
        <rFont val="Calibri"/>
        <charset val="1"/>
      </rPr>
      <t>SUMIFS / COUNTIFS</t>
    </r>
    <r>
      <rPr>
        <sz val="11"/>
        <color theme="1"/>
        <rFont val="Calibri"/>
        <charset val="1"/>
      </rPr>
      <t xml:space="preserve"> → condition is given as </t>
    </r>
    <r>
      <rPr>
        <b/>
        <sz val="11"/>
        <color theme="1"/>
        <rFont val="Calibri"/>
        <charset val="1"/>
      </rPr>
      <t>text instruction</t>
    </r>
    <r>
      <rPr>
        <sz val="11"/>
        <color theme="1"/>
        <rFont val="Calibri"/>
        <charset val="1"/>
      </rPr>
      <t xml:space="preserve"> → use quotes</t>
    </r>
  </si>
  <si>
    <t>Count how many rows have a numeric value in the Sales (₹) column.</t>
  </si>
  <si>
    <t>57  (3 blanks)</t>
  </si>
  <si>
    <r>
      <rPr>
        <sz val="11"/>
        <color theme="1"/>
        <rFont val="Calibri"/>
        <charset val="1"/>
      </rPr>
      <t>"&gt;=50000"</t>
    </r>
  </si>
  <si>
    <t>COUNTA</t>
  </si>
  <si>
    <t>Count the total number of non-empty cells in the Salesperson column.</t>
  </si>
  <si>
    <t>30</t>
  </si>
  <si>
    <t>COUNTBLANK</t>
  </si>
  <si>
    <t>Find how many Sales entries are blank/missing.</t>
  </si>
  <si>
    <t>3</t>
  </si>
  <si>
    <r>
      <rPr>
        <sz val="11"/>
        <color theme="1"/>
        <rFont val="Calibri"/>
        <charset val="1"/>
      </rPr>
      <t xml:space="preserve">👉 </t>
    </r>
    <r>
      <rPr>
        <b/>
        <sz val="11"/>
        <color theme="1"/>
        <rFont val="Calibri"/>
        <charset val="1"/>
      </rPr>
      <t>Rule:</t>
    </r>
  </si>
  <si>
    <t>COUNTIF</t>
  </si>
  <si>
    <t>Count how many orders have Status = 'Completed'.</t>
  </si>
  <si>
    <t>~21</t>
  </si>
  <si>
    <t>Count how many salespeople are in the 'West' region.</t>
  </si>
  <si>
    <t>6</t>
  </si>
  <si>
    <r>
      <rPr>
        <sz val="11"/>
        <color theme="1"/>
        <rFont val="Calibri"/>
        <charset val="1"/>
      </rPr>
      <t>Direct logic → no quotes</t>
    </r>
  </si>
  <si>
    <t>Count orders where Sales &gt; ₹70,000.</t>
  </si>
  <si>
    <t>Varies</t>
  </si>
  <si>
    <t>Count how many transactions belong to 'Furniture' category.</t>
  </si>
  <si>
    <r>
      <rPr>
        <sz val="11"/>
        <color theme="1"/>
        <rFont val="Calibri"/>
        <charset val="1"/>
      </rPr>
      <t>Criteria functions → quotes needed</t>
    </r>
  </si>
  <si>
    <t>COUNTIFS</t>
  </si>
  <si>
    <t>Count orders that are 'Completed' AND belong to 'Clothing' category.</t>
  </si>
  <si>
    <t>Count orders from the 'South' region with Sales &gt; ₹40,000.</t>
  </si>
  <si>
    <t>Count 'Cancelled' orders in the 'Electronics' category.</t>
  </si>
  <si>
    <t>SUMIF</t>
  </si>
  <si>
    <t>Calculate total sales for all 'Completed' orders.</t>
  </si>
  <si>
    <t>Large ₹ value</t>
  </si>
  <si>
    <t>Find total sales for the 'Central' region.</t>
  </si>
  <si>
    <t>Sum for Central</t>
  </si>
  <si>
    <t>Find total sales where Category = 'Groceries'.</t>
  </si>
  <si>
    <t>Sum for Groceries</t>
  </si>
  <si>
    <t>SUMIFS</t>
  </si>
  <si>
    <t>Total sales that are 'Completed' AND in the 'North' region.</t>
  </si>
  <si>
    <t>₹ total</t>
  </si>
  <si>
    <t>Total sales for 'Electronics' with Status = 'Completed'.</t>
  </si>
  <si>
    <t>Total sales in 'West' region where Sales is between ₹30,000 and ₹80,000.</t>
  </si>
  <si>
    <t>Total sales for 'Furniture' category in 'East' region with Status = 'Completed'.</t>
  </si>
  <si>
    <t>Mixed</t>
  </si>
  <si>
    <t>Use SUMIF to find average sales per region for 'Completed' orders. (SUMIF ÷ COUNTIFS)</t>
  </si>
  <si>
    <t>₹ average</t>
  </si>
  <si>
    <t>Count how many 'High' grade sales (≥60000) are 'Completed'. (Combine IF logic with COUNTIFS)</t>
  </si>
  <si>
    <t>Count</t>
  </si>
  <si>
    <t>Find total revenue lost from 'Cancelled' orders using SUMIF.</t>
  </si>
  <si>
    <t>₹ total cancelled</t>
  </si>
  <si>
    <t>📖  QUICK REFERENCE CARD — EXCEL FUNCTIONS FOR DATA SCIENCE</t>
  </si>
  <si>
    <t>Function</t>
  </si>
  <si>
    <t>Syntax</t>
  </si>
  <si>
    <t>Example</t>
  </si>
  <si>
    <t>Notes</t>
  </si>
  <si>
    <t xml:space="preserve"> =IF(condition, val_if_true, val_if_false)</t>
  </si>
  <si>
    <t xml:space="preserve"> =IF(D3&gt;=50000,"High","Low")</t>
  </si>
  <si>
    <t>Returns one of two values based on condition</t>
  </si>
  <si>
    <t xml:space="preserve"> =IF(C1,V1,IF(C2,V2,V3))</t>
  </si>
  <si>
    <t>Chain multiple IF for 3+ outcomes</t>
  </si>
  <si>
    <t xml:space="preserve"> =IFERROR(formula, value_if_error)</t>
  </si>
  <si>
    <t xml:space="preserve"> =IFERROR(D3/E3,"Error")</t>
  </si>
  <si>
    <t>Catches DIV/0, N/A, VALUE errors etc.</t>
  </si>
  <si>
    <t xml:space="preserve"> =COUNT(range)</t>
  </si>
  <si>
    <t xml:space="preserve"> =COUNT(D3:D32)</t>
  </si>
  <si>
    <t>Counts numeric cells only</t>
  </si>
  <si>
    <t xml:space="preserve"> =COUNTA(range)</t>
  </si>
  <si>
    <t xml:space="preserve"> =COUNTA(A3:A32)</t>
  </si>
  <si>
    <t>Counts all non-empty cells (any type)</t>
  </si>
  <si>
    <t xml:space="preserve"> =COUNTBLANK(range)</t>
  </si>
  <si>
    <t xml:space="preserve"> =COUNTBLANK(D3:D32)</t>
  </si>
  <si>
    <t>Counts empty/blank cells</t>
  </si>
  <si>
    <t xml:space="preserve"> =COUNTIF(range, criteria)</t>
  </si>
  <si>
    <t xml:space="preserve"> =COUNTIF(E3:E32,"Completed")</t>
  </si>
  <si>
    <t>Use wildcards: "North*", "&gt;50000"</t>
  </si>
  <si>
    <t xml:space="preserve"> =COUNTIFS(range1, crit1, range2, crit2, ...)</t>
  </si>
  <si>
    <t xml:space="preserve"> =COUNTIFS(E3:E32,"Completed",B3:B32,"North")</t>
  </si>
  <si>
    <t>Multiple conditions; all must be TRUE (AND)</t>
  </si>
  <si>
    <t xml:space="preserve"> =SUMIF(range, criteria, sum_range)</t>
  </si>
  <si>
    <t xml:space="preserve"> =SUMIF(B3:B32,"North",D3:D32)</t>
  </si>
  <si>
    <t>Sum where ONE condition is met</t>
  </si>
  <si>
    <t xml:space="preserve"> =SUMIFS(sum_range, range1, crit1, range2, crit2, ...)</t>
  </si>
  <si>
    <t xml:space="preserve"> =SUMIFS(D3:D32,E3:E32,"Completed",B3:B32,"North")</t>
  </si>
  <si>
    <t>Sum where MULTIPLE conditions are met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</si>
</sst>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&quot;₹&quot;#,##0"/>
  </numFmts>
  <fonts count="40">
    <font>
      <sz val="11"/>
      <color theme="1"/>
      <name val="Calibri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sz val="9"/>
      <color rgb="FFC00000"/>
      <name val="Courier New"/>
      <charset val="1"/>
    </font>
    <font>
      <i/>
      <sz val="9.5"/>
      <name val="Arial"/>
      <charset val="1"/>
    </font>
    <font>
      <sz val="14"/>
      <color theme="1"/>
      <name val="Calibri"/>
      <charset val="1"/>
    </font>
    <font>
      <sz val="10"/>
      <color rgb="FF000000"/>
      <name val="Arial"/>
      <charset val="1"/>
    </font>
    <font>
      <b/>
      <sz val="10"/>
      <color rgb="FF375623"/>
      <name val="Arial"/>
      <charset val="1"/>
    </font>
    <font>
      <sz val="10"/>
      <color rgb="FF595959"/>
      <name val="Arial"/>
      <charset val="1"/>
    </font>
    <font>
      <i/>
      <sz val="10"/>
      <color rgb="FF595959"/>
      <name val="Arial"/>
      <charset val="1"/>
    </font>
    <font>
      <b/>
      <sz val="10"/>
      <color rgb="FF7F6000"/>
      <name val="Arial"/>
      <charset val="1"/>
    </font>
    <font>
      <b/>
      <sz val="10"/>
      <color rgb="FFC00000"/>
      <name val="Arial"/>
      <charset val="1"/>
    </font>
    <font>
      <b/>
      <sz val="10"/>
      <color rgb="FF000000"/>
      <name val="Arial"/>
      <charset val="1"/>
    </font>
    <font>
      <sz val="9.5"/>
      <name val="Arial"/>
      <charset val="1"/>
    </font>
    <font>
      <b/>
      <sz val="11"/>
      <color theme="1"/>
      <name val="Calibri"/>
      <charset val="1"/>
    </font>
    <font>
      <b/>
      <sz val="10"/>
      <color rgb="FF843C0C"/>
      <name val="Arial"/>
      <charset val="1"/>
    </font>
    <font>
      <b/>
      <sz val="10"/>
      <color rgb="FF4E1130"/>
      <name val="Arial"/>
      <charset val="1"/>
    </font>
    <font>
      <b/>
      <sz val="10"/>
      <color rgb="FF203764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1F3864"/>
        <bgColor rgb="FF203764"/>
      </patternFill>
    </fill>
    <fill>
      <patternFill patternType="solid">
        <fgColor rgb="FF2E75B6"/>
        <bgColor rgb="FF4472C4"/>
      </patternFill>
    </fill>
    <fill>
      <patternFill patternType="solid">
        <fgColor rgb="FFD6E4F0"/>
        <bgColor rgb="FFD9E1F2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BE5D6"/>
      </patternFill>
    </fill>
    <fill>
      <patternFill patternType="solid">
        <fgColor rgb="FFF2F2F2"/>
        <bgColor rgb="FFF0F0F0"/>
      </patternFill>
    </fill>
    <fill>
      <patternFill patternType="solid">
        <fgColor theme="0"/>
        <bgColor indexed="64"/>
      </patternFill>
    </fill>
    <fill>
      <patternFill patternType="solid">
        <fgColor rgb="FFDEEAF1"/>
        <bgColor rgb="FFD6E4F0"/>
      </patternFill>
    </fill>
    <fill>
      <patternFill patternType="solid">
        <fgColor rgb="FFFFF2CC"/>
        <bgColor rgb="FFFBE5D6"/>
      </patternFill>
    </fill>
    <fill>
      <patternFill patternType="solid">
        <fgColor rgb="FFFFFFFF"/>
        <bgColor rgb="FFFFFDE7"/>
      </patternFill>
    </fill>
    <fill>
      <patternFill patternType="solid">
        <fgColor rgb="FFFFE0E0"/>
        <bgColor rgb="FFFCE4D6"/>
      </patternFill>
    </fill>
    <fill>
      <patternFill patternType="solid">
        <fgColor rgb="FFF0F0F0"/>
        <bgColor rgb="FFF2F2F2"/>
      </patternFill>
    </fill>
    <fill>
      <patternFill patternType="solid">
        <fgColor rgb="FFFFFDE7"/>
        <bgColor rgb="FFFFFFFF"/>
      </patternFill>
    </fill>
    <fill>
      <patternFill patternType="solid">
        <fgColor rgb="FFEAD1DC"/>
        <bgColor rgb="FFFFE0E0"/>
      </patternFill>
    </fill>
    <fill>
      <patternFill patternType="solid">
        <fgColor rgb="FFD9E1F2"/>
        <bgColor rgb="FFD6E4F0"/>
      </patternFill>
    </fill>
    <fill>
      <patternFill patternType="solid">
        <fgColor rgb="FFFBE5D6"/>
        <bgColor rgb="FFFCE4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Border="0" applyAlignment="0" applyProtection="0"/>
    <xf numFmtId="177" fontId="19" fillId="0" borderId="0" applyBorder="0" applyAlignment="0" applyProtection="0"/>
    <xf numFmtId="9" fontId="19" fillId="0" borderId="0" applyBorder="0" applyAlignment="0" applyProtection="0"/>
    <xf numFmtId="178" fontId="19" fillId="0" borderId="0" applyBorder="0" applyAlignment="0" applyProtection="0"/>
    <xf numFmtId="179" fontId="19" fillId="0" borderId="0" applyBorder="0" applyAlignment="0" applyProtection="0"/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8" borderId="1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9" borderId="15" applyNumberFormat="0" applyAlignment="0" applyProtection="0">
      <alignment vertical="center"/>
    </xf>
    <xf numFmtId="0" fontId="30" fillId="20" borderId="16" applyNumberFormat="0" applyAlignment="0" applyProtection="0">
      <alignment vertical="center"/>
    </xf>
    <xf numFmtId="0" fontId="31" fillId="20" borderId="15" applyNumberFormat="0" applyAlignment="0" applyProtection="0">
      <alignment vertical="center"/>
    </xf>
    <xf numFmtId="0" fontId="32" fillId="21" borderId="17" applyNumberFormat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</cellStyleXfs>
  <cellXfs count="72">
    <xf numFmtId="0" fontId="0" fillId="0" borderId="0" xfId="0"/>
    <xf numFmtId="0" fontId="0" fillId="0" borderId="0" xfId="0" applyAlignment="1"/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0" fillId="8" borderId="0" xfId="0" applyFill="1" applyBorder="1"/>
    <xf numFmtId="0" fontId="6" fillId="0" borderId="2" xfId="0" applyFont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wrapText="1"/>
    </xf>
    <xf numFmtId="0" fontId="6" fillId="8" borderId="2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180" fontId="7" fillId="7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80" fontId="7" fillId="7" borderId="3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8" borderId="2" xfId="0" applyFill="1" applyBorder="1"/>
    <xf numFmtId="0" fontId="0" fillId="8" borderId="2" xfId="0" applyFill="1" applyBorder="1" applyAlignment="1">
      <alignment horizontal="center"/>
    </xf>
    <xf numFmtId="0" fontId="9" fillId="10" borderId="0" xfId="0" applyFont="1" applyFill="1" applyAlignment="1">
      <alignment horizontal="left" vertical="center"/>
    </xf>
    <xf numFmtId="0" fontId="10" fillId="10" borderId="0" xfId="0" applyFont="1" applyFill="1" applyAlignment="1">
      <alignment horizontal="left" vertical="center"/>
    </xf>
    <xf numFmtId="0" fontId="10" fillId="10" borderId="0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180" fontId="7" fillId="11" borderId="1" xfId="0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180" fontId="7" fillId="11" borderId="3" xfId="0" applyNumberFormat="1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/>
    </xf>
    <xf numFmtId="0" fontId="0" fillId="14" borderId="1" xfId="0" applyFill="1" applyBorder="1" applyAlignment="1"/>
    <xf numFmtId="0" fontId="14" fillId="11" borderId="1" xfId="0" applyFont="1" applyFill="1" applyBorder="1" applyAlignment="1">
      <alignment horizontal="left" vertical="center" wrapText="1"/>
    </xf>
    <xf numFmtId="0" fontId="15" fillId="0" borderId="4" xfId="0" applyFont="1" applyBorder="1" applyAlignment="1">
      <alignment horizontal="left" indent="1"/>
    </xf>
    <xf numFmtId="0" fontId="0" fillId="0" borderId="5" xfId="0" applyBorder="1"/>
    <xf numFmtId="0" fontId="0" fillId="0" borderId="6" xfId="0" applyBorder="1"/>
    <xf numFmtId="0" fontId="13" fillId="5" borderId="0" xfId="0" applyFont="1" applyFill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left" indent="1"/>
    </xf>
    <xf numFmtId="0" fontId="0" fillId="0" borderId="8" xfId="0" applyBorder="1"/>
    <xf numFmtId="0" fontId="0" fillId="0" borderId="7" xfId="0" applyBorder="1"/>
    <xf numFmtId="0" fontId="13" fillId="6" borderId="0" xfId="0" applyFont="1" applyFill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180" fontId="0" fillId="14" borderId="1" xfId="0" applyNumberFormat="1" applyFill="1" applyBorder="1" applyAlignment="1"/>
    <xf numFmtId="0" fontId="15" fillId="0" borderId="7" xfId="0" applyFont="1" applyBorder="1" applyAlignment="1">
      <alignment horizontal="left" indent="1"/>
    </xf>
    <xf numFmtId="0" fontId="13" fillId="9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15" borderId="0" xfId="0" applyFont="1" applyFill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13" fillId="16" borderId="0" xfId="0" applyFont="1" applyFill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3" fillId="17" borderId="0" xfId="0" applyFont="1" applyFill="1" applyAlignment="1">
      <alignment horizontal="center" vertical="center"/>
    </xf>
    <xf numFmtId="0" fontId="13" fillId="17" borderId="1" xfId="0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7F6000"/>
      <rgbColor rgb="00800080"/>
      <rgbColor rgb="00008080"/>
      <rgbColor rgb="00BFBFBF"/>
      <rgbColor rgb="00808080"/>
      <rgbColor rgb="009999FF"/>
      <rgbColor rgb="007030A0"/>
      <rgbColor rgb="00FFFDE7"/>
      <rgbColor rgb="00DEEAF1"/>
      <rgbColor rgb="004E1130"/>
      <rgbColor rgb="00ED7D31"/>
      <rgbColor rgb="002E75B6"/>
      <rgbColor rgb="00BDD7EE"/>
      <rgbColor rgb="00000080"/>
      <rgbColor rgb="00FF00FF"/>
      <rgbColor rgb="00F2F2F2"/>
      <rgbColor rgb="0000FFFF"/>
      <rgbColor rgb="00800080"/>
      <rgbColor rgb="00800000"/>
      <rgbColor rgb="00008080"/>
      <rgbColor rgb="000000FF"/>
      <rgbColor rgb="0000CCFF"/>
      <rgbColor rgb="00D6E4F0"/>
      <rgbColor rgb="00E2EFDA"/>
      <rgbColor rgb="00FFF2CC"/>
      <rgbColor rgb="00D9E1F2"/>
      <rgbColor rgb="00FFE0E0"/>
      <rgbColor rgb="00FCE4D6"/>
      <rgbColor rgb="00EAD1DC"/>
      <rgbColor rgb="004472C4"/>
      <rgbColor rgb="0033CCCC"/>
      <rgbColor rgb="0099CC00"/>
      <rgbColor rgb="00FBE5D6"/>
      <rgbColor rgb="00C55A11"/>
      <rgbColor rgb="00E97132"/>
      <rgbColor rgb="00595959"/>
      <rgbColor rgb="0070AD47"/>
      <rgbColor rgb="001F3864"/>
      <rgbColor rgb="00339966"/>
      <rgbColor rgb="00003300"/>
      <rgbColor rgb="00375623"/>
      <rgbColor rgb="00833C00"/>
      <rgbColor rgb="00843C0C"/>
      <rgbColor rgb="00333399"/>
      <rgbColor rgb="002037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E32"/>
  <sheetViews>
    <sheetView zoomScale="85" zoomScaleNormal="85" workbookViewId="0">
      <pane ySplit="2" topLeftCell="A3" activePane="bottomLeft" state="frozen"/>
      <selection/>
      <selection pane="bottomLeft" activeCell="B7" sqref="B7"/>
    </sheetView>
  </sheetViews>
  <sheetFormatPr defaultColWidth="8.68181818181818" defaultRowHeight="14.5" outlineLevelCol="4"/>
  <cols>
    <col min="1" max="1" width="22" style="1" customWidth="1"/>
    <col min="2" max="2" width="12" style="1" customWidth="1"/>
    <col min="3" max="3" width="15" style="1" customWidth="1"/>
    <col min="4" max="5" width="14" style="1" customWidth="1"/>
    <col min="8" max="8" width="32.0909090909091" customWidth="1"/>
    <col min="9" max="9" width="122" customWidth="1"/>
    <col min="10" max="10" width="14.4545454545455" customWidth="1"/>
  </cols>
  <sheetData>
    <row r="1" ht="30" customHeight="1" spans="1:5">
      <c r="A1" s="2" t="s">
        <v>0</v>
      </c>
      <c r="B1" s="2"/>
      <c r="C1" s="2"/>
      <c r="D1" s="2"/>
      <c r="E1" s="2"/>
    </row>
    <row r="2" ht="21.75" customHeight="1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18.75" customHeight="1" spans="1:5">
      <c r="A3" s="22" t="s">
        <v>6</v>
      </c>
      <c r="B3" s="23" t="s">
        <v>7</v>
      </c>
      <c r="C3" s="23" t="s">
        <v>8</v>
      </c>
      <c r="D3" s="24">
        <v>88810</v>
      </c>
      <c r="E3" s="25" t="s">
        <v>9</v>
      </c>
    </row>
    <row r="4" ht="18.75" customHeight="1" spans="1:5">
      <c r="A4" s="33" t="s">
        <v>10</v>
      </c>
      <c r="B4" s="34" t="s">
        <v>11</v>
      </c>
      <c r="C4" s="34" t="s">
        <v>12</v>
      </c>
      <c r="D4" s="35">
        <v>19592</v>
      </c>
      <c r="E4" s="36" t="s">
        <v>13</v>
      </c>
    </row>
    <row r="5" ht="18.75" customHeight="1" spans="1:5">
      <c r="A5" s="22" t="s">
        <v>14</v>
      </c>
      <c r="B5" s="23" t="s">
        <v>15</v>
      </c>
      <c r="C5" s="23" t="s">
        <v>16</v>
      </c>
      <c r="D5" s="24">
        <v>8278</v>
      </c>
      <c r="E5" s="38" t="s">
        <v>17</v>
      </c>
    </row>
    <row r="6" ht="18.75" customHeight="1" spans="1:5">
      <c r="A6" s="33" t="s">
        <v>18</v>
      </c>
      <c r="B6" s="34" t="s">
        <v>19</v>
      </c>
      <c r="C6" s="34" t="s">
        <v>20</v>
      </c>
      <c r="D6" s="35">
        <v>41048</v>
      </c>
      <c r="E6" s="25" t="s">
        <v>9</v>
      </c>
    </row>
    <row r="7" ht="18.75" customHeight="1" spans="1:5">
      <c r="A7" s="22" t="s">
        <v>21</v>
      </c>
      <c r="B7" s="23" t="s">
        <v>22</v>
      </c>
      <c r="C7" s="23" t="s">
        <v>23</v>
      </c>
      <c r="D7" s="24">
        <v>37098</v>
      </c>
      <c r="E7" s="38" t="s">
        <v>17</v>
      </c>
    </row>
    <row r="8" ht="18.75" customHeight="1" spans="1:5">
      <c r="A8" s="33" t="s">
        <v>24</v>
      </c>
      <c r="B8" s="34" t="s">
        <v>7</v>
      </c>
      <c r="C8" s="34" t="s">
        <v>8</v>
      </c>
      <c r="D8" s="35">
        <v>34256</v>
      </c>
      <c r="E8" s="25" t="s">
        <v>9</v>
      </c>
    </row>
    <row r="9" ht="18.75" customHeight="1" spans="1:5">
      <c r="A9" s="22" t="s">
        <v>25</v>
      </c>
      <c r="B9" s="23" t="s">
        <v>11</v>
      </c>
      <c r="C9" s="23" t="s">
        <v>12</v>
      </c>
      <c r="D9" s="24">
        <v>23289</v>
      </c>
      <c r="E9" s="36" t="s">
        <v>13</v>
      </c>
    </row>
    <row r="10" ht="18.75" customHeight="1" spans="1:5">
      <c r="A10" s="33" t="s">
        <v>26</v>
      </c>
      <c r="B10" s="34" t="s">
        <v>15</v>
      </c>
      <c r="C10" s="34" t="s">
        <v>16</v>
      </c>
      <c r="D10" s="34"/>
      <c r="E10" s="38" t="s">
        <v>17</v>
      </c>
    </row>
    <row r="11" ht="18.75" customHeight="1" spans="1:5">
      <c r="A11" s="22" t="s">
        <v>27</v>
      </c>
      <c r="B11" s="23" t="s">
        <v>19</v>
      </c>
      <c r="C11" s="23" t="s">
        <v>20</v>
      </c>
      <c r="D11" s="24">
        <v>93696</v>
      </c>
      <c r="E11" s="25" t="s">
        <v>9</v>
      </c>
    </row>
    <row r="12" ht="18.75" customHeight="1" spans="1:5">
      <c r="A12" s="33" t="s">
        <v>28</v>
      </c>
      <c r="B12" s="34" t="s">
        <v>22</v>
      </c>
      <c r="C12" s="34" t="s">
        <v>23</v>
      </c>
      <c r="D12" s="35">
        <v>76482</v>
      </c>
      <c r="E12" s="25" t="s">
        <v>9</v>
      </c>
    </row>
    <row r="13" ht="18.75" customHeight="1" spans="1:5">
      <c r="A13" s="22" t="s">
        <v>29</v>
      </c>
      <c r="B13" s="23" t="s">
        <v>7</v>
      </c>
      <c r="C13" s="23" t="s">
        <v>8</v>
      </c>
      <c r="D13" s="24">
        <v>16395</v>
      </c>
      <c r="E13" s="25" t="s">
        <v>9</v>
      </c>
    </row>
    <row r="14" ht="18.75" customHeight="1" spans="1:5">
      <c r="A14" s="33" t="s">
        <v>30</v>
      </c>
      <c r="B14" s="34" t="s">
        <v>11</v>
      </c>
      <c r="C14" s="34" t="s">
        <v>12</v>
      </c>
      <c r="D14" s="35">
        <v>82397</v>
      </c>
      <c r="E14" s="36" t="s">
        <v>13</v>
      </c>
    </row>
    <row r="15" ht="18.75" customHeight="1" spans="1:5">
      <c r="A15" s="22" t="s">
        <v>31</v>
      </c>
      <c r="B15" s="23" t="s">
        <v>15</v>
      </c>
      <c r="C15" s="23" t="s">
        <v>16</v>
      </c>
      <c r="D15" s="24">
        <v>60302</v>
      </c>
      <c r="E15" s="38" t="s">
        <v>17</v>
      </c>
    </row>
    <row r="16" ht="18.75" customHeight="1" spans="1:5">
      <c r="A16" s="33" t="s">
        <v>32</v>
      </c>
      <c r="B16" s="34" t="s">
        <v>19</v>
      </c>
      <c r="C16" s="34" t="s">
        <v>20</v>
      </c>
      <c r="D16" s="35">
        <v>9165</v>
      </c>
      <c r="E16" s="25" t="s">
        <v>9</v>
      </c>
    </row>
    <row r="17" ht="18.75" customHeight="1" spans="1:5">
      <c r="A17" s="22" t="s">
        <v>33</v>
      </c>
      <c r="B17" s="23" t="s">
        <v>22</v>
      </c>
      <c r="C17" s="23" t="s">
        <v>23</v>
      </c>
      <c r="D17" s="24">
        <v>8905</v>
      </c>
      <c r="E17" s="25" t="s">
        <v>9</v>
      </c>
    </row>
    <row r="18" ht="18.75" customHeight="1" spans="1:5">
      <c r="A18" s="33" t="s">
        <v>34</v>
      </c>
      <c r="B18" s="34" t="s">
        <v>7</v>
      </c>
      <c r="C18" s="34" t="s">
        <v>8</v>
      </c>
      <c r="D18" s="34"/>
      <c r="E18" s="25" t="s">
        <v>9</v>
      </c>
    </row>
    <row r="19" ht="18.75" customHeight="1" spans="1:5">
      <c r="A19" s="22" t="s">
        <v>35</v>
      </c>
      <c r="B19" s="23" t="s">
        <v>11</v>
      </c>
      <c r="C19" s="23" t="s">
        <v>12</v>
      </c>
      <c r="D19" s="24">
        <v>33657</v>
      </c>
      <c r="E19" s="36" t="s">
        <v>13</v>
      </c>
    </row>
    <row r="20" ht="18.75" customHeight="1" spans="1:5">
      <c r="A20" s="33" t="s">
        <v>36</v>
      </c>
      <c r="B20" s="34" t="s">
        <v>15</v>
      </c>
      <c r="C20" s="34" t="s">
        <v>16</v>
      </c>
      <c r="D20" s="35">
        <v>35495</v>
      </c>
      <c r="E20" s="38" t="s">
        <v>17</v>
      </c>
    </row>
    <row r="21" ht="18.75" customHeight="1" spans="1:5">
      <c r="A21" s="22" t="s">
        <v>37</v>
      </c>
      <c r="B21" s="23" t="s">
        <v>19</v>
      </c>
      <c r="C21" s="23" t="s">
        <v>20</v>
      </c>
      <c r="D21" s="24">
        <v>71237</v>
      </c>
      <c r="E21" s="25" t="s">
        <v>9</v>
      </c>
    </row>
    <row r="22" ht="18.75" customHeight="1" spans="1:5">
      <c r="A22" s="33" t="s">
        <v>38</v>
      </c>
      <c r="B22" s="34" t="s">
        <v>22</v>
      </c>
      <c r="C22" s="34" t="s">
        <v>23</v>
      </c>
      <c r="D22" s="35">
        <v>83907</v>
      </c>
      <c r="E22" s="25" t="s">
        <v>9</v>
      </c>
    </row>
    <row r="23" ht="18.75" customHeight="1" spans="1:5">
      <c r="A23" s="22" t="s">
        <v>39</v>
      </c>
      <c r="B23" s="23" t="s">
        <v>7</v>
      </c>
      <c r="C23" s="23" t="s">
        <v>8</v>
      </c>
      <c r="D23" s="24">
        <v>8478</v>
      </c>
      <c r="E23" s="25" t="s">
        <v>9</v>
      </c>
    </row>
    <row r="24" ht="18.75" customHeight="1" spans="1:5">
      <c r="A24" s="33" t="s">
        <v>40</v>
      </c>
      <c r="B24" s="34" t="s">
        <v>11</v>
      </c>
      <c r="C24" s="34" t="s">
        <v>12</v>
      </c>
      <c r="D24" s="35">
        <v>78563</v>
      </c>
      <c r="E24" s="36" t="s">
        <v>13</v>
      </c>
    </row>
    <row r="25" ht="18.75" customHeight="1" spans="1:5">
      <c r="A25" s="22" t="s">
        <v>41</v>
      </c>
      <c r="B25" s="23" t="s">
        <v>15</v>
      </c>
      <c r="C25" s="23" t="s">
        <v>16</v>
      </c>
      <c r="D25" s="23"/>
      <c r="E25" s="38" t="s">
        <v>17</v>
      </c>
    </row>
    <row r="26" ht="18.75" customHeight="1" spans="1:5">
      <c r="A26" s="33" t="s">
        <v>42</v>
      </c>
      <c r="B26" s="34" t="s">
        <v>19</v>
      </c>
      <c r="C26" s="34" t="s">
        <v>20</v>
      </c>
      <c r="D26" s="35">
        <v>90181</v>
      </c>
      <c r="E26" s="25" t="s">
        <v>9</v>
      </c>
    </row>
    <row r="27" ht="18.75" customHeight="1" spans="1:5">
      <c r="A27" s="22" t="s">
        <v>43</v>
      </c>
      <c r="B27" s="23" t="s">
        <v>22</v>
      </c>
      <c r="C27" s="23" t="s">
        <v>23</v>
      </c>
      <c r="D27" s="24">
        <v>76426</v>
      </c>
      <c r="E27" s="38" t="s">
        <v>17</v>
      </c>
    </row>
    <row r="28" ht="18.75" customHeight="1" spans="1:5">
      <c r="A28" s="33" t="s">
        <v>44</v>
      </c>
      <c r="B28" s="34" t="s">
        <v>7</v>
      </c>
      <c r="C28" s="34" t="s">
        <v>8</v>
      </c>
      <c r="D28" s="35">
        <v>59987</v>
      </c>
      <c r="E28" s="25" t="s">
        <v>9</v>
      </c>
    </row>
    <row r="29" ht="18.75" customHeight="1" spans="1:5">
      <c r="A29" s="22" t="s">
        <v>45</v>
      </c>
      <c r="B29" s="23" t="s">
        <v>11</v>
      </c>
      <c r="C29" s="23" t="s">
        <v>12</v>
      </c>
      <c r="D29" s="24">
        <v>33893</v>
      </c>
      <c r="E29" s="36" t="s">
        <v>13</v>
      </c>
    </row>
    <row r="30" ht="18.75" customHeight="1" spans="1:5">
      <c r="A30" s="33" t="s">
        <v>46</v>
      </c>
      <c r="B30" s="34" t="s">
        <v>15</v>
      </c>
      <c r="C30" s="34" t="s">
        <v>16</v>
      </c>
      <c r="D30" s="35">
        <v>63878</v>
      </c>
      <c r="E30" s="38" t="s">
        <v>17</v>
      </c>
    </row>
    <row r="31" ht="18.75" customHeight="1" spans="1:5">
      <c r="A31" s="22" t="s">
        <v>47</v>
      </c>
      <c r="B31" s="23" t="s">
        <v>19</v>
      </c>
      <c r="C31" s="23" t="s">
        <v>20</v>
      </c>
      <c r="D31" s="24">
        <v>82236</v>
      </c>
      <c r="E31" s="25" t="s">
        <v>9</v>
      </c>
    </row>
    <row r="32" ht="18.75" customHeight="1" spans="1:5">
      <c r="A32" s="33" t="s">
        <v>48</v>
      </c>
      <c r="B32" s="34" t="s">
        <v>22</v>
      </c>
      <c r="C32" s="34" t="s">
        <v>23</v>
      </c>
      <c r="D32" s="35">
        <v>41463</v>
      </c>
      <c r="E32" s="25" t="s">
        <v>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97132"/>
  </sheetPr>
  <dimension ref="A1:AF33"/>
  <sheetViews>
    <sheetView tabSelected="1" zoomScale="59" zoomScaleNormal="59" workbookViewId="0">
      <selection activeCell="V28" sqref="V28"/>
    </sheetView>
  </sheetViews>
  <sheetFormatPr defaultColWidth="8.68181818181818" defaultRowHeight="14.5"/>
  <cols>
    <col min="1" max="1" width="16.2727272727273" customWidth="1"/>
    <col min="2" max="2" width="9.99090909090909" customWidth="1"/>
    <col min="3" max="3" width="12" customWidth="1"/>
    <col min="4" max="4" width="10.3636363636364" customWidth="1"/>
    <col min="5" max="5" width="12.5909090909091" customWidth="1"/>
    <col min="6" max="6" width="16.7545454545455" customWidth="1"/>
    <col min="7" max="7" width="10.5454545454545"/>
    <col min="8" max="8" width="23.1454545454545" customWidth="1"/>
    <col min="9" max="9" width="20.5454545454545" customWidth="1"/>
    <col min="10" max="10" width="20.5454545454545" style="16" customWidth="1"/>
    <col min="11" max="11" width="20.0909090909091" style="16" customWidth="1"/>
    <col min="12" max="12" width="24.5454545454545" style="16" customWidth="1"/>
    <col min="13" max="13" width="20.5454545454545" customWidth="1"/>
    <col min="14" max="14" width="28.3636363636364" customWidth="1"/>
    <col min="15" max="15" width="25.7272727272727" customWidth="1"/>
    <col min="16" max="16" width="23.3" style="1" customWidth="1"/>
    <col min="17" max="18" width="6" style="1" customWidth="1"/>
    <col min="19" max="19" width="18" style="1" customWidth="1"/>
    <col min="20" max="20" width="55" style="1" customWidth="1"/>
    <col min="21" max="21" width="28" style="1" customWidth="1"/>
    <col min="22" max="22" width="18.8" style="1" customWidth="1"/>
    <col min="23" max="23" width="12.6272727272727" customWidth="1"/>
    <col min="24" max="24" width="12.8181818181818"/>
    <col min="25" max="25" width="71.2727272727273" customWidth="1"/>
    <col min="26" max="26" width="8.09090909090909" customWidth="1"/>
    <col min="27" max="27" width="10.3636363636364" customWidth="1"/>
    <col min="28" max="28" width="9.54545454545454" customWidth="1"/>
    <col min="29" max="29" width="10.8181818181818" customWidth="1"/>
  </cols>
  <sheetData>
    <row r="1" ht="18.5" spans="1:32">
      <c r="A1" s="3" t="s">
        <v>1</v>
      </c>
      <c r="B1" s="3" t="s">
        <v>2</v>
      </c>
      <c r="C1" s="3" t="s">
        <v>49</v>
      </c>
      <c r="D1" s="3" t="s">
        <v>3</v>
      </c>
      <c r="E1" s="3" t="s">
        <v>4</v>
      </c>
      <c r="F1" s="3" t="s">
        <v>5</v>
      </c>
      <c r="G1" s="3" t="s">
        <v>50</v>
      </c>
      <c r="H1" s="17" t="s">
        <v>51</v>
      </c>
      <c r="I1" s="17" t="s">
        <v>52</v>
      </c>
      <c r="J1" s="18" t="s">
        <v>53</v>
      </c>
      <c r="K1" s="18" t="s">
        <v>54</v>
      </c>
      <c r="L1" s="19" t="s">
        <v>55</v>
      </c>
      <c r="M1" s="20" t="s">
        <v>56</v>
      </c>
      <c r="N1" t="s">
        <v>57</v>
      </c>
      <c r="O1" t="s">
        <v>58</v>
      </c>
      <c r="P1" s="21" t="s">
        <v>59</v>
      </c>
      <c r="Q1" s="21"/>
      <c r="R1" s="2" t="s">
        <v>60</v>
      </c>
      <c r="S1" s="2"/>
      <c r="T1" s="2"/>
      <c r="U1" s="2"/>
      <c r="V1" s="2"/>
    </row>
    <row r="2" ht="25" customHeight="1" spans="1:32">
      <c r="A2" s="22" t="s">
        <v>6</v>
      </c>
      <c r="B2" s="23" t="s">
        <v>7</v>
      </c>
      <c r="C2" s="23" t="str" cm="1">
        <f t="array" ref="C2">_xlfn.IFS(B2="North","Zone 1",B2="South","Zone 2",B2="East","Zone 3",TRUE,"Zone 4")</f>
        <v>Zone 1</v>
      </c>
      <c r="D2" s="23" t="s">
        <v>8</v>
      </c>
      <c r="E2" s="24">
        <v>88810</v>
      </c>
      <c r="F2" s="25" t="s">
        <v>9</v>
      </c>
      <c r="G2" s="26">
        <v>3</v>
      </c>
      <c r="H2" s="27" t="str">
        <f>IF(E2,"Highe Sales","Low Sales")</f>
        <v>Highe Sales</v>
      </c>
      <c r="I2" s="27" t="str">
        <f>IF(F2="Completed","Achieved","Not Achieved")</f>
        <v>Achieved</v>
      </c>
      <c r="J2" s="28" t="str" cm="1">
        <f t="array" ref="J2">_xlfn.IFS(E2&gt;=75000,"A",E2&gt;=50000,"B",E2&lt;50000,"C")</f>
        <v>A</v>
      </c>
      <c r="K2" s="28" t="str" cm="1">
        <f t="array" ref="K2">_xlfn.IFS(B2="North","Zone-1",B2="South","Zone-2",B2="East","Zone-3",TRUE,"Zone-4")</f>
        <v>Zone-1</v>
      </c>
      <c r="L2" s="29">
        <f>IFERROR(E2/G2,"NA")</f>
        <v>29603.3333333333</v>
      </c>
      <c r="N2" t="str">
        <f>IF(E2&gt;60000,"Highe Sale","Low sales")</f>
        <v>Highe Sale</v>
      </c>
      <c r="O2" t="str">
        <f>IF(E2,"Ture","False")</f>
        <v>Ture</v>
      </c>
      <c r="P2" s="30" t="str">
        <f>IF(E2&gt;=75000,"A",IF(E3&gt;=50000,"B","C"))</f>
        <v>A</v>
      </c>
      <c r="Q2" s="31"/>
      <c r="R2" s="32" t="s">
        <v>61</v>
      </c>
      <c r="S2" s="32"/>
      <c r="T2" s="32"/>
      <c r="U2" s="32"/>
      <c r="V2" s="32"/>
      <c r="Y2" s="8" t="s">
        <v>62</v>
      </c>
    </row>
    <row r="3" ht="18" customHeight="1" spans="1:32">
      <c r="A3" s="33" t="s">
        <v>10</v>
      </c>
      <c r="B3" s="34" t="s">
        <v>11</v>
      </c>
      <c r="C3" s="23" t="str" cm="1">
        <f t="array" ref="C3">_xlfn.IFS(B3="North","Zone 1",B3="South","Zone 2",B3="East","Zone 3",TRUE,"Zone 4")</f>
        <v>Zone 2</v>
      </c>
      <c r="D3" s="34" t="s">
        <v>12</v>
      </c>
      <c r="E3" s="35">
        <v>19592</v>
      </c>
      <c r="F3" s="36" t="s">
        <v>13</v>
      </c>
      <c r="G3" s="37">
        <v>0</v>
      </c>
      <c r="H3" s="27" t="str">
        <f t="shared" ref="H3:H31" si="0">IF(E3,"Highe Sales","Low Sales")</f>
        <v>Highe Sales</v>
      </c>
      <c r="I3" s="27" t="str">
        <f t="shared" ref="I3:I31" si="1">IF(F3="Completed","Achieved","Not Achieved")</f>
        <v>Not Achieved</v>
      </c>
      <c r="J3" s="28" t="str" cm="1">
        <f t="array" ref="J3">_xlfn.IFS(E3&gt;=75000,"A",E3&gt;=50000,"B",E3&lt;50000,"C")</f>
        <v>C</v>
      </c>
      <c r="K3" s="28" t="str" cm="1">
        <f t="array" ref="K3">_xlfn.IFS(B3="North","Zone-1",B3="South","Zone-2",B3="East","Zone-3",TRUE,"Zone-4")</f>
        <v>Zone-2</v>
      </c>
      <c r="L3" s="29" t="str">
        <f t="shared" ref="L3:L31" si="2">IFERROR(E3/G3,"NA")</f>
        <v>NA</v>
      </c>
      <c r="N3" t="str">
        <f t="shared" ref="N3:N31" si="3">IF(E3&gt;60000,"Highe Sale","Low sales")</f>
        <v>Low sales</v>
      </c>
      <c r="O3" t="str">
        <f t="shared" ref="O3:O31" si="4">IF(E3,"Ture","False")</f>
        <v>Ture</v>
      </c>
      <c r="P3" s="30" t="str">
        <f t="shared" ref="P3:P31" si="5">IF(E3&gt;=75000,"A",IF(E4&gt;=50000,"B","C"))</f>
        <v>C</v>
      </c>
      <c r="Q3" s="3"/>
      <c r="R3" s="3" t="s">
        <v>63</v>
      </c>
      <c r="S3" s="3" t="s">
        <v>64</v>
      </c>
      <c r="T3" s="3" t="s">
        <v>65</v>
      </c>
      <c r="U3" s="3" t="s">
        <v>66</v>
      </c>
      <c r="V3" s="3" t="s">
        <v>67</v>
      </c>
    </row>
    <row r="4" ht="46" customHeight="1" spans="1:32">
      <c r="A4" s="22" t="s">
        <v>14</v>
      </c>
      <c r="B4" s="23" t="s">
        <v>15</v>
      </c>
      <c r="C4" s="23" t="str" cm="1">
        <f t="array" ref="C4">_xlfn.IFS(B4="North","Zone 1",B4="South","Zone 2",B4="East","Zone 3",TRUE,"Zone 4")</f>
        <v>Zone 3</v>
      </c>
      <c r="D4" s="23" t="s">
        <v>16</v>
      </c>
      <c r="E4" s="24">
        <v>8278</v>
      </c>
      <c r="F4" s="38" t="s">
        <v>17</v>
      </c>
      <c r="G4" s="26">
        <v>0</v>
      </c>
      <c r="H4" s="27" t="str">
        <f t="shared" si="0"/>
        <v>Highe Sales</v>
      </c>
      <c r="I4" s="27" t="str">
        <f t="shared" si="1"/>
        <v>Not Achieved</v>
      </c>
      <c r="J4" s="28" t="str" cm="1">
        <f t="array" ref="J4">_xlfn.IFS(E4&gt;=75000,"A",E4&gt;=50000,"B",E4&lt;50000,"C")</f>
        <v>C</v>
      </c>
      <c r="K4" s="28" t="str" cm="1">
        <f t="array" ref="K4">_xlfn.IFS(B4="North","Zone-1",B4="South","Zone-2",B4="East","Zone-3",TRUE,"Zone-4")</f>
        <v>Zone-3</v>
      </c>
      <c r="L4" s="29" t="str">
        <f t="shared" si="2"/>
        <v>NA</v>
      </c>
      <c r="N4" t="str">
        <f t="shared" si="3"/>
        <v>Low sales</v>
      </c>
      <c r="O4" t="str">
        <f t="shared" si="4"/>
        <v>Ture</v>
      </c>
      <c r="P4" s="30" t="str">
        <f t="shared" si="5"/>
        <v>C</v>
      </c>
      <c r="Q4" s="39"/>
      <c r="R4" s="40">
        <v>1</v>
      </c>
      <c r="S4" s="36" t="s">
        <v>68</v>
      </c>
      <c r="T4" s="41" t="s">
        <v>69</v>
      </c>
      <c r="U4" s="42" t="s">
        <v>70</v>
      </c>
      <c r="V4" s="43"/>
    </row>
    <row r="5" ht="37.5" customHeight="1" spans="1:32">
      <c r="A5" s="33" t="s">
        <v>18</v>
      </c>
      <c r="B5" s="34" t="s">
        <v>19</v>
      </c>
      <c r="C5" s="23" t="str" cm="1">
        <f t="array" ref="C5">_xlfn.IFS(B5="North","Zone 1",B5="South","Zone 2",B5="East","Zone 3",TRUE,"Zone 4")</f>
        <v>Zone 4</v>
      </c>
      <c r="D5" s="34" t="s">
        <v>20</v>
      </c>
      <c r="E5" s="35">
        <v>41048</v>
      </c>
      <c r="F5" s="25" t="s">
        <v>9</v>
      </c>
      <c r="G5" s="37">
        <v>7</v>
      </c>
      <c r="H5" s="27" t="str">
        <f t="shared" si="0"/>
        <v>Highe Sales</v>
      </c>
      <c r="I5" s="27" t="str">
        <f t="shared" si="1"/>
        <v>Achieved</v>
      </c>
      <c r="J5" s="28" t="str" cm="1">
        <f t="array" ref="J5">_xlfn.IFS(E5&gt;=75000,"A",E5&gt;=50000,"B",E5&lt;50000,"C")</f>
        <v>C</v>
      </c>
      <c r="K5" s="28" t="str" cm="1">
        <f t="array" ref="K5">_xlfn.IFS(B5="North","Zone-1",B5="South","Zone-2",B5="East","Zone-3",TRUE,"Zone-4")</f>
        <v>Zone-4</v>
      </c>
      <c r="L5" s="29">
        <f t="shared" si="2"/>
        <v>5864</v>
      </c>
      <c r="N5" t="str">
        <f t="shared" si="3"/>
        <v>Low sales</v>
      </c>
      <c r="O5" t="str">
        <f t="shared" si="4"/>
        <v>Ture</v>
      </c>
      <c r="P5" s="30" t="str">
        <f t="shared" si="5"/>
        <v>C</v>
      </c>
      <c r="Q5" s="39"/>
      <c r="R5" s="40">
        <v>2</v>
      </c>
      <c r="S5" s="36" t="s">
        <v>68</v>
      </c>
      <c r="T5" s="44" t="s">
        <v>71</v>
      </c>
      <c r="U5" s="42" t="s">
        <v>72</v>
      </c>
      <c r="V5" s="43"/>
      <c r="Y5" s="45" t="s">
        <v>73</v>
      </c>
      <c r="Z5" s="46"/>
      <c r="AA5" s="46"/>
      <c r="AB5" s="46"/>
      <c r="AC5" s="46"/>
      <c r="AD5" s="46"/>
      <c r="AE5" s="46"/>
      <c r="AF5" s="47"/>
    </row>
    <row r="6" ht="32" customHeight="1" spans="1:32">
      <c r="A6" s="22" t="s">
        <v>21</v>
      </c>
      <c r="B6" s="23" t="s">
        <v>22</v>
      </c>
      <c r="C6" s="23" t="str" cm="1">
        <f t="array" ref="C6">_xlfn.IFS(B6="North","Zone 1",B6="South","Zone 2",B6="East","Zone 3",TRUE,"Zone 4")</f>
        <v>Zone 4</v>
      </c>
      <c r="D6" s="23" t="s">
        <v>23</v>
      </c>
      <c r="E6" s="24">
        <v>37098</v>
      </c>
      <c r="F6" s="38" t="s">
        <v>17</v>
      </c>
      <c r="G6" s="26">
        <v>0</v>
      </c>
      <c r="H6" s="27" t="str">
        <f t="shared" si="0"/>
        <v>Highe Sales</v>
      </c>
      <c r="I6" s="27" t="str">
        <f t="shared" si="1"/>
        <v>Not Achieved</v>
      </c>
      <c r="J6" s="28" t="str" cm="1">
        <f t="array" ref="J6">_xlfn.IFS(E6&gt;=75000,"A",E6&gt;=50000,"B",E6&lt;50000,"C")</f>
        <v>C</v>
      </c>
      <c r="K6" s="28" t="str" cm="1">
        <f t="array" ref="K6">_xlfn.IFS(B6="North","Zone-1",B6="South","Zone-2",B6="East","Zone-3",TRUE,"Zone-4")</f>
        <v>Zone-4</v>
      </c>
      <c r="L6" s="29" t="str">
        <f t="shared" si="2"/>
        <v>NA</v>
      </c>
      <c r="N6" t="str">
        <f t="shared" si="3"/>
        <v>Low sales</v>
      </c>
      <c r="O6" t="str">
        <f t="shared" si="4"/>
        <v>Ture</v>
      </c>
      <c r="P6" s="30" t="str">
        <f t="shared" si="5"/>
        <v>C</v>
      </c>
      <c r="Q6" s="48"/>
      <c r="R6" s="49">
        <v>3</v>
      </c>
      <c r="S6" s="25" t="s">
        <v>74</v>
      </c>
      <c r="T6" s="41" t="s">
        <v>75</v>
      </c>
      <c r="U6" s="42" t="s">
        <v>76</v>
      </c>
      <c r="V6" s="43"/>
      <c r="Y6" s="50" t="s">
        <v>77</v>
      </c>
      <c r="AF6" s="51"/>
    </row>
    <row r="7" ht="43" customHeight="1" spans="1:32">
      <c r="A7" s="33" t="s">
        <v>24</v>
      </c>
      <c r="B7" s="34" t="s">
        <v>7</v>
      </c>
      <c r="C7" s="23" t="str" cm="1">
        <f t="array" ref="C7">_xlfn.IFS(B7="North","Zone 1",B7="South","Zone 2",B7="East","Zone 3",TRUE,"Zone 4")</f>
        <v>Zone 1</v>
      </c>
      <c r="D7" s="34" t="s">
        <v>8</v>
      </c>
      <c r="E7" s="35">
        <v>34256</v>
      </c>
      <c r="F7" s="25" t="s">
        <v>9</v>
      </c>
      <c r="G7" s="37">
        <v>7</v>
      </c>
      <c r="H7" s="27" t="str">
        <f t="shared" si="0"/>
        <v>Highe Sales</v>
      </c>
      <c r="I7" s="27" t="str">
        <f t="shared" si="1"/>
        <v>Achieved</v>
      </c>
      <c r="J7" s="28" t="str" cm="1">
        <f t="array" ref="J7">_xlfn.IFS(E7&gt;=75000,"A",E7&gt;=50000,"B",E7&lt;50000,"C")</f>
        <v>C</v>
      </c>
      <c r="K7" s="28" t="str" cm="1">
        <f t="array" ref="K7">_xlfn.IFS(B7="North","Zone-1",B7="South","Zone-2",B7="East","Zone-3",TRUE,"Zone-4")</f>
        <v>Zone-1</v>
      </c>
      <c r="L7" s="29">
        <f t="shared" si="2"/>
        <v>4893.71428571429</v>
      </c>
      <c r="N7" t="str">
        <f t="shared" si="3"/>
        <v>Low sales</v>
      </c>
      <c r="O7" t="str">
        <f t="shared" si="4"/>
        <v>Ture</v>
      </c>
      <c r="P7" s="30" t="str">
        <f t="shared" si="5"/>
        <v>C</v>
      </c>
      <c r="Q7" s="48"/>
      <c r="R7" s="49">
        <v>4</v>
      </c>
      <c r="S7" s="25" t="s">
        <v>74</v>
      </c>
      <c r="T7" s="44" t="s">
        <v>78</v>
      </c>
      <c r="U7" s="42" t="s">
        <v>79</v>
      </c>
      <c r="V7" s="43"/>
      <c r="Y7" s="52"/>
      <c r="AF7" s="51"/>
    </row>
    <row r="8" ht="37.5" customHeight="1" spans="1:32">
      <c r="A8" s="22" t="s">
        <v>25</v>
      </c>
      <c r="B8" s="23" t="s">
        <v>11</v>
      </c>
      <c r="C8" s="23" t="str" cm="1">
        <f t="array" ref="C8">_xlfn.IFS(B8="North","Zone 1",B8="South","Zone 2",B8="East","Zone 3",TRUE,"Zone 4")</f>
        <v>Zone 2</v>
      </c>
      <c r="D8" s="23" t="s">
        <v>12</v>
      </c>
      <c r="E8" s="24">
        <v>23289</v>
      </c>
      <c r="F8" s="36" t="s">
        <v>13</v>
      </c>
      <c r="G8" s="26">
        <v>8</v>
      </c>
      <c r="H8" s="27" t="str">
        <f t="shared" si="0"/>
        <v>Highe Sales</v>
      </c>
      <c r="I8" s="27" t="str">
        <f t="shared" si="1"/>
        <v>Not Achieved</v>
      </c>
      <c r="J8" s="28" t="str" cm="1">
        <f t="array" ref="J8">_xlfn.IFS(E8&gt;=75000,"A",E8&gt;=50000,"B",E8&lt;50000,"C")</f>
        <v>C</v>
      </c>
      <c r="K8" s="28" t="str" cm="1">
        <f t="array" ref="K8">_xlfn.IFS(B8="North","Zone-1",B8="South","Zone-2",B8="East","Zone-3",TRUE,"Zone-4")</f>
        <v>Zone-2</v>
      </c>
      <c r="L8" s="29">
        <f t="shared" si="2"/>
        <v>2911.125</v>
      </c>
      <c r="N8" t="str">
        <f t="shared" si="3"/>
        <v>Low sales</v>
      </c>
      <c r="O8" t="str">
        <f t="shared" si="4"/>
        <v>Ture</v>
      </c>
      <c r="P8" s="30" t="str">
        <f t="shared" si="5"/>
        <v>C</v>
      </c>
      <c r="Q8" s="53"/>
      <c r="R8" s="54">
        <v>5</v>
      </c>
      <c r="S8" s="55" t="s">
        <v>55</v>
      </c>
      <c r="T8" s="41" t="s">
        <v>80</v>
      </c>
      <c r="U8" s="42" t="s">
        <v>81</v>
      </c>
      <c r="V8" s="56"/>
      <c r="Y8" s="57" t="s">
        <v>82</v>
      </c>
      <c r="AF8" s="51"/>
    </row>
    <row r="9" ht="37.5" customHeight="1" spans="1:32">
      <c r="A9" s="33" t="s">
        <v>26</v>
      </c>
      <c r="B9" s="34" t="s">
        <v>15</v>
      </c>
      <c r="C9" s="23" t="str" cm="1">
        <f t="array" ref="C9">_xlfn.IFS(B9="North","Zone 1",B9="South","Zone 2",B9="East","Zone 3",TRUE,"Zone 4")</f>
        <v>Zone 3</v>
      </c>
      <c r="D9" s="34" t="s">
        <v>16</v>
      </c>
      <c r="E9" s="34"/>
      <c r="F9" s="38" t="s">
        <v>17</v>
      </c>
      <c r="G9" s="37">
        <v>4</v>
      </c>
      <c r="H9" s="27" t="str">
        <f t="shared" si="0"/>
        <v>Low Sales</v>
      </c>
      <c r="I9" s="27" t="str">
        <f t="shared" si="1"/>
        <v>Not Achieved</v>
      </c>
      <c r="J9" s="28" t="str" cm="1">
        <f t="array" ref="J9">_xlfn.IFS(E9&gt;=75000,"A",E9&gt;=50000,"B",E9&lt;50000,"C")</f>
        <v>C</v>
      </c>
      <c r="K9" s="28" t="str" cm="1">
        <f t="array" ref="K9">_xlfn.IFS(B9="North","Zone-1",B9="South","Zone-2",B9="East","Zone-3",TRUE,"Zone-4")</f>
        <v>Zone-3</v>
      </c>
      <c r="L9" s="29">
        <f t="shared" si="2"/>
        <v>0</v>
      </c>
      <c r="N9" t="str">
        <f t="shared" si="3"/>
        <v>Low sales</v>
      </c>
      <c r="O9" t="str">
        <f t="shared" si="4"/>
        <v>False</v>
      </c>
      <c r="P9" s="30" t="str">
        <f t="shared" si="5"/>
        <v>B</v>
      </c>
      <c r="Q9" s="58"/>
      <c r="R9" s="59">
        <v>6</v>
      </c>
      <c r="S9" s="20" t="s">
        <v>56</v>
      </c>
      <c r="T9" s="41" t="s">
        <v>83</v>
      </c>
      <c r="U9" s="42" t="s">
        <v>84</v>
      </c>
      <c r="V9" s="43">
        <f>COUNT(E2:E31)</f>
        <v>27</v>
      </c>
      <c r="Y9" s="50" t="s">
        <v>85</v>
      </c>
      <c r="AF9" s="51"/>
    </row>
    <row r="10" ht="37.5" customHeight="1" spans="1:32">
      <c r="A10" s="22" t="s">
        <v>27</v>
      </c>
      <c r="B10" s="23" t="s">
        <v>19</v>
      </c>
      <c r="C10" s="23" t="str" cm="1">
        <f t="array" ref="C10">_xlfn.IFS(B10="North","Zone 1",B10="South","Zone 2",B10="East","Zone 3",TRUE,"Zone 4")</f>
        <v>Zone 4</v>
      </c>
      <c r="D10" s="23" t="s">
        <v>20</v>
      </c>
      <c r="E10" s="24">
        <v>93696</v>
      </c>
      <c r="F10" s="25" t="s">
        <v>9</v>
      </c>
      <c r="G10" s="26">
        <v>3</v>
      </c>
      <c r="H10" s="27" t="str">
        <f t="shared" si="0"/>
        <v>Highe Sales</v>
      </c>
      <c r="I10" s="27" t="str">
        <f t="shared" si="1"/>
        <v>Achieved</v>
      </c>
      <c r="J10" s="28" t="str" cm="1">
        <f t="array" ref="J10">_xlfn.IFS(E10&gt;=75000,"A",E10&gt;=50000,"B",E10&lt;50000,"C")</f>
        <v>A</v>
      </c>
      <c r="K10" s="28" t="str" cm="1">
        <f t="array" ref="K10">_xlfn.IFS(B10="North","Zone-1",B10="South","Zone-2",B10="East","Zone-3",TRUE,"Zone-4")</f>
        <v>Zone-4</v>
      </c>
      <c r="L10" s="29">
        <f t="shared" si="2"/>
        <v>31232</v>
      </c>
      <c r="N10" t="str">
        <f t="shared" si="3"/>
        <v>Highe Sale</v>
      </c>
      <c r="O10" t="str">
        <f t="shared" si="4"/>
        <v>Ture</v>
      </c>
      <c r="P10" s="30" t="str">
        <f t="shared" si="5"/>
        <v>A</v>
      </c>
      <c r="Q10" s="58"/>
      <c r="R10" s="59">
        <v>7</v>
      </c>
      <c r="S10" s="20" t="s">
        <v>86</v>
      </c>
      <c r="T10" s="44" t="s">
        <v>87</v>
      </c>
      <c r="U10" s="42" t="s">
        <v>88</v>
      </c>
      <c r="V10" s="43">
        <f>COUNTA(A2:A31)</f>
        <v>30</v>
      </c>
      <c r="Y10" s="52"/>
      <c r="AF10" s="51"/>
    </row>
    <row r="11" ht="37.5" customHeight="1" spans="1:32">
      <c r="A11" s="33" t="s">
        <v>28</v>
      </c>
      <c r="B11" s="34" t="s">
        <v>22</v>
      </c>
      <c r="C11" s="23" t="str" cm="1">
        <f t="array" ref="C11">_xlfn.IFS(B11="North","Zone 1",B11="South","Zone 2",B11="East","Zone 3",TRUE,"Zone 4")</f>
        <v>Zone 4</v>
      </c>
      <c r="D11" s="34" t="s">
        <v>23</v>
      </c>
      <c r="E11" s="35">
        <v>76482</v>
      </c>
      <c r="F11" s="25" t="s">
        <v>9</v>
      </c>
      <c r="G11" s="37">
        <v>0</v>
      </c>
      <c r="H11" s="27" t="str">
        <f t="shared" si="0"/>
        <v>Highe Sales</v>
      </c>
      <c r="I11" s="27" t="str">
        <f t="shared" si="1"/>
        <v>Achieved</v>
      </c>
      <c r="J11" s="28" t="str" cm="1">
        <f t="array" ref="J11">_xlfn.IFS(E11&gt;=75000,"A",E11&gt;=50000,"B",E11&lt;50000,"C")</f>
        <v>A</v>
      </c>
      <c r="K11" s="28" t="str" cm="1">
        <f t="array" ref="K11">_xlfn.IFS(B11="North","Zone-1",B11="South","Zone-2",B11="East","Zone-3",TRUE,"Zone-4")</f>
        <v>Zone-4</v>
      </c>
      <c r="L11" s="29" t="str">
        <f t="shared" si="2"/>
        <v>NA</v>
      </c>
      <c r="N11" t="str">
        <f t="shared" si="3"/>
        <v>Highe Sale</v>
      </c>
      <c r="O11" t="str">
        <f t="shared" si="4"/>
        <v>Ture</v>
      </c>
      <c r="P11" s="30" t="str">
        <f t="shared" si="5"/>
        <v>A</v>
      </c>
      <c r="Q11" s="60"/>
      <c r="R11" s="61">
        <v>8</v>
      </c>
      <c r="S11" s="62" t="s">
        <v>89</v>
      </c>
      <c r="T11" s="41" t="s">
        <v>90</v>
      </c>
      <c r="U11" s="42" t="s">
        <v>91</v>
      </c>
      <c r="V11" s="43">
        <f>COUNTBLANK(E2:E31)</f>
        <v>3</v>
      </c>
      <c r="Y11" s="52" t="s">
        <v>92</v>
      </c>
      <c r="AF11" s="51"/>
    </row>
    <row r="12" ht="37.5" customHeight="1" spans="1:32">
      <c r="A12" s="22" t="s">
        <v>29</v>
      </c>
      <c r="B12" s="23" t="s">
        <v>7</v>
      </c>
      <c r="C12" s="23" t="str" cm="1">
        <f t="array" ref="C12">_xlfn.IFS(B12="North","Zone 1",B12="South","Zone 2",B12="East","Zone 3",TRUE,"Zone 4")</f>
        <v>Zone 1</v>
      </c>
      <c r="D12" s="23" t="s">
        <v>8</v>
      </c>
      <c r="E12" s="24">
        <v>16395</v>
      </c>
      <c r="F12" s="25" t="s">
        <v>9</v>
      </c>
      <c r="G12" s="26">
        <v>2</v>
      </c>
      <c r="H12" s="27" t="str">
        <f t="shared" si="0"/>
        <v>Highe Sales</v>
      </c>
      <c r="I12" s="27" t="str">
        <f t="shared" si="1"/>
        <v>Achieved</v>
      </c>
      <c r="J12" s="28" t="str" cm="1">
        <f t="array" ref="J12">_xlfn.IFS(E12&gt;=75000,"A",E12&gt;=50000,"B",E12&lt;50000,"C")</f>
        <v>C</v>
      </c>
      <c r="K12" s="28" t="str" cm="1">
        <f t="array" ref="K12">_xlfn.IFS(B12="North","Zone-1",B12="South","Zone-2",B12="East","Zone-3",TRUE,"Zone-4")</f>
        <v>Zone-1</v>
      </c>
      <c r="L12" s="29">
        <f t="shared" si="2"/>
        <v>8197.5</v>
      </c>
      <c r="N12" t="str">
        <f t="shared" si="3"/>
        <v>Low sales</v>
      </c>
      <c r="O12" t="str">
        <f t="shared" si="4"/>
        <v>Ture</v>
      </c>
      <c r="P12" s="30" t="str">
        <f t="shared" si="5"/>
        <v>B</v>
      </c>
      <c r="Q12" s="63"/>
      <c r="R12" s="64">
        <v>9</v>
      </c>
      <c r="S12" s="65" t="s">
        <v>93</v>
      </c>
      <c r="T12" s="41" t="s">
        <v>94</v>
      </c>
      <c r="U12" s="42" t="s">
        <v>95</v>
      </c>
      <c r="V12" s="43">
        <f>COUNTIF(F2:F31,"Completed")</f>
        <v>17</v>
      </c>
      <c r="Y12" s="52"/>
      <c r="AF12" s="51"/>
    </row>
    <row r="13" ht="37.5" customHeight="1" spans="1:32">
      <c r="A13" s="33" t="s">
        <v>30</v>
      </c>
      <c r="B13" s="34" t="s">
        <v>11</v>
      </c>
      <c r="C13" s="23" t="str" cm="1">
        <f t="array" ref="C13">_xlfn.IFS(B13="North","Zone 1",B13="South","Zone 2",B13="East","Zone 3",TRUE,"Zone 4")</f>
        <v>Zone 2</v>
      </c>
      <c r="D13" s="34" t="s">
        <v>12</v>
      </c>
      <c r="E13" s="35">
        <v>82397</v>
      </c>
      <c r="F13" s="36" t="s">
        <v>13</v>
      </c>
      <c r="G13" s="37">
        <v>5</v>
      </c>
      <c r="H13" s="27" t="str">
        <f t="shared" si="0"/>
        <v>Highe Sales</v>
      </c>
      <c r="I13" s="27" t="str">
        <f t="shared" si="1"/>
        <v>Not Achieved</v>
      </c>
      <c r="J13" s="28" t="str" cm="1">
        <f t="array" ref="J13">_xlfn.IFS(E13&gt;=75000,"A",E13&gt;=50000,"B",E13&lt;50000,"C")</f>
        <v>A</v>
      </c>
      <c r="K13" s="28" t="str" cm="1">
        <f t="array" ref="K13">_xlfn.IFS(B13="North","Zone-1",B13="South","Zone-2",B13="East","Zone-3",TRUE,"Zone-4")</f>
        <v>Zone-2</v>
      </c>
      <c r="L13" s="29">
        <f t="shared" si="2"/>
        <v>16479.4</v>
      </c>
      <c r="N13" t="str">
        <f t="shared" si="3"/>
        <v>Highe Sale</v>
      </c>
      <c r="O13" t="str">
        <f t="shared" si="4"/>
        <v>Ture</v>
      </c>
      <c r="P13" s="30" t="str">
        <f t="shared" si="5"/>
        <v>A</v>
      </c>
      <c r="Q13" s="63"/>
      <c r="R13" s="64">
        <v>10</v>
      </c>
      <c r="S13" s="65" t="s">
        <v>93</v>
      </c>
      <c r="T13" s="44" t="s">
        <v>96</v>
      </c>
      <c r="U13" s="42" t="s">
        <v>97</v>
      </c>
      <c r="V13" s="43">
        <f>COUNTIF(A2:B31,"West")</f>
        <v>6</v>
      </c>
      <c r="Y13" s="50" t="s">
        <v>98</v>
      </c>
      <c r="AF13" s="51"/>
    </row>
    <row r="14" ht="37.5" customHeight="1" spans="1:32">
      <c r="A14" s="22" t="s">
        <v>31</v>
      </c>
      <c r="B14" s="23" t="s">
        <v>15</v>
      </c>
      <c r="C14" s="23" t="str" cm="1">
        <f t="array" ref="C14">_xlfn.IFS(B14="North","Zone 1",B14="South","Zone 2",B14="East","Zone 3",TRUE,"Zone 4")</f>
        <v>Zone 3</v>
      </c>
      <c r="D14" s="23" t="s">
        <v>16</v>
      </c>
      <c r="E14" s="24">
        <v>60302</v>
      </c>
      <c r="F14" s="38" t="s">
        <v>17</v>
      </c>
      <c r="G14" s="26">
        <v>6</v>
      </c>
      <c r="H14" s="27" t="str">
        <f t="shared" si="0"/>
        <v>Highe Sales</v>
      </c>
      <c r="I14" s="27" t="str">
        <f t="shared" si="1"/>
        <v>Not Achieved</v>
      </c>
      <c r="J14" s="28" t="str" cm="1">
        <f t="array" ref="J14">_xlfn.IFS(E14&gt;=75000,"A",E14&gt;=50000,"B",E14&lt;50000,"C")</f>
        <v>B</v>
      </c>
      <c r="K14" s="28" t="str" cm="1">
        <f t="array" ref="K14">_xlfn.IFS(B14="North","Zone-1",B14="South","Zone-2",B14="East","Zone-3",TRUE,"Zone-4")</f>
        <v>Zone-3</v>
      </c>
      <c r="L14" s="29">
        <f t="shared" si="2"/>
        <v>10050.3333333333</v>
      </c>
      <c r="N14" t="str">
        <f t="shared" si="3"/>
        <v>Highe Sale</v>
      </c>
      <c r="O14" t="str">
        <f t="shared" si="4"/>
        <v>Ture</v>
      </c>
      <c r="P14" s="30" t="str">
        <f t="shared" si="5"/>
        <v>C</v>
      </c>
      <c r="Q14" s="63"/>
      <c r="R14" s="64">
        <v>11</v>
      </c>
      <c r="S14" s="65" t="s">
        <v>93</v>
      </c>
      <c r="T14" s="41" t="s">
        <v>99</v>
      </c>
      <c r="U14" s="42" t="s">
        <v>100</v>
      </c>
      <c r="V14" s="43">
        <f>COUNTIF(E2:E31,"&gt;70000")</f>
        <v>10</v>
      </c>
      <c r="Y14" s="52"/>
      <c r="AF14" s="51"/>
    </row>
    <row r="15" ht="37.5" customHeight="1" spans="1:32">
      <c r="A15" s="33" t="s">
        <v>32</v>
      </c>
      <c r="B15" s="34" t="s">
        <v>19</v>
      </c>
      <c r="C15" s="23" t="str" cm="1">
        <f t="array" ref="C15">_xlfn.IFS(B15="North","Zone 1",B15="South","Zone 2",B15="East","Zone 3",TRUE,"Zone 4")</f>
        <v>Zone 4</v>
      </c>
      <c r="D15" s="34" t="s">
        <v>20</v>
      </c>
      <c r="E15" s="35">
        <v>9165</v>
      </c>
      <c r="F15" s="25" t="s">
        <v>9</v>
      </c>
      <c r="G15" s="37">
        <v>4</v>
      </c>
      <c r="H15" s="27" t="str">
        <f t="shared" si="0"/>
        <v>Highe Sales</v>
      </c>
      <c r="I15" s="27" t="str">
        <f t="shared" si="1"/>
        <v>Achieved</v>
      </c>
      <c r="J15" s="28" t="str" cm="1">
        <f t="array" ref="J15">_xlfn.IFS(E15&gt;=75000,"A",E15&gt;=50000,"B",E15&lt;50000,"C")</f>
        <v>C</v>
      </c>
      <c r="K15" s="28" t="str" cm="1">
        <f t="array" ref="K15">_xlfn.IFS(B15="North","Zone-1",B15="South","Zone-2",B15="East","Zone-3",TRUE,"Zone-4")</f>
        <v>Zone-4</v>
      </c>
      <c r="L15" s="29">
        <f t="shared" si="2"/>
        <v>2291.25</v>
      </c>
      <c r="N15" t="str">
        <f t="shared" si="3"/>
        <v>Low sales</v>
      </c>
      <c r="O15" t="str">
        <f t="shared" si="4"/>
        <v>Ture</v>
      </c>
      <c r="P15" s="30" t="str">
        <f t="shared" si="5"/>
        <v>C</v>
      </c>
      <c r="Q15" s="63"/>
      <c r="R15" s="64">
        <v>12</v>
      </c>
      <c r="S15" s="65" t="s">
        <v>93</v>
      </c>
      <c r="T15" s="44" t="s">
        <v>101</v>
      </c>
      <c r="U15" s="42" t="s">
        <v>97</v>
      </c>
      <c r="V15" s="43">
        <f>COUNTIF(D2:D31,"Furniture")</f>
        <v>6</v>
      </c>
      <c r="Y15" s="50" t="s">
        <v>102</v>
      </c>
      <c r="AF15" s="51"/>
    </row>
    <row r="16" ht="37.5" customHeight="1" spans="1:32">
      <c r="A16" s="22" t="s">
        <v>33</v>
      </c>
      <c r="B16" s="23" t="s">
        <v>22</v>
      </c>
      <c r="C16" s="23" t="str" cm="1">
        <f t="array" ref="C16">_xlfn.IFS(B16="North","Zone 1",B16="South","Zone 2",B16="East","Zone 3",TRUE,"Zone 4")</f>
        <v>Zone 4</v>
      </c>
      <c r="D16" s="23" t="s">
        <v>23</v>
      </c>
      <c r="E16" s="24">
        <v>8905</v>
      </c>
      <c r="F16" s="25" t="s">
        <v>9</v>
      </c>
      <c r="G16" s="26">
        <v>3</v>
      </c>
      <c r="H16" s="27" t="str">
        <f t="shared" si="0"/>
        <v>Highe Sales</v>
      </c>
      <c r="I16" s="27" t="str">
        <f t="shared" si="1"/>
        <v>Achieved</v>
      </c>
      <c r="J16" s="28" t="str" cm="1">
        <f t="array" ref="J16">_xlfn.IFS(E16&gt;=75000,"A",E16&gt;=50000,"B",E16&lt;50000,"C")</f>
        <v>C</v>
      </c>
      <c r="K16" s="28" t="str" cm="1">
        <f t="array" ref="K16">_xlfn.IFS(B16="North","Zone-1",B16="South","Zone-2",B16="East","Zone-3",TRUE,"Zone-4")</f>
        <v>Zone-4</v>
      </c>
      <c r="L16" s="29">
        <f t="shared" si="2"/>
        <v>2968.33333333333</v>
      </c>
      <c r="N16" t="str">
        <f t="shared" si="3"/>
        <v>Low sales</v>
      </c>
      <c r="O16" t="str">
        <f t="shared" si="4"/>
        <v>Ture</v>
      </c>
      <c r="P16" s="30" t="str">
        <f t="shared" si="5"/>
        <v>C</v>
      </c>
      <c r="Q16" s="63"/>
      <c r="R16" s="64">
        <v>13</v>
      </c>
      <c r="S16" s="65" t="s">
        <v>103</v>
      </c>
      <c r="T16" s="41" t="s">
        <v>104</v>
      </c>
      <c r="U16" s="42" t="s">
        <v>100</v>
      </c>
      <c r="V16" s="43">
        <f>COUNTIFS(F2:F31,"completed",D2:D31,"Clothing")</f>
        <v>1</v>
      </c>
      <c r="Y16" s="66"/>
      <c r="Z16" s="67"/>
      <c r="AA16" s="67"/>
      <c r="AB16" s="67"/>
      <c r="AC16" s="67"/>
      <c r="AD16" s="67"/>
      <c r="AE16" s="67"/>
      <c r="AF16" s="68"/>
    </row>
    <row r="17" ht="37.5" customHeight="1" spans="1:23">
      <c r="A17" s="33" t="s">
        <v>34</v>
      </c>
      <c r="B17" s="34" t="s">
        <v>7</v>
      </c>
      <c r="C17" s="23" t="str" cm="1">
        <f t="array" ref="C17">_xlfn.IFS(B17="North","Zone 1",B17="South","Zone 2",B17="East","Zone 3",TRUE,"Zone 4")</f>
        <v>Zone 1</v>
      </c>
      <c r="D17" s="34" t="s">
        <v>8</v>
      </c>
      <c r="E17" s="34"/>
      <c r="F17" s="25" t="s">
        <v>9</v>
      </c>
      <c r="G17" s="37">
        <v>3</v>
      </c>
      <c r="H17" s="27" t="str">
        <f t="shared" si="0"/>
        <v>Low Sales</v>
      </c>
      <c r="I17" s="27" t="str">
        <f t="shared" si="1"/>
        <v>Achieved</v>
      </c>
      <c r="J17" s="28" t="str" cm="1">
        <f t="array" ref="J17">_xlfn.IFS(E17&gt;=75000,"A",E17&gt;=50000,"B",E17&lt;50000,"C")</f>
        <v>C</v>
      </c>
      <c r="K17" s="28" t="str" cm="1">
        <f t="array" ref="K17">_xlfn.IFS(B17="North","Zone-1",B17="South","Zone-2",B17="East","Zone-3",TRUE,"Zone-4")</f>
        <v>Zone-1</v>
      </c>
      <c r="L17" s="29">
        <f t="shared" si="2"/>
        <v>0</v>
      </c>
      <c r="N17" t="str">
        <f t="shared" si="3"/>
        <v>Low sales</v>
      </c>
      <c r="O17" t="str">
        <f t="shared" si="4"/>
        <v>False</v>
      </c>
      <c r="P17" s="30" t="str">
        <f t="shared" si="5"/>
        <v>C</v>
      </c>
      <c r="Q17" s="63"/>
      <c r="R17" s="64">
        <v>14</v>
      </c>
      <c r="S17" s="65" t="s">
        <v>103</v>
      </c>
      <c r="T17" s="44" t="s">
        <v>105</v>
      </c>
      <c r="U17" s="42" t="s">
        <v>100</v>
      </c>
      <c r="V17" s="43">
        <f>COUNTIFS(B2:B31,"South",E2:E31,"&gt;40000")</f>
        <v>2</v>
      </c>
    </row>
    <row r="18" ht="33" customHeight="1" spans="1:23">
      <c r="A18" s="22" t="s">
        <v>35</v>
      </c>
      <c r="B18" s="23" t="s">
        <v>11</v>
      </c>
      <c r="C18" s="23" t="str" cm="1">
        <f t="array" ref="C18">_xlfn.IFS(B18="North","Zone 1",B18="South","Zone 2",B18="East","Zone 3",TRUE,"Zone 4")</f>
        <v>Zone 2</v>
      </c>
      <c r="D18" s="23" t="s">
        <v>12</v>
      </c>
      <c r="E18" s="24">
        <v>33657</v>
      </c>
      <c r="F18" s="36" t="s">
        <v>13</v>
      </c>
      <c r="G18" s="26">
        <v>5</v>
      </c>
      <c r="H18" s="27" t="str">
        <f t="shared" si="0"/>
        <v>Highe Sales</v>
      </c>
      <c r="I18" s="27" t="str">
        <f t="shared" si="1"/>
        <v>Not Achieved</v>
      </c>
      <c r="J18" s="28" t="str" cm="1">
        <f t="array" ref="J18">_xlfn.IFS(E18&gt;=75000,"A",E18&gt;=50000,"B",E18&lt;50000,"C")</f>
        <v>C</v>
      </c>
      <c r="K18" s="28" t="str" cm="1">
        <f t="array" ref="K18">_xlfn.IFS(B18="North","Zone-1",B18="South","Zone-2",B18="East","Zone-3",TRUE,"Zone-4")</f>
        <v>Zone-2</v>
      </c>
      <c r="L18" s="29">
        <f t="shared" si="2"/>
        <v>6731.4</v>
      </c>
      <c r="N18" t="str">
        <f t="shared" si="3"/>
        <v>Low sales</v>
      </c>
      <c r="O18" t="str">
        <f t="shared" si="4"/>
        <v>Ture</v>
      </c>
      <c r="P18" s="30" t="str">
        <f t="shared" si="5"/>
        <v>C</v>
      </c>
      <c r="Q18" s="63"/>
      <c r="R18" s="64">
        <v>15</v>
      </c>
      <c r="S18" s="65" t="s">
        <v>103</v>
      </c>
      <c r="T18" s="41" t="s">
        <v>106</v>
      </c>
      <c r="U18" s="42" t="s">
        <v>100</v>
      </c>
      <c r="V18" s="43">
        <f>COUNTIFS(D2:D31,"Electronics",F2:F31,"Cancelled")</f>
        <v>0</v>
      </c>
    </row>
    <row r="19" ht="59" customHeight="1" spans="1:23">
      <c r="A19" s="33" t="s">
        <v>36</v>
      </c>
      <c r="B19" s="34" t="s">
        <v>15</v>
      </c>
      <c r="C19" s="23" t="str" cm="1">
        <f t="array" ref="C19">_xlfn.IFS(B19="North","Zone 1",B19="South","Zone 2",B19="East","Zone 3",TRUE,"Zone 4")</f>
        <v>Zone 3</v>
      </c>
      <c r="D19" s="34" t="s">
        <v>16</v>
      </c>
      <c r="E19" s="35">
        <v>35495</v>
      </c>
      <c r="F19" s="38" t="s">
        <v>17</v>
      </c>
      <c r="G19" s="37">
        <v>5</v>
      </c>
      <c r="H19" s="27" t="str">
        <f t="shared" si="0"/>
        <v>Highe Sales</v>
      </c>
      <c r="I19" s="27" t="str">
        <f t="shared" si="1"/>
        <v>Not Achieved</v>
      </c>
      <c r="J19" s="28" t="str" cm="1">
        <f t="array" ref="J19">_xlfn.IFS(E19&gt;=75000,"A",E19&gt;=50000,"B",E19&lt;50000,"C")</f>
        <v>C</v>
      </c>
      <c r="K19" s="28" t="str" cm="1">
        <f t="array" ref="K19">_xlfn.IFS(B19="North","Zone-1",B19="South","Zone-2",B19="East","Zone-3",TRUE,"Zone-4")</f>
        <v>Zone-3</v>
      </c>
      <c r="L19" s="29">
        <f t="shared" si="2"/>
        <v>7099</v>
      </c>
      <c r="N19" t="str">
        <f t="shared" si="3"/>
        <v>Low sales</v>
      </c>
      <c r="O19" t="str">
        <f t="shared" si="4"/>
        <v>Ture</v>
      </c>
      <c r="P19" s="30" t="str">
        <f t="shared" si="5"/>
        <v>B</v>
      </c>
      <c r="Q19" s="48"/>
      <c r="R19" s="49">
        <v>16</v>
      </c>
      <c r="S19" s="25" t="s">
        <v>107</v>
      </c>
      <c r="T19" s="44" t="s">
        <v>108</v>
      </c>
      <c r="U19" s="42" t="s">
        <v>109</v>
      </c>
      <c r="V19" s="43">
        <f>SUMIF(F2:F31,"Completed",E2:E31)</f>
        <v>840139</v>
      </c>
    </row>
    <row r="20" ht="37.5" customHeight="1" spans="1:23">
      <c r="A20" s="22" t="s">
        <v>37</v>
      </c>
      <c r="B20" s="23" t="s">
        <v>19</v>
      </c>
      <c r="C20" s="23" t="str" cm="1">
        <f t="array" ref="C20">_xlfn.IFS(B20="North","Zone 1",B20="South","Zone 2",B20="East","Zone 3",TRUE,"Zone 4")</f>
        <v>Zone 4</v>
      </c>
      <c r="D20" s="23" t="s">
        <v>20</v>
      </c>
      <c r="E20" s="24">
        <v>71237</v>
      </c>
      <c r="F20" s="25" t="s">
        <v>9</v>
      </c>
      <c r="G20" s="26">
        <v>5</v>
      </c>
      <c r="H20" s="27" t="str">
        <f t="shared" si="0"/>
        <v>Highe Sales</v>
      </c>
      <c r="I20" s="27" t="str">
        <f t="shared" si="1"/>
        <v>Achieved</v>
      </c>
      <c r="J20" s="28" t="str" cm="1">
        <f t="array" ref="J20">_xlfn.IFS(E20&gt;=75000,"A",E20&gt;=50000,"B",E20&lt;50000,"C")</f>
        <v>B</v>
      </c>
      <c r="K20" s="28" t="str" cm="1">
        <f t="array" ref="K20">_xlfn.IFS(B20="North","Zone-1",B20="South","Zone-2",B20="East","Zone-3",TRUE,"Zone-4")</f>
        <v>Zone-4</v>
      </c>
      <c r="L20" s="29">
        <f t="shared" si="2"/>
        <v>14247.4</v>
      </c>
      <c r="N20" t="str">
        <f t="shared" si="3"/>
        <v>Highe Sale</v>
      </c>
      <c r="O20" t="str">
        <f t="shared" si="4"/>
        <v>Ture</v>
      </c>
      <c r="P20" s="30" t="str">
        <f t="shared" si="5"/>
        <v>B</v>
      </c>
      <c r="Q20" s="48"/>
      <c r="R20" s="49">
        <v>17</v>
      </c>
      <c r="S20" s="25" t="s">
        <v>107</v>
      </c>
      <c r="T20" s="41" t="s">
        <v>110</v>
      </c>
      <c r="U20" s="42" t="s">
        <v>111</v>
      </c>
      <c r="V20" s="43">
        <f>SUMIF(B2:B31,"Central",E2:E31)</f>
        <v>324281</v>
      </c>
    </row>
    <row r="21" ht="37.5" customHeight="1" spans="1:23">
      <c r="A21" s="33" t="s">
        <v>38</v>
      </c>
      <c r="B21" s="34" t="s">
        <v>22</v>
      </c>
      <c r="C21" s="23" t="str" cm="1">
        <f t="array" ref="C21">_xlfn.IFS(B21="North","Zone 1",B21="South","Zone 2",B21="East","Zone 3",TRUE,"Zone 4")</f>
        <v>Zone 4</v>
      </c>
      <c r="D21" s="34" t="s">
        <v>23</v>
      </c>
      <c r="E21" s="35">
        <v>83907</v>
      </c>
      <c r="F21" s="25" t="s">
        <v>9</v>
      </c>
      <c r="G21" s="37">
        <v>6</v>
      </c>
      <c r="H21" s="27" t="str">
        <f t="shared" si="0"/>
        <v>Highe Sales</v>
      </c>
      <c r="I21" s="27" t="str">
        <f t="shared" si="1"/>
        <v>Achieved</v>
      </c>
      <c r="J21" s="28" t="str" cm="1">
        <f t="array" ref="J21">_xlfn.IFS(E21&gt;=75000,"A",E21&gt;=50000,"B",E21&lt;50000,"C")</f>
        <v>A</v>
      </c>
      <c r="K21" s="28" t="str" cm="1">
        <f t="array" ref="K21">_xlfn.IFS(B21="North","Zone-1",B21="South","Zone-2",B21="East","Zone-3",TRUE,"Zone-4")</f>
        <v>Zone-4</v>
      </c>
      <c r="L21" s="29">
        <f t="shared" si="2"/>
        <v>13984.5</v>
      </c>
      <c r="N21" t="str">
        <f t="shared" si="3"/>
        <v>Highe Sale</v>
      </c>
      <c r="O21" t="str">
        <f t="shared" si="4"/>
        <v>Ture</v>
      </c>
      <c r="P21" s="30" t="str">
        <f t="shared" si="5"/>
        <v>A</v>
      </c>
      <c r="Q21" s="48"/>
      <c r="R21" s="49">
        <v>18</v>
      </c>
      <c r="S21" s="25" t="s">
        <v>107</v>
      </c>
      <c r="T21" s="44" t="s">
        <v>112</v>
      </c>
      <c r="U21" s="42" t="s">
        <v>113</v>
      </c>
      <c r="V21" s="43">
        <f>SUMIF(D2:D31,"Groceries",E2:E31)</f>
        <v>387563</v>
      </c>
    </row>
    <row r="22" ht="37.5" customHeight="1" spans="1:23">
      <c r="A22" s="22" t="s">
        <v>39</v>
      </c>
      <c r="B22" s="23" t="s">
        <v>7</v>
      </c>
      <c r="C22" s="23" t="str" cm="1">
        <f t="array" ref="C22">_xlfn.IFS(B22="North","Zone 1",B22="South","Zone 2",B22="East","Zone 3",TRUE,"Zone 4")</f>
        <v>Zone 1</v>
      </c>
      <c r="D22" s="23" t="s">
        <v>8</v>
      </c>
      <c r="E22" s="24">
        <v>8478</v>
      </c>
      <c r="F22" s="25" t="s">
        <v>9</v>
      </c>
      <c r="G22" s="26">
        <v>7</v>
      </c>
      <c r="H22" s="27" t="str">
        <f t="shared" si="0"/>
        <v>Highe Sales</v>
      </c>
      <c r="I22" s="27" t="str">
        <f t="shared" si="1"/>
        <v>Achieved</v>
      </c>
      <c r="J22" s="28" t="str" cm="1">
        <f t="array" ref="J22">_xlfn.IFS(E22&gt;=75000,"A",E22&gt;=50000,"B",E22&lt;50000,"C")</f>
        <v>C</v>
      </c>
      <c r="K22" s="28" t="str" cm="1">
        <f t="array" ref="K22">_xlfn.IFS(B22="North","Zone-1",B22="South","Zone-2",B22="East","Zone-3",TRUE,"Zone-4")</f>
        <v>Zone-1</v>
      </c>
      <c r="L22" s="29">
        <f t="shared" si="2"/>
        <v>1211.14285714286</v>
      </c>
      <c r="N22" t="str">
        <f t="shared" si="3"/>
        <v>Low sales</v>
      </c>
      <c r="O22" t="str">
        <f t="shared" si="4"/>
        <v>Ture</v>
      </c>
      <c r="P22" s="30" t="str">
        <f t="shared" si="5"/>
        <v>B</v>
      </c>
      <c r="Q22" s="48"/>
      <c r="R22" s="49">
        <v>19</v>
      </c>
      <c r="S22" s="25" t="s">
        <v>114</v>
      </c>
      <c r="T22" s="41" t="s">
        <v>115</v>
      </c>
      <c r="U22" s="42" t="s">
        <v>116</v>
      </c>
      <c r="V22" s="43">
        <f>SUMIFS(E2:E31,B2:B31,"North",F2:F31,"Completed")</f>
        <v>207926</v>
      </c>
    </row>
    <row r="23" ht="37.5" customHeight="1" spans="1:23">
      <c r="A23" s="33" t="s">
        <v>40</v>
      </c>
      <c r="B23" s="34" t="s">
        <v>11</v>
      </c>
      <c r="C23" s="23" t="str" cm="1">
        <f t="array" ref="C23">_xlfn.IFS(B23="North","Zone 1",B23="South","Zone 2",B23="East","Zone 3",TRUE,"Zone 4")</f>
        <v>Zone 2</v>
      </c>
      <c r="D23" s="34" t="s">
        <v>12</v>
      </c>
      <c r="E23" s="35">
        <v>78563</v>
      </c>
      <c r="F23" s="36" t="s">
        <v>13</v>
      </c>
      <c r="G23" s="37">
        <v>8</v>
      </c>
      <c r="H23" s="27" t="str">
        <f t="shared" si="0"/>
        <v>Highe Sales</v>
      </c>
      <c r="I23" s="27" t="str">
        <f t="shared" si="1"/>
        <v>Not Achieved</v>
      </c>
      <c r="J23" s="28" t="str" cm="1">
        <f t="array" ref="J23">_xlfn.IFS(E23&gt;=75000,"A",E23&gt;=50000,"B",E23&lt;50000,"C")</f>
        <v>A</v>
      </c>
      <c r="K23" s="28" t="str" cm="1">
        <f t="array" ref="K23">_xlfn.IFS(B23="North","Zone-1",B23="South","Zone-2",B23="East","Zone-3",TRUE,"Zone-4")</f>
        <v>Zone-2</v>
      </c>
      <c r="L23" s="29">
        <f t="shared" si="2"/>
        <v>9820.375</v>
      </c>
      <c r="N23" t="str">
        <f t="shared" si="3"/>
        <v>Highe Sale</v>
      </c>
      <c r="O23" t="str">
        <f t="shared" si="4"/>
        <v>Ture</v>
      </c>
      <c r="P23" s="30" t="str">
        <f t="shared" si="5"/>
        <v>A</v>
      </c>
      <c r="Q23" s="48"/>
      <c r="R23" s="49">
        <v>20</v>
      </c>
      <c r="S23" s="25" t="s">
        <v>114</v>
      </c>
      <c r="T23" s="44" t="s">
        <v>117</v>
      </c>
      <c r="U23" s="42" t="s">
        <v>116</v>
      </c>
      <c r="V23" s="43">
        <f>SUMIFS(E2:E31,D2:D31,"Electronics",F2:F31,"completed")</f>
        <v>207926</v>
      </c>
    </row>
    <row r="24" ht="37.5" customHeight="1" spans="1:23">
      <c r="A24" s="22" t="s">
        <v>41</v>
      </c>
      <c r="B24" s="23" t="s">
        <v>15</v>
      </c>
      <c r="C24" s="23" t="str" cm="1">
        <f t="array" ref="C24">_xlfn.IFS(B24="North","Zone 1",B24="South","Zone 2",B24="East","Zone 3",TRUE,"Zone 4")</f>
        <v>Zone 3</v>
      </c>
      <c r="D24" s="23" t="s">
        <v>16</v>
      </c>
      <c r="E24" s="23"/>
      <c r="F24" s="38" t="s">
        <v>17</v>
      </c>
      <c r="G24" s="26">
        <v>8</v>
      </c>
      <c r="H24" s="27" t="str">
        <f t="shared" si="0"/>
        <v>Low Sales</v>
      </c>
      <c r="I24" s="27" t="str">
        <f t="shared" si="1"/>
        <v>Not Achieved</v>
      </c>
      <c r="J24" s="28" t="str" cm="1">
        <f t="array" ref="J24">_xlfn.IFS(E24&gt;=75000,"A",E24&gt;=50000,"B",E24&lt;50000,"C")</f>
        <v>C</v>
      </c>
      <c r="K24" s="28" t="str" cm="1">
        <f t="array" ref="K24">_xlfn.IFS(B24="North","Zone-1",B24="South","Zone-2",B24="East","Zone-3",TRUE,"Zone-4")</f>
        <v>Zone-3</v>
      </c>
      <c r="L24" s="29">
        <f t="shared" si="2"/>
        <v>0</v>
      </c>
      <c r="N24" t="str">
        <f t="shared" si="3"/>
        <v>Low sales</v>
      </c>
      <c r="O24" t="str">
        <f t="shared" si="4"/>
        <v>False</v>
      </c>
      <c r="P24" s="30" t="str">
        <f t="shared" si="5"/>
        <v>B</v>
      </c>
      <c r="Q24" s="48"/>
      <c r="R24" s="49">
        <v>21</v>
      </c>
      <c r="S24" s="25" t="s">
        <v>114</v>
      </c>
      <c r="T24" s="41" t="s">
        <v>118</v>
      </c>
      <c r="U24" s="42" t="s">
        <v>116</v>
      </c>
      <c r="V24" s="43">
        <f>SUMIFS(E2:E31,B2:B31,"west",E2:E31,"&gt;30000",E2:E31,"&lt;80000")</f>
        <v>112285</v>
      </c>
      <c r="W24">
        <f>SUMIFS(E2:E31,B2:B31,"West",E2:E31,"&gt;30000",E2:E31,"&lt;80000")</f>
        <v>112285</v>
      </c>
    </row>
    <row r="25" ht="37.5" customHeight="1" spans="1:23">
      <c r="A25" s="33" t="s">
        <v>42</v>
      </c>
      <c r="B25" s="34" t="s">
        <v>19</v>
      </c>
      <c r="C25" s="23" t="str" cm="1">
        <f t="array" ref="C25">_xlfn.IFS(B25="North","Zone 1",B25="South","Zone 2",B25="East","Zone 3",TRUE,"Zone 4")</f>
        <v>Zone 4</v>
      </c>
      <c r="D25" s="34" t="s">
        <v>20</v>
      </c>
      <c r="E25" s="35">
        <v>90181</v>
      </c>
      <c r="F25" s="25" t="s">
        <v>9</v>
      </c>
      <c r="G25" s="37">
        <v>4</v>
      </c>
      <c r="H25" s="27" t="str">
        <f t="shared" si="0"/>
        <v>Highe Sales</v>
      </c>
      <c r="I25" s="27" t="str">
        <f t="shared" si="1"/>
        <v>Achieved</v>
      </c>
      <c r="J25" s="28" t="str" cm="1">
        <f t="array" ref="J25">_xlfn.IFS(E25&gt;=75000,"A",E25&gt;=50000,"B",E25&lt;50000,"C")</f>
        <v>A</v>
      </c>
      <c r="K25" s="28" t="str" cm="1">
        <f t="array" ref="K25">_xlfn.IFS(B25="North","Zone-1",B25="South","Zone-2",B25="East","Zone-3",TRUE,"Zone-4")</f>
        <v>Zone-4</v>
      </c>
      <c r="L25" s="29">
        <f t="shared" si="2"/>
        <v>22545.25</v>
      </c>
      <c r="N25" t="str">
        <f t="shared" si="3"/>
        <v>Highe Sale</v>
      </c>
      <c r="O25" t="str">
        <f t="shared" si="4"/>
        <v>Ture</v>
      </c>
      <c r="P25" s="30" t="str">
        <f t="shared" si="5"/>
        <v>A</v>
      </c>
      <c r="Q25" s="48"/>
      <c r="R25" s="49">
        <v>22</v>
      </c>
      <c r="S25" s="25" t="s">
        <v>114</v>
      </c>
      <c r="T25" s="44" t="s">
        <v>119</v>
      </c>
      <c r="U25" s="42" t="s">
        <v>116</v>
      </c>
      <c r="V25" s="43">
        <f>SUMIFS(E2:E31,D2:D31,"Furniture",B2:B31,"East",F2:F31,"completed")</f>
        <v>0</v>
      </c>
    </row>
    <row r="26" ht="37.5" customHeight="1" spans="1:23">
      <c r="A26" s="22" t="s">
        <v>43</v>
      </c>
      <c r="B26" s="23" t="s">
        <v>22</v>
      </c>
      <c r="C26" s="23" t="str" cm="1">
        <f t="array" ref="C26">_xlfn.IFS(B26="North","Zone 1",B26="South","Zone 2",B26="East","Zone 3",TRUE,"Zone 4")</f>
        <v>Zone 4</v>
      </c>
      <c r="D26" s="23" t="s">
        <v>23</v>
      </c>
      <c r="E26" s="24">
        <v>76426</v>
      </c>
      <c r="F26" s="38" t="s">
        <v>17</v>
      </c>
      <c r="G26" s="26">
        <v>3</v>
      </c>
      <c r="H26" s="27" t="str">
        <f t="shared" si="0"/>
        <v>Highe Sales</v>
      </c>
      <c r="I26" s="27" t="str">
        <f t="shared" si="1"/>
        <v>Not Achieved</v>
      </c>
      <c r="J26" s="28" t="str" cm="1">
        <f t="array" ref="J26">_xlfn.IFS(E26&gt;=75000,"A",E26&gt;=50000,"B",E26&lt;50000,"C")</f>
        <v>A</v>
      </c>
      <c r="K26" s="28" t="str" cm="1">
        <f t="array" ref="K26">_xlfn.IFS(B26="North","Zone-1",B26="South","Zone-2",B26="East","Zone-3",TRUE,"Zone-4")</f>
        <v>Zone-4</v>
      </c>
      <c r="L26" s="29">
        <f t="shared" si="2"/>
        <v>25475.3333333333</v>
      </c>
      <c r="N26" t="str">
        <f t="shared" si="3"/>
        <v>Highe Sale</v>
      </c>
      <c r="O26" t="str">
        <f t="shared" si="4"/>
        <v>Ture</v>
      </c>
      <c r="P26" s="30" t="str">
        <f t="shared" si="5"/>
        <v>A</v>
      </c>
      <c r="Q26" s="69"/>
      <c r="R26" s="70">
        <v>23</v>
      </c>
      <c r="S26" s="71" t="s">
        <v>120</v>
      </c>
      <c r="T26" s="44" t="s">
        <v>121</v>
      </c>
      <c r="U26" s="42" t="s">
        <v>122</v>
      </c>
      <c r="V26" s="43">
        <f>SUMIF(F2:F31,"Completed",E2:E31)/COUNTIF(F2:F31,"Completed")</f>
        <v>49419.9411764706</v>
      </c>
    </row>
    <row r="27" ht="37.5" customHeight="1" spans="1:23">
      <c r="A27" s="33" t="s">
        <v>44</v>
      </c>
      <c r="B27" s="34" t="s">
        <v>7</v>
      </c>
      <c r="C27" s="23" t="str" cm="1">
        <f t="array" ref="C27">_xlfn.IFS(B27="North","Zone 1",B27="South","Zone 2",B27="East","Zone 3",TRUE,"Zone 4")</f>
        <v>Zone 1</v>
      </c>
      <c r="D27" s="34" t="s">
        <v>8</v>
      </c>
      <c r="E27" s="35">
        <v>59987</v>
      </c>
      <c r="F27" s="25" t="s">
        <v>9</v>
      </c>
      <c r="G27" s="37">
        <v>2</v>
      </c>
      <c r="H27" s="27" t="str">
        <f t="shared" si="0"/>
        <v>Highe Sales</v>
      </c>
      <c r="I27" s="27" t="str">
        <f t="shared" si="1"/>
        <v>Achieved</v>
      </c>
      <c r="J27" s="28" t="str" cm="1">
        <f t="array" ref="J27">_xlfn.IFS(E27&gt;=75000,"A",E27&gt;=50000,"B",E27&lt;50000,"C")</f>
        <v>B</v>
      </c>
      <c r="K27" s="28" t="str" cm="1">
        <f t="array" ref="K27">_xlfn.IFS(B27="North","Zone-1",B27="South","Zone-2",B27="East","Zone-3",TRUE,"Zone-4")</f>
        <v>Zone-1</v>
      </c>
      <c r="L27" s="29">
        <f t="shared" si="2"/>
        <v>29993.5</v>
      </c>
      <c r="N27" t="str">
        <f t="shared" si="3"/>
        <v>Low sales</v>
      </c>
      <c r="O27" t="str">
        <f t="shared" si="4"/>
        <v>Ture</v>
      </c>
      <c r="P27" s="30" t="str">
        <f t="shared" si="5"/>
        <v>C</v>
      </c>
      <c r="Q27" s="69"/>
      <c r="R27" s="70">
        <v>24</v>
      </c>
      <c r="S27" s="71" t="s">
        <v>120</v>
      </c>
      <c r="T27" s="41" t="s">
        <v>123</v>
      </c>
      <c r="U27" s="42" t="s">
        <v>124</v>
      </c>
      <c r="V27" s="43">
        <f>COUNTIFS(E2:E31,"&gt;60000",F2:F31,"Completed")</f>
        <v>7</v>
      </c>
    </row>
    <row r="28" ht="37.5" customHeight="1" spans="1:23">
      <c r="A28" s="22" t="s">
        <v>45</v>
      </c>
      <c r="B28" s="23" t="s">
        <v>11</v>
      </c>
      <c r="C28" s="23" t="str" cm="1">
        <f t="array" ref="C28">_xlfn.IFS(B28="North","Zone 1",B28="South","Zone 2",B28="East","Zone 3",TRUE,"Zone 4")</f>
        <v>Zone 2</v>
      </c>
      <c r="D28" s="23" t="s">
        <v>12</v>
      </c>
      <c r="E28" s="24">
        <v>33893</v>
      </c>
      <c r="F28" s="36" t="s">
        <v>9</v>
      </c>
      <c r="G28" s="26">
        <v>0</v>
      </c>
      <c r="H28" s="27" t="str">
        <f t="shared" si="0"/>
        <v>Highe Sales</v>
      </c>
      <c r="I28" s="27" t="str">
        <f t="shared" si="1"/>
        <v>Achieved</v>
      </c>
      <c r="J28" s="28" t="str" cm="1">
        <f t="array" ref="J28">_xlfn.IFS(E28&gt;=75000,"A",E28&gt;=50000,"B",E28&lt;50000,"C")</f>
        <v>C</v>
      </c>
      <c r="K28" s="28" t="str" cm="1">
        <f t="array" ref="K28">_xlfn.IFS(B28="North","Zone-1",B28="South","Zone-2",B28="East","Zone-3",TRUE,"Zone-4")</f>
        <v>Zone-2</v>
      </c>
      <c r="L28" s="29" t="str">
        <f t="shared" si="2"/>
        <v>NA</v>
      </c>
      <c r="N28" t="str">
        <f t="shared" si="3"/>
        <v>Low sales</v>
      </c>
      <c r="O28" t="str">
        <f t="shared" si="4"/>
        <v>Ture</v>
      </c>
      <c r="P28" s="30" t="str">
        <f t="shared" si="5"/>
        <v>B</v>
      </c>
      <c r="Q28" s="69"/>
      <c r="R28" s="70">
        <v>25</v>
      </c>
      <c r="S28" s="71" t="s">
        <v>120</v>
      </c>
      <c r="T28" s="44" t="s">
        <v>125</v>
      </c>
      <c r="U28" s="42" t="s">
        <v>126</v>
      </c>
      <c r="V28" s="43">
        <f>SUMIF(F2:F31,"completed",E2:E31)</f>
        <v>840139</v>
      </c>
    </row>
    <row r="29" ht="37.5" customHeight="1" spans="1:23">
      <c r="A29" s="33" t="s">
        <v>46</v>
      </c>
      <c r="B29" s="34" t="s">
        <v>15</v>
      </c>
      <c r="C29" s="23" t="str" cm="1">
        <f t="array" ref="C29">_xlfn.IFS(B29="North","Zone 1",B29="South","Zone 2",B29="East","Zone 3",TRUE,"Zone 4")</f>
        <v>Zone 3</v>
      </c>
      <c r="D29" s="34" t="s">
        <v>16</v>
      </c>
      <c r="E29" s="35">
        <v>63878</v>
      </c>
      <c r="F29" s="38" t="s">
        <v>17</v>
      </c>
      <c r="G29" s="37">
        <v>5</v>
      </c>
      <c r="H29" s="27" t="str">
        <f t="shared" si="0"/>
        <v>Highe Sales</v>
      </c>
      <c r="I29" s="27" t="str">
        <f t="shared" si="1"/>
        <v>Not Achieved</v>
      </c>
      <c r="J29" s="28" t="str" cm="1">
        <f t="array" ref="J29">_xlfn.IFS(E29&gt;=75000,"A",E29&gt;=50000,"B",E29&lt;50000,"C")</f>
        <v>B</v>
      </c>
      <c r="K29" s="28" t="str" cm="1">
        <f t="array" ref="K29">_xlfn.IFS(B29="North","Zone-1",B29="South","Zone-2",B29="East","Zone-3",TRUE,"Zone-4")</f>
        <v>Zone-3</v>
      </c>
      <c r="L29" s="29">
        <f t="shared" si="2"/>
        <v>12775.6</v>
      </c>
      <c r="N29" t="str">
        <f t="shared" si="3"/>
        <v>Highe Sale</v>
      </c>
      <c r="O29" t="str">
        <f t="shared" si="4"/>
        <v>Ture</v>
      </c>
      <c r="P29" s="30" t="str">
        <f t="shared" si="5"/>
        <v>B</v>
      </c>
      <c r="Q29"/>
      <c r="R29"/>
      <c r="S29"/>
      <c r="T29"/>
      <c r="U29"/>
      <c r="V29"/>
    </row>
    <row r="30" ht="37.5" customHeight="1" spans="1:23">
      <c r="A30" s="22" t="s">
        <v>47</v>
      </c>
      <c r="B30" s="23" t="s">
        <v>19</v>
      </c>
      <c r="C30" s="23" t="str" cm="1">
        <f t="array" ref="C30">_xlfn.IFS(B30="North","Zone 1",B30="South","Zone 2",B30="East","Zone 3",TRUE,"Zone 4")</f>
        <v>Zone 4</v>
      </c>
      <c r="D30" s="23" t="s">
        <v>20</v>
      </c>
      <c r="E30" s="24">
        <v>82236</v>
      </c>
      <c r="F30" s="25" t="s">
        <v>9</v>
      </c>
      <c r="G30" s="26">
        <v>6</v>
      </c>
      <c r="H30" s="27" t="str">
        <f t="shared" si="0"/>
        <v>Highe Sales</v>
      </c>
      <c r="I30" s="27" t="str">
        <f t="shared" si="1"/>
        <v>Achieved</v>
      </c>
      <c r="J30" s="28" t="str" cm="1">
        <f t="array" ref="J30">_xlfn.IFS(E30&gt;=75000,"A",E30&gt;=50000,"B",E30&lt;50000,"C")</f>
        <v>A</v>
      </c>
      <c r="K30" s="28" t="str" cm="1">
        <f t="array" ref="K30">_xlfn.IFS(B30="North","Zone-1",B30="South","Zone-2",B30="East","Zone-3",TRUE,"Zone-4")</f>
        <v>Zone-4</v>
      </c>
      <c r="L30" s="29">
        <f t="shared" si="2"/>
        <v>13706</v>
      </c>
      <c r="N30" t="str">
        <f t="shared" si="3"/>
        <v>Highe Sale</v>
      </c>
      <c r="O30" t="str">
        <f t="shared" si="4"/>
        <v>Ture</v>
      </c>
      <c r="P30" s="30" t="str">
        <f t="shared" si="5"/>
        <v>A</v>
      </c>
      <c r="Q30"/>
      <c r="R30"/>
      <c r="S30"/>
      <c r="T30"/>
      <c r="U30"/>
      <c r="V30"/>
    </row>
    <row r="31" ht="37.5" customHeight="1" spans="1:23">
      <c r="A31" s="33" t="s">
        <v>48</v>
      </c>
      <c r="B31" s="34" t="s">
        <v>22</v>
      </c>
      <c r="C31" s="23" t="str" cm="1">
        <f t="array" ref="C31">_xlfn.IFS(B31="North","Zone 1",B31="South","Zone 2",B31="East","Zone 3",TRUE,"Zone 4")</f>
        <v>Zone 4</v>
      </c>
      <c r="D31" s="34" t="s">
        <v>23</v>
      </c>
      <c r="E31" s="35">
        <v>41463</v>
      </c>
      <c r="F31" s="25" t="s">
        <v>9</v>
      </c>
      <c r="G31" s="37">
        <v>8</v>
      </c>
      <c r="H31" s="27" t="str">
        <f t="shared" si="0"/>
        <v>Highe Sales</v>
      </c>
      <c r="I31" s="27" t="str">
        <f t="shared" si="1"/>
        <v>Achieved</v>
      </c>
      <c r="J31" s="28" t="str" cm="1">
        <f t="array" ref="J31">_xlfn.IFS(E31&gt;=75000,"A",E31&gt;=50000,"B",E31&lt;50000,"C")</f>
        <v>C</v>
      </c>
      <c r="K31" s="28" t="str" cm="1">
        <f t="array" ref="K31">_xlfn.IFS(B31="North","Zone-1",B31="South","Zone-2",B31="East","Zone-3",TRUE,"Zone-4")</f>
        <v>Zone-4</v>
      </c>
      <c r="L31" s="29">
        <f t="shared" si="2"/>
        <v>5182.875</v>
      </c>
      <c r="N31" t="str">
        <f t="shared" si="3"/>
        <v>Low sales</v>
      </c>
      <c r="O31" t="str">
        <f t="shared" si="4"/>
        <v>Ture</v>
      </c>
      <c r="P31" s="30" t="str">
        <f t="shared" si="5"/>
        <v>C</v>
      </c>
      <c r="Q31"/>
      <c r="R31"/>
      <c r="S31"/>
      <c r="T31"/>
      <c r="U31"/>
      <c r="V31"/>
    </row>
    <row r="32" ht="37.5" customHeight="1" spans="1:23">
      <c r="P32"/>
      <c r="Q32"/>
      <c r="R32"/>
      <c r="S32"/>
      <c r="T32"/>
      <c r="U32"/>
      <c r="V32"/>
    </row>
    <row r="33" ht="37.5" customHeight="1"/>
  </sheetData>
  <mergeCells count="2">
    <mergeCell ref="R1:V1"/>
    <mergeCell ref="R2:V2"/>
  </mergeCells>
  <pageMargins left="0.75" right="0.75" top="1" bottom="1" header="0.511811023622047" footer="0.511811023622047"/>
  <pageSetup paperSize="9" orientation="portrait" horizontalDpi="300" verticalDpi="300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e579848b-3db1-49ad-87e5-d8f89d9e25e0}">
            <xm:f>NOT(ISERROR(SEARCH($D$19,D1)))</xm:f>
            <xm:f>$D$19</xm:f>
            <x14:dxf>
              <fill>
                <patternFill patternType="solid">
                  <bgColor theme="6" tint="0.6"/>
                </patternFill>
              </fill>
            </x14:dxf>
          </x14:cfRule>
          <xm:sqref>D1</xm:sqref>
        </x14:conditionalFormatting>
        <x14:conditionalFormatting xmlns:xm="http://schemas.microsoft.com/office/excel/2006/main">
          <x14:cfRule type="containsText" priority="1" operator="containsText" id="{e7d37099-9f76-49d0-b70a-094a7bc70a8b}">
            <xm:f>NOT(ISERROR(SEARCH($B$21,B2)))</xm:f>
            <xm:f>$B$21</xm:f>
            <x14:dxf>
              <fill>
                <patternFill patternType="solid">
                  <bgColor rgb="FFFFC7CE"/>
                </patternFill>
              </fill>
            </x14:dxf>
          </x14:cfRule>
          <xm:sqref>B2:B31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D12"/>
  <sheetViews>
    <sheetView topLeftCell="A7" workbookViewId="0">
      <selection activeCell="C4" sqref="C4"/>
    </sheetView>
  </sheetViews>
  <sheetFormatPr defaultColWidth="8.68181818181818" defaultRowHeight="14.5" outlineLevelCol="3"/>
  <cols>
    <col min="1" max="1" width="16" style="1" customWidth="1"/>
    <col min="2" max="2" width="44" style="1" customWidth="1"/>
    <col min="3" max="3" width="46" style="1" customWidth="1"/>
    <col min="4" max="4" width="28" style="1" customWidth="1"/>
  </cols>
  <sheetData>
    <row r="1" ht="30" customHeight="1" spans="1:4">
      <c r="A1" s="2" t="s">
        <v>127</v>
      </c>
      <c r="B1" s="2"/>
      <c r="C1" s="2"/>
      <c r="D1" s="2"/>
    </row>
    <row r="2" ht="21.75" customHeight="1" spans="1:4">
      <c r="A2" s="3" t="s">
        <v>128</v>
      </c>
      <c r="B2" s="3" t="s">
        <v>129</v>
      </c>
      <c r="C2" s="3" t="s">
        <v>130</v>
      </c>
      <c r="D2" s="3" t="s">
        <v>131</v>
      </c>
    </row>
    <row r="3" ht="25.5" customHeight="1" spans="1:4">
      <c r="A3" s="4" t="s">
        <v>68</v>
      </c>
      <c r="B3" s="5" t="s">
        <v>132</v>
      </c>
      <c r="C3" s="5" t="s">
        <v>133</v>
      </c>
      <c r="D3" s="6" t="s">
        <v>134</v>
      </c>
    </row>
    <row r="4" ht="25.5" customHeight="1" spans="1:4">
      <c r="A4" s="7" t="s">
        <v>74</v>
      </c>
      <c r="B4" s="8" t="s">
        <v>135</v>
      </c>
      <c r="C4" s="8" t="s">
        <v>62</v>
      </c>
      <c r="D4" s="9" t="s">
        <v>136</v>
      </c>
    </row>
    <row r="5" ht="25.5" customHeight="1" spans="1:4">
      <c r="A5" s="10" t="s">
        <v>55</v>
      </c>
      <c r="B5" s="11" t="s">
        <v>137</v>
      </c>
      <c r="C5" s="11" t="s">
        <v>138</v>
      </c>
      <c r="D5" s="12" t="s">
        <v>139</v>
      </c>
    </row>
    <row r="6" ht="25.5" customHeight="1" spans="1:4">
      <c r="A6" s="13" t="s">
        <v>56</v>
      </c>
      <c r="B6" s="14" t="s">
        <v>140</v>
      </c>
      <c r="C6" s="14" t="s">
        <v>141</v>
      </c>
      <c r="D6" s="15" t="s">
        <v>142</v>
      </c>
    </row>
    <row r="7" ht="25.5" customHeight="1" spans="1:4">
      <c r="A7" s="4" t="s">
        <v>86</v>
      </c>
      <c r="B7" s="5" t="s">
        <v>143</v>
      </c>
      <c r="C7" s="5" t="s">
        <v>144</v>
      </c>
      <c r="D7" s="6" t="s">
        <v>145</v>
      </c>
    </row>
    <row r="8" ht="25.5" customHeight="1" spans="1:4">
      <c r="A8" s="7" t="s">
        <v>89</v>
      </c>
      <c r="B8" s="8" t="s">
        <v>146</v>
      </c>
      <c r="C8" s="8" t="s">
        <v>147</v>
      </c>
      <c r="D8" s="9" t="s">
        <v>148</v>
      </c>
    </row>
    <row r="9" ht="25.5" customHeight="1" spans="1:4">
      <c r="A9" s="10" t="s">
        <v>93</v>
      </c>
      <c r="B9" s="11" t="s">
        <v>149</v>
      </c>
      <c r="C9" s="11" t="s">
        <v>150</v>
      </c>
      <c r="D9" s="12" t="s">
        <v>151</v>
      </c>
    </row>
    <row r="10" ht="25.5" customHeight="1" spans="1:4">
      <c r="A10" s="13" t="s">
        <v>103</v>
      </c>
      <c r="B10" s="14" t="s">
        <v>152</v>
      </c>
      <c r="C10" s="14" t="s">
        <v>153</v>
      </c>
      <c r="D10" s="15" t="s">
        <v>154</v>
      </c>
    </row>
    <row r="11" ht="25.5" customHeight="1" spans="1:4">
      <c r="A11" s="4" t="s">
        <v>107</v>
      </c>
      <c r="B11" s="5" t="s">
        <v>155</v>
      </c>
      <c r="C11" s="5" t="s">
        <v>156</v>
      </c>
      <c r="D11" s="6" t="s">
        <v>157</v>
      </c>
    </row>
    <row r="12" ht="25.5" customHeight="1" spans="1:4">
      <c r="A12" s="7" t="s">
        <v>114</v>
      </c>
      <c r="B12" s="8" t="s">
        <v>158</v>
      </c>
      <c r="C12" s="8" t="s">
        <v>159</v>
      </c>
      <c r="D12" s="9" t="s">
        <v>160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Sales_Data</vt:lpstr>
      <vt:lpstr>Practice_Tasks</vt:lpstr>
      <vt:lpstr>Quick_Reference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singh</cp:lastModifiedBy>
  <cp:revision>0</cp:revision>
  <dcterms:created xsi:type="dcterms:W3CDTF">2026-04-08T05:33:00Z</dcterms:created>
  <dcterms:modified xsi:type="dcterms:W3CDTF">2026-08-27T07:20:26Z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D47B61C98AB9492790B1411A03869A00_12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