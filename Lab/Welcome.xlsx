
<file path=[Content_Types].xml><?xml version="1.0" encoding="utf-8"?>
<Types xmlns="http://schemas.openxmlformats.org/package/2006/content-types">
  <Default Extension="xml" ContentType="application/xml"/>
  <Default Extension="png" ContentType="image/png"/>
  <Default Extension="wdp" ContentType="image/vnd.ms-photo"/>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image10.svg" ContentType="image/svg+xml"/>
  <Override PartName="/xl/media/image12.svg" ContentType="image/svg+xml"/>
  <Override PartName="/xl/media/image17.svg" ContentType="image/svg+xml"/>
  <Override PartName="/xl/media/image19.svg" ContentType="image/svg+xml"/>
  <Override PartName="/xl/media/image22.svg" ContentType="image/svg+xml"/>
  <Override PartName="/xl/media/image24.svg" ContentType="image/svg+xml"/>
  <Override PartName="/xl/media/image27.svg" ContentType="image/svg+xml"/>
  <Override PartName="/xl/media/image39.svg" ContentType="image/svg+xml"/>
  <Override PartName="/xl/media/image4.svg" ContentType="image/svg+xml"/>
  <Override PartName="/xl/media/image6.svg" ContentType="image/svg+xml"/>
  <Override PartName="/xl/media/image8.svg" ContentType="image/sv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18350" windowHeight="6800" firstSheet="5" activeTab="8"/>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 name="Learn more" sheetId="36" r:id="rId12"/>
  </sheets>
  <definedNames>
    <definedName name="_xlnm._FilterDatabase" localSheetId="5" hidden="1">'5. Sort &amp; filter'!$C$5:$G$13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0"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<sst xmlns="http://schemas.openxmlformats.org/spreadsheetml/2006/main" count="740" uniqueCount="395">
  <si>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</si>
  <si>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Take a tour</t>
  </si>
  <si>
    <t>In just 10 steps, you'll be up and running with
Excel, the world's most popular spreadsheet app.</t>
  </si>
  <si>
    <t>Go back to top by pressing CTRL+HOME. To start the tour, press CTRL+PAGE DOWN.</t>
  </si>
  <si>
    <t>Add numbers like a champ</t>
  </si>
  <si>
    <t>Here are some ways to add up numbers in Excel:</t>
  </si>
  <si>
    <t xml:space="preserve">Cells C3 through D7 contain data with two columns. One for Fruit, and one for Amount. </t>
  </si>
  <si>
    <t>Fruit</t>
  </si>
  <si>
    <t>Amount</t>
  </si>
  <si>
    <t>Meat</t>
  </si>
  <si>
    <t>Go to D8 by pressing CTRL+G, type D8, and then press ENTER.</t>
  </si>
  <si>
    <t>Apples</t>
  </si>
  <si>
    <t>Beef</t>
  </si>
  <si>
    <t>Type =SUM(D4:D7), then press ENTER.</t>
  </si>
  <si>
    <t>Oranges</t>
  </si>
  <si>
    <t>Chicken</t>
  </si>
  <si>
    <t xml:space="preserve">The result is 170. </t>
  </si>
  <si>
    <t>Bananas</t>
  </si>
  <si>
    <t>Pork</t>
  </si>
  <si>
    <t>Here's another way to add, using a shortcut key. Cells F3 through G7 contain data with two columns: Meat and Amount.</t>
  </si>
  <si>
    <t>Lemons</t>
  </si>
  <si>
    <t>Fish</t>
  </si>
  <si>
    <t>Go to cell G8. Press ALT+=, then press ENTER.</t>
  </si>
  <si>
    <t>The result in cell G8 is 140.</t>
  </si>
  <si>
    <t>Here's another way to add. Cells C10 through D15 have two columns of data: Item and Amount.</t>
  </si>
  <si>
    <t>Item</t>
  </si>
  <si>
    <t>Now add only the numbers over 50. Go to cell D16. Type =SUMIF(D11:D15,"&gt;50"), then press Enter. The result is 100.</t>
  </si>
  <si>
    <t>Bread</t>
  </si>
  <si>
    <t>EXTRA CREDIT: Cells F10 through G15 contain data with two columns: Item and Amount. Go to cell G16. Try adding another SUMIF formula here. Add amounts in column G, cells G11 to G15 but add amounts that are less than 100. The result should be 160.</t>
  </si>
  <si>
    <t>Donuts</t>
  </si>
  <si>
    <t>Dive down for more detail: Go to A27. Or, to proceed to the next step, press CTRL+PAGE DOWN.</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</si>
  <si>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</si>
  <si>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</si>
  <si>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</si>
  <si>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</si>
  <si>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</si>
  <si>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</si>
  <si>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</si>
  <si>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</si>
  <si>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</si>
  <si>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</si>
  <si>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 xml:space="preserve">Cells F47 through G51 contain data with two columns: Item and Amount. </t>
  </si>
  <si>
    <t>Cells E53 through E54 contain data with one column: Total.</t>
  </si>
  <si>
    <t>The formula in cell E54: =SUM(D48, G48:G51,100).</t>
  </si>
  <si>
    <t>If the formula in cell E54 could talk, it would say: Sum the following: the value in cell D48, the values in cells G48, G49, G50, and G51, and 100.</t>
  </si>
  <si>
    <t>The formula in cell E54 uses the following:</t>
  </si>
  <si>
    <t xml:space="preserve">• A single cell reference, which is the "address" or "name" of a cell. D48 is the single cell reference in the formula above. </t>
  </si>
  <si>
    <t xml:space="preserve">• A range of cells, which is a series of cells starting at one cell and ending at another. G48:G51 is the range of cells in the formula. </t>
  </si>
  <si>
    <t xml:space="preserve">• A constant, which is the number 100. </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</si>
  <si>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</si>
  <si>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Go to cell A66 for the next instruction.</t>
  </si>
  <si>
    <t>Table</t>
  </si>
  <si>
    <t>Cars</t>
  </si>
  <si>
    <t>Trucks</t>
  </si>
  <si>
    <t>Bikes</t>
  </si>
  <si>
    <t>Skates</t>
  </si>
  <si>
    <t>Total:</t>
  </si>
  <si>
    <t xml:space="preserve">More about the SUMIF function </t>
  </si>
  <si>
    <t xml:space="preserve">We also showed you the SUMIF function at the top of this sheet in cells A10 and A11. The SUMIF function sums up totals based on a criterion. </t>
  </si>
  <si>
    <t xml:space="preserve">Cells C72 through D77 contain data with two columns: Item and Amount. </t>
  </si>
  <si>
    <t>The formula in cell D78: =SUMIF(D73:D77,"&gt;50").</t>
  </si>
  <si>
    <t>If the SUMIF function could talk, it would say this: Sum up some values based on this criterion, look through these cells D73 through D77, and if the value is greater than 50 sum it up.</t>
  </si>
  <si>
    <t>NOTE: If you find you are making a lot of SUMIF formulas, you might find that a PivotTable is a better solution. See the PivotTable worksheet for more information.</t>
  </si>
  <si>
    <t xml:space="preserve">Cells F72 through G77 contain data with two columns: Item and Amount. </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</si>
  <si>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</si>
  <si>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A86 to go to the next instruction.</t>
  </si>
  <si>
    <t>More information on the web</t>
  </si>
  <si>
    <t>All about the SUM function</t>
  </si>
  <si>
    <t>All about the SUMIF function</t>
  </si>
  <si>
    <t>Use Excel as your calculator</t>
  </si>
  <si>
    <t>Free Excel training online</t>
  </si>
  <si>
    <t>Go back to top by pressing CTRL+HOME. To proceed to the next step, press CTRL+PAGE DOWN.</t>
  </si>
  <si>
    <t>Save time by filling cells automatically</t>
  </si>
  <si>
    <t>Here’s how to use the fill feature in Excel:</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</si>
  <si>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</si>
  <si>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This:</t>
  </si>
  <si>
    <t>Plus this:</t>
  </si>
  <si>
    <t>Equals:</t>
  </si>
  <si>
    <t xml:space="preserve">Go to cell E4. Press CTRL+G, type E4, then press Enter. </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</si>
  <si>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</si>
  <si>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</si>
  <si>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</si>
  <si>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</si>
  <si>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</si>
  <si>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</si>
  <si>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</si>
  <si>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 xml:space="preserve">Cells C33 to cell F37 contain four columns: Department, Category, Product, and Count. </t>
  </si>
  <si>
    <t>Go to cell C34. Select C34, C35, C36, C37 and press CTRL+D. The value in C34 is filled down into the selected cells.</t>
  </si>
  <si>
    <t>Go to cell A64 for the next instruction.</t>
  </si>
  <si>
    <t>Dept.</t>
  </si>
  <si>
    <t>Category</t>
  </si>
  <si>
    <t>Product</t>
  </si>
  <si>
    <t>Count</t>
  </si>
  <si>
    <t>Produce</t>
  </si>
  <si>
    <t>Apple</t>
  </si>
  <si>
    <t>Orange</t>
  </si>
  <si>
    <t>Banana</t>
  </si>
  <si>
    <t>Pears</t>
  </si>
  <si>
    <t>Jan</t>
  </si>
  <si>
    <t>Feb</t>
  </si>
  <si>
    <t>Mar</t>
  </si>
  <si>
    <t>Week 1</t>
  </si>
  <si>
    <t>Qrtr 1</t>
  </si>
  <si>
    <t>Week 2</t>
  </si>
  <si>
    <t>Week 3</t>
  </si>
  <si>
    <t>Week 4</t>
  </si>
  <si>
    <t>Intervals</t>
  </si>
  <si>
    <t>Fill data automatically in worksheet cells</t>
  </si>
  <si>
    <t>Fill a formula down into adjacent cells</t>
  </si>
  <si>
    <t>Data stuffed into one column? Split it.</t>
  </si>
  <si>
    <t>Go to cell D5. Press CTRL+G, type D5, then press Enter. Type the first name that is in the Email column in cell C5: Nancy.</t>
  </si>
  <si>
    <t>Go to cell D6. Press CTRL+E, a shortcut for Flash Fill.</t>
  </si>
  <si>
    <t xml:space="preserve">Flash Fill detects when you type a consistent pattern, and fills the cells once the pattern is detected. </t>
  </si>
  <si>
    <t>Email</t>
  </si>
  <si>
    <t>First name</t>
  </si>
  <si>
    <t>Last name</t>
  </si>
  <si>
    <t>Try another way to Flash Fill: Go to cell E5.</t>
  </si>
  <si>
    <t>Nancy.Smith@contoso.com</t>
  </si>
  <si>
    <t>Nancy</t>
  </si>
  <si>
    <t>Smith</t>
  </si>
  <si>
    <t>Press ALT+H to enter the Home tab above the ribbon, then press FI to select Fill options. Arrow down to select Flash Fill from the list or press F. Now the last names are in their own column, from cells E5 through E9.</t>
  </si>
  <si>
    <t>Andy.North@fabrikam.com</t>
  </si>
  <si>
    <t>Andy</t>
  </si>
  <si>
    <t>North</t>
  </si>
  <si>
    <t>Jan.Kotas@relecloud.com</t>
  </si>
  <si>
    <t>Kotas</t>
  </si>
  <si>
    <t>Mariya.Jones@contoso.com</t>
  </si>
  <si>
    <t>Mariya</t>
  </si>
  <si>
    <t>Jones</t>
  </si>
  <si>
    <t xml:space="preserve">Yvonne.McKay@fabrikam.com </t>
  </si>
  <si>
    <t>Yvonne</t>
  </si>
  <si>
    <t>McKay</t>
  </si>
  <si>
    <t>Split a column based on delimiters.</t>
  </si>
  <si>
    <t>Flash Fill is pretty handy. But if you want to split data into more than one column all at once, then it's not the best tool for the job. Try Text to Columns in this situation:</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</si>
  <si>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</si>
  <si>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</si>
  <si>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</si>
  <si>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Data</t>
  </si>
  <si>
    <t>Company name</t>
  </si>
  <si>
    <t xml:space="preserve">Convert Text to Columns Wizard - Step 3 of 3: press Tab and select only the General option. </t>
  </si>
  <si>
    <t>Contoso Ltd.</t>
  </si>
  <si>
    <t>Finally, press tab until you enter the Destination text box. Type $D$32, then press Enter.</t>
  </si>
  <si>
    <t>Fabrikam Inc.</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</si>
  <si>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</si>
  <si>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Relecloud</t>
  </si>
  <si>
    <t>Go to cell A49 for the next instruction.</t>
  </si>
  <si>
    <t>Steven</t>
  </si>
  <si>
    <t>Thorpe</t>
  </si>
  <si>
    <t>Michael</t>
  </si>
  <si>
    <t>Neipper</t>
  </si>
  <si>
    <t>Robert</t>
  </si>
  <si>
    <t>Zare</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</si>
  <si>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</si>
  <si>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</si>
  <si>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Go to cell E56: Yvonne.  We used the LEFT function to extract characters from the left side of cell C56. And to specify the number of characters to extract, we used the FIND function. Here's how the formula "=LEFT(C56,FIND(" ",C56)-1)" works:</t>
  </si>
  <si>
    <t xml:space="preserve">The left function extracts a specified number of characters from the left side of cell C56.
</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</si>
  <si>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</si>
  <si>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</si>
  <si>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</si>
  <si>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Name inside one cell</t>
  </si>
  <si>
    <t>[Helper column]</t>
  </si>
  <si>
    <t>Middle name</t>
  </si>
  <si>
    <t xml:space="preserve">Select cell F56: Francis McKay in the [Helper column]. You’ll see that we used the RIGHT, LEN, and FIND functions to extract characters from the first space in cell C56, up until the end of the cell. </t>
  </si>
  <si>
    <t>Yvonne Francis McKay</t>
  </si>
  <si>
    <t>=LEFT(D56,D56,D53,D53C56,FIND(" ",C56)-1)</t>
  </si>
  <si>
    <t>Here's how this formula "=RIGHT(C56,LEN(C56)-FIND(" ",C56))" works:</t>
  </si>
  <si>
    <t>The Right function extracts a specified number of characters from the right side of cell C56.</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</si>
  <si>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</si>
  <si>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</si>
  <si>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 xml:space="preserve">Select cell G56: Francis. Here we used almost the same formula as in cell A51, but instead of extracting characters from cell C56, it extracts them from cell F56. 
</t>
  </si>
  <si>
    <t xml:space="preserve">Select cell H56: McKay. This is the same formula as in step A57, but it extracts characters from F56 instead of cell C56. </t>
  </si>
  <si>
    <t>Go to cell A79 to go to the next instruction.</t>
  </si>
  <si>
    <t>Split text into different columns</t>
  </si>
  <si>
    <t xml:space="preserve">All about Get &amp; Transform </t>
  </si>
  <si>
    <t>All about the LEFT function</t>
  </si>
  <si>
    <t>All about the RIGHT function</t>
  </si>
  <si>
    <t>All about the FIND function</t>
  </si>
  <si>
    <t>All about the LEN function</t>
  </si>
  <si>
    <t>Switch data around by transposing it</t>
  </si>
  <si>
    <t>When you need to rotate columns and rows, you transpose them in Excel.</t>
  </si>
  <si>
    <t>Cells C5 to H6 contain two rows of Items and Amounts. Select cells C5 to H6.</t>
  </si>
  <si>
    <t>Now you'll copy the cells. Press CTRL+C.</t>
  </si>
  <si>
    <t>Select cell C9.</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</si>
  <si>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</si>
  <si>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</si>
  <si>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EXPERT TIP: The shortcut key for Paste Special is CTRL+ALT+V. 
</t>
  </si>
  <si>
    <t xml:space="preserve"> to proceed to the next step</t>
  </si>
  <si>
    <t>Transpose with a formula</t>
  </si>
  <si>
    <t>Sometimes you don't want to copy and paste to transpose. In this case, you can use a formula to transpose rows and columns. Here's how to do that:</t>
  </si>
  <si>
    <t xml:space="preserve">To transpose this data, you need to select some blank cells first. Since the data in cells C33 to H34 on the right has six columns and two rows, you need to select the opposite: two columns and six rows. Do this by selecting cells C40 to D45.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</si>
  <si>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</si>
  <si>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</si>
  <si>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</si>
  <si>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</si>
  <si>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</si>
  <si>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</si>
  <si>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</si>
  <si>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</si>
  <si>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</si>
  <si>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A72 for the next instruction.</t>
  </si>
  <si>
    <t>Transpose (rotate) data from rows to columns or vice versa</t>
  </si>
  <si>
    <t>All about the TRANSPOSE function</t>
  </si>
  <si>
    <t>Create an array formula</t>
  </si>
  <si>
    <t>Sort and filter with ease</t>
  </si>
  <si>
    <t>Cells C5 to G13 contain five columns: Departments, Categories, and Amounts for the months Oct, Nov, Dec.</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</si>
  <si>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</si>
  <si>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</si>
  <si>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</si>
  <si>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Department</t>
  </si>
  <si>
    <t>Oct</t>
  </si>
  <si>
    <t>Nov</t>
  </si>
  <si>
    <t>Dec</t>
  </si>
  <si>
    <t>Filter buttons appear on the top row from cell C5 to G5. Go to the Department cell, C5, and press ALT+DOWN ARROW then DOWN ARROW and SPACE BAR to clear the Select All checkbox. Then, use the arrow keys to find Bakery and press Space Bar, then press Enter.</t>
  </si>
  <si>
    <t>Bakery</t>
  </si>
  <si>
    <t>Desserts</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</si>
  <si>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</si>
  <si>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Breads</t>
  </si>
  <si>
    <t>Deli</t>
  </si>
  <si>
    <t>Salads</t>
  </si>
  <si>
    <t>Sandwiches</t>
  </si>
  <si>
    <t>Veggies</t>
  </si>
  <si>
    <t>Sort by date, or by color even</t>
  </si>
  <si>
    <t>There are many ways to sort in Excel. Here are just two more ways to sort:</t>
  </si>
  <si>
    <t>Cells C31 through F31 contain data with four columns: Expense date, Employee, Food, and Hotel.</t>
  </si>
  <si>
    <t>You want the Expense dates in order. So, select Expense date header, cell C31, then press ALT+DOWN ARROW and use the arrow keys to find Sort Oldest to Newest. Press Enter. The rows get sorted in ascending date order by the Expense date.</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</si>
  <si>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</si>
  <si>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Expense date</t>
  </si>
  <si>
    <t>Employee</t>
  </si>
  <si>
    <t>Food</t>
  </si>
  <si>
    <t>Hotel</t>
  </si>
  <si>
    <t xml:space="preserve">IMPORTANT DETAIL: You can't clear a sort order like you can a filter. So if you don't want your sort to stick, undo it by pressing CTRL+Z.
</t>
  </si>
  <si>
    <t>Jackie</t>
  </si>
  <si>
    <t>Go to cell A43 for the next instruction.</t>
  </si>
  <si>
    <t>Mark</t>
  </si>
  <si>
    <t>Dave</t>
  </si>
  <si>
    <t>Tricia</t>
  </si>
  <si>
    <t>Jeff</t>
  </si>
  <si>
    <t>Laura</t>
  </si>
  <si>
    <t>More ways to filter data</t>
  </si>
  <si>
    <t>Cells C49 through F49 contain data with four columns: Expense date, Employee, Food, and Hotel.</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</si>
  <si>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</si>
  <si>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</si>
  <si>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Go to cell A60 for the next instruction.</t>
  </si>
  <si>
    <t>Sort data in a range or table</t>
  </si>
  <si>
    <t>Filter data in a range or table</t>
  </si>
  <si>
    <t>Z</t>
  </si>
  <si>
    <t>A table gives you special features and conveniences. Here’s how to create one:</t>
  </si>
  <si>
    <t>Cells C5 through G13 contain data. Go to any cell within that region, for example, cell D8. Press CTRL+G, type D8, then press Enter.</t>
  </si>
  <si>
    <t>Press ALT+N to enter the Insert tab above the ribbon, then press T and press Enter. Or, press shortcut key combination CTRL+T, then Enter.</t>
  </si>
  <si>
    <t>Now you have a table, which is a collection of cells that has special features. For starters: A table gives you banded rows for easier reading.</t>
  </si>
  <si>
    <t>Column1</t>
  </si>
  <si>
    <t>Column2</t>
  </si>
  <si>
    <t xml:space="preserve">You can also create new rows easily. Go to the empty cell under cell C13: Meat. Type some text, then press Enter. A new row for the table appears. </t>
  </si>
  <si>
    <t>You can also create columns easily:  Go to any cell between H5 and H14, for example H10. Type some text, then press Enter. A new column for the table appears. Repeat the process to add a new column in column I.</t>
  </si>
  <si>
    <t>Notice how the two columns are created, formatted, and the text Jan and Feb are filled in cells H5 and I5 for you.</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</si>
  <si>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</si>
  <si>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Sandwich</t>
  </si>
  <si>
    <t>Calculated columns in tables</t>
  </si>
  <si>
    <t>One example of a convenience that tables give you: calculated columns. You type a formula once, and it gets automatically filled down for you. Here’s how it works:</t>
  </si>
  <si>
    <t>Cells C33 through H41 contain data with six columns: Department, Category, Oct, Nov, Dec, and Total.</t>
  </si>
  <si>
    <t>Go to cell H34: Total.</t>
  </si>
  <si>
    <t>Press ALT+=, then press Enter.</t>
  </si>
  <si>
    <t xml:space="preserve">The SUM formula gets automatically filled down for you so that you don’t have to do it yourself. </t>
  </si>
  <si>
    <t>Go to cell A47 for the next instruction.</t>
  </si>
  <si>
    <t>Total</t>
  </si>
  <si>
    <t>Total rows in tables</t>
  </si>
  <si>
    <t>Another convenience in tables are total rows. Instead of typing a SUM formula, Excel can make that total for you with a flip of a switch. And the same goes for the AVERAGE formula, and many others. Here’s how it works:</t>
  </si>
  <si>
    <t>Cells C54 through E61 contain data with three columns: Department, Category, and Sales.</t>
  </si>
  <si>
    <t>Go to any cell within the range above, for example cell D57.</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</si>
  <si>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</si>
  <si>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</si>
  <si>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</si>
  <si>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Sales</t>
  </si>
  <si>
    <t>But what if you wanted to know the average? Select cell E62: $24,000.</t>
  </si>
  <si>
    <t>Press ALT+DOWN ARROW, then use the arrow keys to find the Average option and press Enter. The average amount of $3,000 appears.</t>
  </si>
  <si>
    <t xml:space="preserve">GOOD TO KNOW: There's a shortcut for showing and hiding the total row. Select inside the table, then press CTRL+SHIFT+T.
</t>
  </si>
  <si>
    <t>Overview of Excel tables</t>
  </si>
  <si>
    <t>Total the data in an Excel table</t>
  </si>
  <si>
    <t>Use calculated columns in an Excel table</t>
  </si>
  <si>
    <t xml:space="preserve"> press CTRL+PAGE DOWN.</t>
  </si>
  <si>
    <t>Insert a drop-down list</t>
  </si>
  <si>
    <t xml:space="preserve">Drop-down lists make data entry easier for people. Here's how to do one: </t>
  </si>
  <si>
    <t>Cells C3 through D15 contain data with two columns: Food and Department.</t>
  </si>
  <si>
    <t>We want only three department names to be valid entries for each of the foods on the right. Those departments are Produce, Meat and Bakery.</t>
  </si>
  <si>
    <t>Go to cell D4. Press CTRL+G, type D4, then press Enter. Select all cells from D4 to D15.</t>
  </si>
  <si>
    <t>On the Data tab, select Data Validation, or press ALT+A,V to open the Data Validation dialogue box. Tab to Allow and select List. Press the tab key again.</t>
  </si>
  <si>
    <t>In the Source text box, type Produce, Meat, Bakery. Make sure to put commas in between each name. Press Enter when you’re done.</t>
  </si>
  <si>
    <t>Now select cell D4, which is the cell next to Apples in C4. Press ALT+DOWN ARROW. You'll see a drop-down menu with the three items you added: Produce, Meat, and Bakery.</t>
  </si>
  <si>
    <t>Broccoli</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</si>
  <si>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</si>
  <si>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Kale</t>
  </si>
  <si>
    <t>Ham</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</si>
  <si>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</si>
  <si>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</si>
  <si>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Cells C31 through D43 contain data with two columns: Food and Department. Cells F31 through F34 contain data with one column: Department.</t>
  </si>
  <si>
    <t xml:space="preserve">From cells F31 to F34, select a cell with a department. For example, select cell F33: Meat. </t>
  </si>
  <si>
    <t>Create a table by pressing CTRL+T, then Enter.</t>
  </si>
  <si>
    <t>Now you’ll set up the data validation again. Under cell D31: Department, select all of the blank cells from D32 through D43.</t>
  </si>
  <si>
    <t>On the Data tab, select Data Validation, or press ALT+A,V to open the Data Validation dialogue box. Tab to Allow and press DOWN ARROW to select List. Press the tab key again.</t>
  </si>
  <si>
    <t>In the Source text box, type =$F$32:$F$34, then press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</si>
  <si>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</si>
  <si>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</si>
  <si>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</si>
  <si>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Apply data validation to cells</t>
  </si>
  <si>
    <t>Create a drop-down list</t>
  </si>
  <si>
    <t>Analyze data quickly</t>
  </si>
  <si>
    <t>Here’s how to analyze data so that you can spot patterns and trends quickly:</t>
  </si>
  <si>
    <t>Cells C5 through G13 contain data in five columns: Department, Category, Oct, Nov, and Dec.</t>
  </si>
  <si>
    <t>Go to a cell in the table between cells C5 through G13, for example go to cell E9, then press CTRL+Q. A Quick Analysis panel appears.</t>
  </si>
  <si>
    <t>Press Tab key to enter Formatting options, then press Enter to select Data Bars.</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</si>
  <si>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</si>
  <si>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</si>
  <si>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Press Tab key to enter Formatting options, then press RIGHT ARROW to find Clear…, then press Enter.</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</si>
  <si>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</si>
  <si>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Quickly make a chart</t>
  </si>
  <si>
    <t>You can always use the Insert tab and create a chart. But here is another way to make a chart, using the Quick Analysis option. This time though, we'll use the keyboard shortcut:</t>
  </si>
  <si>
    <t>Cells C34 through G42 contain data with five columns: Department, Category, Oct, Nov, and Dec.</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</si>
  <si>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</si>
  <si>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</si>
  <si>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</si>
  <si>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A new clustered column chart appears and is selected. Use your arrow keys to move it anywhere you’d like. Within the chart each product has three columns, one for each month of sales: Oct, Nov, and Dec.</t>
  </si>
  <si>
    <t>Quickly make sparklines</t>
  </si>
  <si>
    <t>Let's say you want little trend lines to the right of this data to show how the amounts go up or down during the three months. You don't have to make 8 little line charts. You can make sparklines instead.</t>
  </si>
  <si>
    <t>Cells C54 through G62 contain data with five columns: Department, Category, Oct, Nov, and Dec.</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</si>
  <si>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</si>
  <si>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</si>
  <si>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</si>
  <si>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To clear the sparklines, select cells H55 through H62. Press ALT+JD to enter The Sparkline Tools Design tab above the ribbon. Press C to select the Clear option, then press C again to select to Clear Selected Sparklines.</t>
  </si>
  <si>
    <t>Go to cell A68 for the next instruction.</t>
  </si>
  <si>
    <t>Analyze your data instantly</t>
  </si>
  <si>
    <t>Analyze trends in data using sparklines</t>
  </si>
  <si>
    <t>Great charts recommended for you</t>
  </si>
  <si>
    <t>Cells C5 through D11 contain data with two columns: Year and Conference attendance.</t>
  </si>
  <si>
    <t>Go to any cell in the table between cells C5 and D11, for example go to cell C6. Press CTRL+G, type C6, then press Enter.</t>
  </si>
  <si>
    <t>Now press ALT+N to enter The Insert Charts tab above the ribbon. Press R to bring up Recommended Charts options.</t>
  </si>
  <si>
    <t>Several recommendations will appear. Press Tab to enter the list and use the arrow keys to find an option called Clustered Columns, then press Enter.</t>
  </si>
  <si>
    <t>Year</t>
  </si>
  <si>
    <t>Conference attendance</t>
  </si>
  <si>
    <t>A column chart appears showing total number of conference attendees per year. Use the arrow keys to move the chart anywhere you'd like.</t>
  </si>
  <si>
    <t xml:space="preserve">Now you'll add a trendline. Select the chart you just created, and press ALT+JC to enter the Chart Tools Design tab above the ribbon. </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</si>
  <si>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</si>
  <si>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</si>
  <si>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Horizontal and vertical axes</t>
  </si>
  <si>
    <t xml:space="preserve">In school you might have learned that there is an x-axis and a y-axis. Excel has these two axes as well, but it calls them something different. </t>
  </si>
  <si>
    <t>In Excel this is what they are called:</t>
  </si>
  <si>
    <t xml:space="preserve">• The x-axis along the bottom is called the horizontal axis. </t>
  </si>
  <si>
    <t xml:space="preserve">• The y-axis that runs up and down is called the vertical axis. </t>
  </si>
  <si>
    <t xml:space="preserve">Each axis can either be a value axis or a category axis. </t>
  </si>
  <si>
    <t xml:space="preserve">• A value axis represents numerical values. For example, a value axis can represent dollars, hours, duration, temperature, and so on.  The vertical axis in the chart on the right starting in cell D30 is a value axis. </t>
  </si>
  <si>
    <t xml:space="preserve">• A category axis represents things like dates, people names, product names. The horizontal axis in the chart on the right starting in cell D30 has years so this is a category axis. </t>
  </si>
  <si>
    <t>Go to cell A52 for the next instruction.</t>
  </si>
  <si>
    <t>Secondary axis</t>
  </si>
  <si>
    <t>You can also use a secondary axis in a chart. A secondary axis is an additional value axis that can show different values than the other value axis.</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</si>
  <si>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</si>
  <si>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Cells D67 through F73 contain data with three columns: Date, Conference attendance, and Food sales. Food Sales column contains data that supports the secondary axis for the chart described above.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</si>
  <si>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</si>
  <si>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Date</t>
  </si>
  <si>
    <t>Food sales</t>
  </si>
  <si>
    <t>Create a chart from start to finish</t>
  </si>
  <si>
    <t>Create a combo chart with a secondary axis</t>
  </si>
  <si>
    <t>Available chart types in Office</t>
  </si>
  <si>
    <t>Summarize data with PivotTables</t>
  </si>
  <si>
    <t>Cells C3 through F9 contain data with four columns: Date, Salesperson, Product, and Amount.</t>
  </si>
  <si>
    <t>Look through the Date, Salesperson, Product and Amount columns. Can you quickly identify which product is the most profitable? Or which salesperson is the leading seller? That’s where the PivotTable in cells E11 through F15 can help.</t>
  </si>
  <si>
    <t>Salesperson</t>
  </si>
  <si>
    <t xml:space="preserve">When we created the PivotTable, we clicked a few buttons so that the data could be summarized. Now we know which product is the most profitable. </t>
  </si>
  <si>
    <t>Anne</t>
  </si>
  <si>
    <t>Beer</t>
  </si>
  <si>
    <t xml:space="preserve">Next you’ll pivot the data so that you can find out which salesperson is the leading seller. Press CTRL+G, type E12, then press Enter. Your selection is now inside the PivotTable. </t>
  </si>
  <si>
    <t>Wine</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</si>
  <si>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</si>
  <si>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</si>
  <si>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Soda</t>
  </si>
  <si>
    <t>Row Labels</t>
  </si>
  <si>
    <t>Sum of Amount</t>
  </si>
  <si>
    <t>Grand Total</t>
  </si>
  <si>
    <t xml:space="preserve"> </t>
  </si>
  <si>
    <t>Create a PivotTable</t>
  </si>
  <si>
    <t>Now you’ll create the PivotTable yourself so that you know how to make one when you need to summarize data.</t>
  </si>
  <si>
    <t>Cells C34 through F40 contain data with four columns: Date, Salesperson, Product, and Amount.</t>
  </si>
  <si>
    <t>Select a cell inside the table. For example go to cell E38, then press ALT+JT to enter the Design menu above the ribbon. Press V to insert a PivotTable.</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</si>
  <si>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</si>
  <si>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</si>
  <si>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</si>
  <si>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</si>
  <si>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</si>
  <si>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Go to cell A58 for the next instruction.</t>
  </si>
  <si>
    <t>Create a PivotTable to analyze worksheet data</t>
  </si>
  <si>
    <t>Use the Field List to arrange fields in a PivotTable</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</si>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</sst>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 #,##0.00_ ;_ * \-#,##0.00_ ;_ * &quot;-&quot;??_ ;_ @_ "/>
    <numFmt numFmtId="177" formatCode="&quot;$&quot;#,##0_);\(&quot;$&quot;#,##0\)"/>
    <numFmt numFmtId="178" formatCode="_ * #,##0_ ;_ * \-#,##0_ ;_ * &quot;-&quot;_ ;_ @_ "/>
    <numFmt numFmtId="179" formatCode="_(&quot;$&quot;* #,##0_);_(&quot;$&quot;* \(#,##0\);_(&quot;$&quot;* &quot;-&quot;_);_(@_)"/>
    <numFmt numFmtId="180" formatCode="dd/mm/yyyy"/>
    <numFmt numFmtId="181" formatCode="&quot;$&quot;#,##0_);[Red]\(&quot;$&quot;#,##0\)"/>
    <numFmt numFmtId="182" formatCode="yyyy;@"/>
    <numFmt numFmtId="183" formatCode="[$$-C09]#,##0.00;\-[$$-C09]#,##0.00"/>
    <numFmt numFmtId="184" formatCode="_(&quot;$&quot;* #,##0_);_(&quot;$&quot;* \(#,##0\);_(&quot;$&quot;* &quot;-&quot;??_);_(@_)"/>
  </numFmts>
  <fonts count="27">
    <font>
      <sz val="11"/>
      <color theme="1"/>
      <name val="Calibri"/>
      <charset val="134"/>
      <scheme val="minor"/>
    </font>
    <font>
      <sz val="12"/>
      <color theme="1"/>
      <name val="Segoe UI"/>
      <charset val="134"/>
    </font>
    <font>
      <sz val="24"/>
      <color theme="1"/>
      <name val="Segoe UI"/>
      <charset val="134"/>
    </font>
    <font>
      <sz val="11"/>
      <color theme="0"/>
      <name val="Calibri"/>
      <charset val="134"/>
      <scheme val="minor"/>
    </font>
    <font>
      <sz val="26"/>
      <color theme="2" tint="-0.749992370372631"/>
      <name val="Segoe UI Light"/>
      <charset val="134"/>
    </font>
    <font>
      <sz val="12"/>
      <color theme="1" tint="0.249977111117893"/>
      <name val="Segoe UI"/>
      <charset val="134"/>
    </font>
    <font>
      <u/>
      <sz val="11"/>
      <color rgb="FF0000FF"/>
      <name val="Calibri"/>
      <charset val="0"/>
      <scheme val="minor"/>
    </font>
    <font>
      <b/>
      <sz val="11"/>
      <color theme="1"/>
      <name val="Calibri"/>
      <charset val="134"/>
      <scheme val="minor"/>
    </font>
    <font>
      <sz val="26"/>
      <color theme="2" tint="-0.749992370372631"/>
      <name val="Calibri"/>
      <charset val="134"/>
      <scheme val="minor"/>
    </font>
    <font>
      <sz val="12"/>
      <color theme="1" tint="0.249977111117893"/>
      <name val="Calibri"/>
      <charset val="134"/>
      <scheme val="minor"/>
    </font>
    <font>
      <sz val="11"/>
      <color rgb="FF0B744D"/>
      <name val="Calibri"/>
      <charset val="134"/>
      <scheme val="minor"/>
    </font>
    <font>
      <sz val="72"/>
      <color theme="0"/>
      <name val="Segoe UI"/>
      <charset val="134"/>
      <scheme val="major"/>
    </font>
    <font>
      <sz val="17"/>
      <color theme="0"/>
      <name val="Calibri"/>
      <charset val="134"/>
      <scheme val="minor"/>
    </font>
    <font>
      <u/>
      <sz val="11"/>
      <color rgb="FF800080"/>
      <name val="Calibri"/>
      <charset val="0"/>
      <scheme val="minor"/>
    </font>
    <font>
      <sz val="11"/>
      <color rgb="FFFF0000"/>
      <name val="Calibri"/>
      <charset val="0"/>
      <scheme val="minor"/>
    </font>
    <font>
      <i/>
      <sz val="11"/>
      <color rgb="FF7F7F7F"/>
      <name val="Calibri"/>
      <charset val="0"/>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339966"/>
        <bgColor indexed="64"/>
      </patternFill>
    </fill>
    <fill>
      <patternFill patternType="solid">
        <fgColor theme="0" tint="-0.0499893185216834"/>
        <bgColor indexed="64"/>
      </patternFill>
    </fill>
    <fill>
      <patternFill patternType="solid">
        <fgColor rgb="FFFFFF99"/>
        <bgColor indexed="64"/>
      </patternFill>
    </fill>
    <fill>
      <patternFill patternType="solid">
        <fgColor rgb="FFFFFF00"/>
        <bgColor indexed="64"/>
      </patternFill>
    </fill>
    <fill>
      <patternFill patternType="solid">
        <fgColor rgb="FF21734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rgb="FF339966"/>
      </left>
      <right/>
      <top/>
      <bottom/>
      <diagonal/>
    </border>
    <border>
      <left/>
      <right/>
      <top style="thin">
        <color rgb="FF339966"/>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right/>
      <top/>
      <bottom style="thin">
        <color auto="1"/>
      </bottom>
      <diagonal/>
    </border>
    <border>
      <left/>
      <right/>
      <top style="thin">
        <color auto="1"/>
      </top>
      <bottom/>
      <diagonal/>
    </border>
    <border>
      <left style="thick">
        <color rgb="FFF4B183"/>
      </left>
      <right style="thick">
        <color rgb="FFF4B183"/>
      </right>
      <top style="thick">
        <color rgb="FFF4B183"/>
      </top>
      <bottom style="thick">
        <color rgb="FFF4B183"/>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s>
  <cellStyleXfs count="64">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xf numFmtId="0" fontId="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7" borderId="1" applyNumberFormat="0" applyFont="0" applyAlignment="0" applyProtection="0">
      <alignment vertical="center"/>
    </xf>
    <xf numFmtId="0" fontId="14" fillId="0" borderId="0" applyNumberFormat="0" applyFill="0" applyBorder="0" applyAlignment="0" applyProtection="0">
      <alignment vertical="center"/>
    </xf>
    <xf numFmtId="0" fontId="11" fillId="6" borderId="0" applyNumberFormat="0" applyBorder="0" applyProtection="0">
      <alignment horizontal="left" indent="1"/>
    </xf>
    <xf numFmtId="0" fontId="15" fillId="0" borderId="0" applyNumberFormat="0" applyFill="0" applyBorder="0" applyAlignment="0" applyProtection="0">
      <alignment vertical="center"/>
    </xf>
    <xf numFmtId="0" fontId="12" fillId="6" borderId="0" applyNumberFormat="0" applyProtection="0">
      <alignment horizontal="left" wrapText="1" indent="4"/>
    </xf>
    <xf numFmtId="0" fontId="10" fillId="6" borderId="0" applyNumberFormat="0" applyProtection="0">
      <alignment horizontal="left" wrapText="1" indent="4"/>
    </xf>
    <xf numFmtId="0" fontId="3" fillId="2" borderId="0" applyNumberFormat="0" applyBorder="0" applyProtection="0"/>
    <xf numFmtId="0" fontId="7" fillId="0" borderId="0" applyNumberFormat="0" applyFill="0" applyBorder="0" applyAlignment="0" applyProtection="0"/>
    <xf numFmtId="0" fontId="16" fillId="8" borderId="12" applyNumberFormat="0" applyAlignment="0" applyProtection="0">
      <alignment vertical="center"/>
    </xf>
    <xf numFmtId="0" fontId="17" fillId="9" borderId="13" applyNumberFormat="0" applyAlignment="0" applyProtection="0">
      <alignment vertical="center"/>
    </xf>
    <xf numFmtId="0" fontId="18" fillId="9" borderId="12" applyNumberFormat="0" applyAlignment="0" applyProtection="0">
      <alignment vertical="center"/>
    </xf>
    <xf numFmtId="0" fontId="19" fillId="10" borderId="14" applyNumberFormat="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0" fillId="0" borderId="9" applyNumberFormat="0" applyFont="0" applyFill="0" applyAlignment="0"/>
    <xf numFmtId="0" fontId="0" fillId="0" borderId="7" applyNumberFormat="0" applyFont="0" applyFill="0" applyAlignment="0"/>
    <xf numFmtId="180" fontId="0" fillId="0" borderId="0" applyFont="0" applyFill="0" applyBorder="0" applyAlignment="0"/>
    <xf numFmtId="0" fontId="0" fillId="3" borderId="0"/>
    <xf numFmtId="181" fontId="0" fillId="5" borderId="0" applyFont="0" applyBorder="0" applyAlignment="0"/>
    <xf numFmtId="0" fontId="0" fillId="0" borderId="17"/>
    <xf numFmtId="0" fontId="0" fillId="0" borderId="6" applyNumberFormat="0" applyFont="0" applyFill="0"/>
    <xf numFmtId="0" fontId="0" fillId="0" borderId="3" applyNumberFormat="0" applyFont="0" applyFill="0" applyAlignment="0"/>
    <xf numFmtId="0" fontId="0" fillId="3" borderId="11"/>
    <xf numFmtId="0" fontId="0" fillId="0" borderId="8" applyNumberFormat="0" applyFont="0" applyFill="0" applyAlignment="0"/>
    <xf numFmtId="0" fontId="0" fillId="0" borderId="5" applyNumberFormat="0" applyFont="0" applyFill="0" applyAlignment="0"/>
    <xf numFmtId="0" fontId="10" fillId="0" borderId="0" applyFill="0" applyBorder="0">
      <alignment wrapText="1"/>
    </xf>
    <xf numFmtId="182" fontId="0" fillId="0" borderId="0" applyFont="0" applyFill="0" applyBorder="0" applyAlignment="0"/>
    <xf numFmtId="0" fontId="0" fillId="4" borderId="1"/>
    <xf numFmtId="0" fontId="3" fillId="0" borderId="0"/>
  </cellStyleXfs>
  <cellXfs count="55">
    <xf numFmtId="0" fontId="0" fillId="0" borderId="0" xfId="0"/>
    <xf numFmtId="0" fontId="1" fillId="0" borderId="0" xfId="0" applyFont="1"/>
    <xf numFmtId="0" fontId="2" fillId="0" borderId="0" xfId="0" applyFont="1"/>
    <xf numFmtId="0" fontId="2" fillId="0" borderId="0" xfId="0" applyFont="1" applyAlignment="1">
      <alignment vertical="center"/>
    </xf>
    <xf numFmtId="0" fontId="3" fillId="0" borderId="0" xfId="63"/>
    <xf numFmtId="0" fontId="3" fillId="0" borderId="0" xfId="63" applyAlignment="1">
      <alignment wrapText="1"/>
    </xf>
    <xf numFmtId="0" fontId="0" fillId="0" borderId="0" xfId="0" applyAlignment="1">
      <alignment horizontal="left"/>
    </xf>
    <xf numFmtId="180" fontId="0" fillId="0" borderId="0" xfId="51" applyFont="1"/>
    <xf numFmtId="179" fontId="0" fillId="0" borderId="0" xfId="5" applyFont="1" applyAlignment="1">
      <alignment horizontal="right"/>
    </xf>
    <xf numFmtId="177" fontId="0" fillId="0" borderId="0" xfId="0" applyNumberFormat="1"/>
    <xf numFmtId="0" fontId="3" fillId="2" borderId="0" xfId="0" applyFont="1" applyFill="1"/>
    <xf numFmtId="0" fontId="0" fillId="3" borderId="0" xfId="0" applyFill="1"/>
    <xf numFmtId="177" fontId="0" fillId="3" borderId="0" xfId="2" applyFont="1" applyFill="1" applyAlignment="1"/>
    <xf numFmtId="177" fontId="0" fillId="0" borderId="0" xfId="2" applyFont="1" applyAlignment="1"/>
    <xf numFmtId="177" fontId="0" fillId="0" borderId="0" xfId="2" applyFont="1"/>
    <xf numFmtId="0" fontId="3" fillId="2" borderId="0" xfId="14"/>
    <xf numFmtId="0" fontId="0" fillId="3" borderId="0" xfId="52"/>
    <xf numFmtId="0" fontId="0" fillId="4" borderId="1" xfId="62"/>
    <xf numFmtId="0" fontId="3" fillId="2" borderId="2" xfId="14" applyBorder="1"/>
    <xf numFmtId="0" fontId="3" fillId="2" borderId="0" xfId="14" applyNumberFormat="1" applyBorder="1"/>
    <xf numFmtId="0" fontId="0" fillId="3" borderId="2" xfId="52" applyBorder="1"/>
    <xf numFmtId="0" fontId="0" fillId="3" borderId="0" xfId="52" applyFont="1"/>
    <xf numFmtId="0" fontId="4" fillId="0" borderId="0" xfId="0" applyFont="1"/>
    <xf numFmtId="0" fontId="5" fillId="0" borderId="0" xfId="0" applyFont="1"/>
    <xf numFmtId="0" fontId="5" fillId="0" borderId="0" xfId="0" applyFont="1" applyAlignment="1">
      <alignment horizontal="left"/>
    </xf>
    <xf numFmtId="177" fontId="0" fillId="3" borderId="0" xfId="2" applyFont="1" applyFill="1"/>
    <xf numFmtId="183" fontId="0" fillId="0" borderId="0" xfId="0" applyNumberFormat="1"/>
    <xf numFmtId="177" fontId="0" fillId="3" borderId="0" xfId="2" applyFill="1"/>
    <xf numFmtId="181" fontId="0" fillId="0" borderId="0" xfId="0" applyNumberFormat="1"/>
    <xf numFmtId="181" fontId="0" fillId="5" borderId="0" xfId="53" applyFont="1"/>
    <xf numFmtId="0" fontId="6" fillId="0" borderId="3" xfId="6" applyFill="1" applyBorder="1" applyAlignment="1" applyProtection="1"/>
    <xf numFmtId="0" fontId="0" fillId="0" borderId="4" xfId="0" applyBorder="1"/>
    <xf numFmtId="0" fontId="0" fillId="0" borderId="5" xfId="59" applyFont="1" applyFill="1"/>
    <xf numFmtId="0" fontId="0" fillId="0" borderId="3" xfId="56" applyFont="1" applyFill="1"/>
    <xf numFmtId="0" fontId="0" fillId="0" borderId="0" xfId="0" applyNumberFormat="1"/>
    <xf numFmtId="0" fontId="0" fillId="0" borderId="5" xfId="59" applyNumberFormat="1" applyFont="1" applyFill="1"/>
    <xf numFmtId="0" fontId="0" fillId="0" borderId="6" xfId="55" applyFont="1" applyFill="1"/>
    <xf numFmtId="0" fontId="0" fillId="0" borderId="7" xfId="0" applyNumberFormat="1" applyBorder="1"/>
    <xf numFmtId="0" fontId="0" fillId="0" borderId="8" xfId="59" applyNumberFormat="1" applyFont="1" applyFill="1" applyBorder="1"/>
    <xf numFmtId="0" fontId="3" fillId="2" borderId="0" xfId="14" applyBorder="1"/>
    <xf numFmtId="0" fontId="0" fillId="3" borderId="9" xfId="49" applyFont="1" applyFill="1"/>
    <xf numFmtId="0" fontId="0" fillId="0" borderId="9" xfId="49" applyFont="1"/>
    <xf numFmtId="0" fontId="0" fillId="0" borderId="10" xfId="0" applyBorder="1"/>
    <xf numFmtId="0" fontId="0" fillId="0" borderId="0" xfId="0" applyFont="1" applyAlignment="1">
      <alignment horizontal="left"/>
    </xf>
    <xf numFmtId="0" fontId="0" fillId="0" borderId="0" xfId="0" applyFont="1"/>
    <xf numFmtId="0" fontId="7" fillId="3" borderId="0" xfId="15" applyFill="1"/>
    <xf numFmtId="0" fontId="0" fillId="3" borderId="11" xfId="57"/>
    <xf numFmtId="0" fontId="8" fillId="0" borderId="0" xfId="0" applyFont="1"/>
    <xf numFmtId="0" fontId="9" fillId="0" borderId="0" xfId="0" applyFont="1"/>
    <xf numFmtId="0" fontId="9" fillId="0" borderId="0" xfId="0" applyFont="1" applyAlignment="1">
      <alignment horizontal="left"/>
    </xf>
    <xf numFmtId="0" fontId="0" fillId="0" borderId="0" xfId="0" applyFont="1" applyAlignment="1">
      <alignment horizontal="left" indent="1"/>
    </xf>
    <xf numFmtId="0" fontId="10" fillId="6" borderId="0" xfId="60" applyFill="1">
      <alignment wrapText="1"/>
    </xf>
    <xf numFmtId="0" fontId="11" fillId="6" borderId="0" xfId="10">
      <alignment horizontal="left" indent="1"/>
    </xf>
    <xf numFmtId="0" fontId="12" fillId="6" borderId="0" xfId="12">
      <alignment horizontal="left" wrapText="1" indent="4"/>
    </xf>
    <xf numFmtId="0" fontId="10" fillId="6" borderId="0" xfId="13">
      <alignment horizontal="left" wrapText="1" indent="4"/>
    </xf>
    <xf numFmtId="0" fontId="0" fillId="4" borderId="1" xfId="62" quotePrefix="1"/>
  </cellXfs>
  <cellStyles count="6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Bottom Border" xfId="49"/>
    <cellStyle name="Bottom Green Border" xfId="50"/>
    <cellStyle name="Date" xfId="51"/>
    <cellStyle name="GrayCell" xfId="52"/>
    <cellStyle name="Highlight" xfId="53"/>
    <cellStyle name="Left Border" xfId="54"/>
    <cellStyle name="Left Bottom Green Border" xfId="55"/>
    <cellStyle name="Left Green Border" xfId="56"/>
    <cellStyle name="OrangeBorder" xfId="57"/>
    <cellStyle name="Right Bottom Green Border" xfId="58"/>
    <cellStyle name="Right Green Border" xfId="59"/>
    <cellStyle name="Start Text" xfId="60"/>
    <cellStyle name="Year" xfId="61"/>
    <cellStyle name="YellowCell" xfId="62"/>
    <cellStyle name="z A Column text" xfId="63"/>
  </cellStyles>
  <dxfs count="19">
    <dxf>
      <numFmt numFmtId="177" formatCode="&quot;$&quot;#,##0_);\(&quot;$&quot;#,##0\)"/>
    </dxf>
    <dxf>
      <numFmt numFmtId="177" formatCode="&quot;$&quot;#,##0_);\(&quot;$&quot;#,##0\)"/>
    </dxf>
    <dxf/>
    <dxf/>
    <dxf/>
    <dxf>
      <font>
        <name val="Calibri"/>
        <scheme val="none"/>
        <b val="0"/>
        <i val="0"/>
        <strike val="0"/>
        <u val="none"/>
        <sz val="11"/>
        <color theme="1"/>
      </font>
    </dxf>
    <dxf>
      <font>
        <name val="Calibri"/>
        <scheme val="none"/>
        <b val="0"/>
        <i val="0"/>
        <strike val="0"/>
        <u val="none"/>
        <sz val="11"/>
        <color theme="1"/>
      </font>
    </dxf>
    <dxf>
      <font>
        <name val="Calibri"/>
        <scheme val="none"/>
        <b val="0"/>
        <i val="0"/>
        <strike val="0"/>
        <u val="none"/>
        <sz val="11"/>
        <color theme="1"/>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theme="0" tint="-0.0499893185216834"/>
        </patternFill>
      </fill>
    </dxf>
    <dxf>
      <font>
        <color theme="0"/>
      </font>
      <fill>
        <patternFill patternType="solid">
          <bgColor rgb="FF339966"/>
        </patternFill>
      </fill>
    </dxf>
    <dxf>
      <font>
        <color theme="0"/>
      </font>
      <fill>
        <patternFill patternType="solid">
          <bgColor rgb="FF359966"/>
        </patternFill>
      </fill>
    </dxf>
    <dxf>
      <font>
        <color theme="0"/>
      </font>
      <fill>
        <patternFill patternType="solid">
          <bgColor rgb="FF359966"/>
        </patternFill>
      </fill>
    </dxf>
  </dxfs>
  <tableStyles count="3" defaultTableStyle="CustomTableStyle" defaultPivotStyle="PivotStyleLight16">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CustomTableStyle" pivot="0" count="2" xr9:uid="{243D484B-1EE0-4154-A3E3-8869765C5761}">
      <tableStyleElement type="headerRow" dxfId="16"/>
      <tableStyleElement type="firstRowStripe" dxfId="15"/>
    </tableStyle>
    <tableStyle name="PivotTable Style 1" table="0" count="2" xr9:uid="{E7CD4EAC-F366-41C0-A2E6-B055B0B40E4E}">
      <tableStyleElement type="headerRow" dxfId="18"/>
      <tableStyleElement type="totalRow" dxfId="17"/>
    </tableStyle>
  </tableStyles>
  <colors>
    <mruColors>
      <color rgb="00339966"/>
      <color rgb="00217346"/>
      <color rgb="00FFFF99"/>
      <color rgb="00F4B183"/>
      <color rgb="00F5F5F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eetMetadata" Target="metadata.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pivotCacheDefinition" Target="pivotCache/pivotCacheDefinition1.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dk1">
                  <a:lumMod val="75000"/>
                  <a:lumOff val="25000"/>
                </a:schemeClr>
              </a:solidFill>
              <a:latin typeface="+mn-lt"/>
              <a:ea typeface="+mn-ea"/>
              <a:cs typeface="+mn-cs"/>
            </a:defRPr>
          </a:pPr>
        </a:p>
      </c:txPr>
    </c:title>
    <c:autoTitleDeleted val="0"/>
    <c:plotArea>
      <c:layout/>
      <c:barChart>
        <c:barDir val="col"/>
        <c:grouping val="clustered"/>
        <c:varyColors val="0"/>
        <c:ser>
          <c:idx val="0"/>
          <c:order val="0"/>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invertIfNegative val="0"/>
          <c:dLbls>
            <c:delete val="1"/>
          </c:dLbls>
          <c:val>
            <c:numRef>
              <c:f>'8. Analyze'!$E$6:$E$13</c:f>
              <c:numCache>
                <c:formatCode>"$"#,##0_);\("$"#,##0\)</c:formatCode>
                <c:ptCount val="8"/>
                <c:pt idx="0">
                  <c:v>30000</c:v>
                </c:pt>
                <c:pt idx="1">
                  <c:v>25000</c:v>
                </c:pt>
                <c:pt idx="2">
                  <c:v>80000</c:v>
                </c:pt>
                <c:pt idx="3">
                  <c:v>90000</c:v>
                </c:pt>
                <c:pt idx="4">
                  <c:v>90000</c:v>
                </c:pt>
                <c:pt idx="5">
                  <c:v>75000</c:v>
                </c:pt>
                <c:pt idx="6">
                  <c:v>30000</c:v>
                </c:pt>
                <c:pt idx="7">
                  <c:v>10000</c:v>
                </c:pt>
              </c:numCache>
            </c:numRef>
          </c:val>
        </c:ser>
        <c:ser>
          <c:idx val="1"/>
          <c:order val="1"/>
          <c:spPr>
            <a:gradFill>
              <a:gsLst>
                <a:gs pos="100000">
                  <a:schemeClr val="accent2"/>
                </a:gs>
                <a:gs pos="0">
                  <a:schemeClr val="accent2">
                    <a:hueOff val="-1670000"/>
                  </a:schemeClr>
                </a:gs>
              </a:gsLst>
              <a:lin ang="5400000" scaled="0"/>
            </a:gradFill>
            <a:ln>
              <a:gradFill>
                <a:gsLst>
                  <a:gs pos="100000">
                    <a:schemeClr val="accent2">
                      <a:lumMod val="75000"/>
                    </a:schemeClr>
                  </a:gs>
                  <a:gs pos="0">
                    <a:schemeClr val="accent2">
                      <a:lumMod val="75000"/>
                      <a:hueOff val="-1670000"/>
                    </a:schemeClr>
                  </a:gs>
                </a:gsLst>
                <a:lin ang="4620000" scaled="0"/>
              </a:gradFill>
            </a:ln>
            <a:effectLst/>
          </c:spPr>
          <c:invertIfNegative val="0"/>
          <c:dLbls>
            <c:delete val="1"/>
          </c:dLbls>
          <c:val>
            <c:numRef>
              <c:f>'8. Analyze'!$F$6:$F$13</c:f>
              <c:numCache>
                <c:formatCode>"$"#,##0_);\("$"#,##0\)</c:formatCode>
                <c:ptCount val="8"/>
                <c:pt idx="0">
                  <c:v>15000</c:v>
                </c:pt>
                <c:pt idx="1">
                  <c:v>80000</c:v>
                </c:pt>
                <c:pt idx="2">
                  <c:v>40000</c:v>
                </c:pt>
                <c:pt idx="3">
                  <c:v>35000</c:v>
                </c:pt>
                <c:pt idx="4">
                  <c:v>110000</c:v>
                </c:pt>
                <c:pt idx="5">
                  <c:v>82000</c:v>
                </c:pt>
                <c:pt idx="6">
                  <c:v>80000</c:v>
                </c:pt>
                <c:pt idx="7">
                  <c:v>30000</c:v>
                </c:pt>
              </c:numCache>
            </c:numRef>
          </c:val>
        </c:ser>
        <c:ser>
          <c:idx val="2"/>
          <c:order val="2"/>
          <c:spPr>
            <a:gradFill>
              <a:gsLst>
                <a:gs pos="100000">
                  <a:schemeClr val="accent3"/>
                </a:gs>
                <a:gs pos="0">
                  <a:schemeClr val="accent3">
                    <a:hueOff val="-1670000"/>
                  </a:schemeClr>
                </a:gs>
              </a:gsLst>
              <a:lin ang="5400000" scaled="0"/>
            </a:gradFill>
            <a:ln>
              <a:gradFill>
                <a:gsLst>
                  <a:gs pos="100000">
                    <a:schemeClr val="accent3">
                      <a:lumMod val="75000"/>
                    </a:schemeClr>
                  </a:gs>
                  <a:gs pos="0">
                    <a:schemeClr val="accent3">
                      <a:lumMod val="75000"/>
                      <a:hueOff val="-1670000"/>
                    </a:schemeClr>
                  </a:gs>
                </a:gsLst>
                <a:lin ang="4620000" scaled="0"/>
              </a:gradFill>
            </a:ln>
            <a:effectLst/>
          </c:spPr>
          <c:invertIfNegative val="0"/>
          <c:dLbls>
            <c:delete val="1"/>
          </c:dLbls>
          <c:val>
            <c:numRef>
              <c:f>'8. Analyze'!$G$6:$G$13</c:f>
              <c:numCache>
                <c:formatCode>"$"#,##0_);\("$"#,##0\)</c:formatCode>
                <c:ptCount val="8"/>
                <c:pt idx="0">
                  <c:v>20000</c:v>
                </c:pt>
                <c:pt idx="1">
                  <c:v>120000</c:v>
                </c:pt>
                <c:pt idx="2">
                  <c:v>20000</c:v>
                </c:pt>
                <c:pt idx="3">
                  <c:v>25000</c:v>
                </c:pt>
                <c:pt idx="4">
                  <c:v>200000</c:v>
                </c:pt>
                <c:pt idx="5">
                  <c:v>150000</c:v>
                </c:pt>
                <c:pt idx="6">
                  <c:v>30000</c:v>
                </c:pt>
                <c:pt idx="7">
                  <c:v>40000</c:v>
                </c:pt>
              </c:numCache>
            </c:numRef>
          </c:val>
        </c:ser>
        <c:dLbls>
          <c:showLegendKey val="0"/>
          <c:showVal val="1"/>
          <c:showCatName val="0"/>
          <c:showSerName val="0"/>
          <c:showPercent val="0"/>
          <c:showBubbleSize val="0"/>
        </c:dLbls>
        <c:gapWidth val="150"/>
        <c:overlap val="0"/>
        <c:axId val="532408944"/>
        <c:axId val="24580358"/>
      </c:barChart>
      <c:catAx>
        <c:axId val="532408944"/>
        <c:scaling>
          <c:orientation val="minMax"/>
        </c:scaling>
        <c:delete val="0"/>
        <c:axPos val="b"/>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24580358"/>
        <c:crosses val="autoZero"/>
        <c:auto val="1"/>
        <c:lblAlgn val="ctr"/>
        <c:lblOffset val="100"/>
        <c:noMultiLvlLbl val="0"/>
      </c:catAx>
      <c:valAx>
        <c:axId val="24580358"/>
        <c:scaling>
          <c:orientation val="minMax"/>
        </c:scaling>
        <c:delete val="0"/>
        <c:axPos val="l"/>
        <c:majorGridlines>
          <c:spPr>
            <a:ln w="9525" cap="flat" cmpd="sng" algn="ctr">
              <a:solidFill>
                <a:schemeClr val="lt1">
                  <a:lumMod val="90200"/>
                </a:schemeClr>
              </a:solidFill>
              <a:round/>
            </a:ln>
            <a:effectLst/>
          </c:spPr>
        </c:majorGridlines>
        <c:title>
          <c:layout/>
          <c:overlay val="0"/>
          <c:spPr>
            <a:noFill/>
            <a:ln>
              <a:noFill/>
            </a:ln>
            <a:effectLst/>
          </c:spPr>
          <c:txPr>
            <a:bodyPr rot="-5400000" spcFirstLastPara="0" vertOverflow="ellipsis" vert="horz" wrap="square" anchor="ctr" anchorCtr="1"/>
            <a:lstStyle/>
            <a:p>
              <a:pPr>
                <a:defRPr lang="en-US" sz="1000" b="0" i="0" u="none" strike="noStrike" kern="1200" baseline="0">
                  <a:solidFill>
                    <a:schemeClr val="dk1">
                      <a:lumMod val="65000"/>
                      <a:lumOff val="35000"/>
                    </a:schemeClr>
                  </a:solidFill>
                  <a:latin typeface="+mn-lt"/>
                  <a:ea typeface="+mn-ea"/>
                  <a:cs typeface="+mn-cs"/>
                </a:defRPr>
              </a:pPr>
            </a:p>
          </c:txPr>
        </c:title>
        <c:numFmt formatCode="&quot;$&quot;#,##0_);\(&quot;$&quot;#,##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532408944"/>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ab92e556-e7cf-4195-adba-dc443fe11472}"/>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dLbls>
            <c:delete val="1"/>
          </c:dLbls>
          <c:cat>
            <c:numRef>
              <c:f>'9. Charts'!$D$68:$D$73</c:f>
              <c:numCache>
                <c:formatCode>General</c:formatCode>
                <c:ptCount val="6"/>
                <c:pt idx="0">
                  <c:v>2021</c:v>
                </c:pt>
                <c:pt idx="1">
                  <c:v>2022</c:v>
                </c:pt>
                <c:pt idx="2">
                  <c:v>2023</c:v>
                </c:pt>
                <c:pt idx="3">
                  <c:v>2024</c:v>
                </c:pt>
                <c:pt idx="4">
                  <c:v>2025</c:v>
                </c:pt>
                <c:pt idx="5">
                  <c:v>2026</c:v>
                </c:pt>
              </c:numCache>
            </c:numRef>
          </c:cat>
          <c:val>
            <c:numRef>
              <c:f>'9. Charts'!$E$68:$E$73</c:f>
              <c:numCache>
                <c:formatCode>General</c:formatCode>
                <c:ptCount val="6"/>
                <c:pt idx="0">
                  <c:v>500</c:v>
                </c:pt>
                <c:pt idx="1">
                  <c:v>800</c:v>
                </c:pt>
                <c:pt idx="2">
                  <c:v>1000</c:v>
                </c:pt>
                <c:pt idx="3">
                  <c:v>900</c:v>
                </c:pt>
                <c:pt idx="4">
                  <c:v>1000</c:v>
                </c:pt>
                <c:pt idx="5">
                  <c:v>1200</c:v>
                </c:pt>
              </c:numCache>
            </c:numRef>
          </c:val>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dLbls>
            <c:delete val="1"/>
          </c:dLbls>
          <c:cat>
            <c:numRef>
              <c:f>'9. Charts'!$D$68:$D$73</c:f>
              <c:numCache>
                <c:formatCode>General</c:formatCode>
                <c:ptCount val="6"/>
                <c:pt idx="0">
                  <c:v>2021</c:v>
                </c:pt>
                <c:pt idx="1">
                  <c:v>2022</c:v>
                </c:pt>
                <c:pt idx="2">
                  <c:v>2023</c:v>
                </c:pt>
                <c:pt idx="3">
                  <c:v>2024</c:v>
                </c:pt>
                <c:pt idx="4">
                  <c:v>2025</c:v>
                </c:pt>
                <c:pt idx="5">
                  <c:v>2026</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ser>
        <c:dLbls>
          <c:showLegendKey val="0"/>
          <c:showVal val="0"/>
          <c:showCatName val="0"/>
          <c:showSerName val="0"/>
          <c:showPercent val="0"/>
          <c:showBubbleSize val="0"/>
        </c:dLbls>
        <c:marker val="0"/>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740109584"/>
        <c:crosses val="autoZero"/>
        <c:crossBetween val="between"/>
      </c:valAx>
      <c:catAx>
        <c:axId val="741717856"/>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1712280"/>
        <c:crosses val="autoZero"/>
        <c:auto val="1"/>
        <c:lblAlgn val="ctr"/>
        <c:lblOffset val="100"/>
        <c:noMultiLvlLbl val="1"/>
      </c:cat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741717856"/>
        <c:crosses val="max"/>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bba8968-8038-4281-863c-a828fdeb544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dLbls>
            <c:delete val="1"/>
          </c:dLbls>
          <c:cat>
            <c:numRef>
              <c:f>'9. Charts'!$C$6:$C$11</c:f>
              <c:numCache>
                <c:formatCode>General</c:formatCode>
                <c:ptCount val="6"/>
                <c:pt idx="0">
                  <c:v>2021</c:v>
                </c:pt>
                <c:pt idx="1">
                  <c:v>2022</c:v>
                </c:pt>
                <c:pt idx="2">
                  <c:v>2023</c:v>
                </c:pt>
                <c:pt idx="3">
                  <c:v>2024</c:v>
                </c:pt>
                <c:pt idx="4">
                  <c:v>2025</c:v>
                </c:pt>
                <c:pt idx="5">
                  <c:v>2026</c:v>
                </c:pt>
              </c:numCache>
            </c:numRef>
          </c:cat>
          <c:val>
            <c:numRef>
              <c:f>'9. Charts'!$D$6:$D$11</c:f>
              <c:numCache>
                <c:formatCode>General</c:formatCode>
                <c:ptCount val="6"/>
                <c:pt idx="0">
                  <c:v>500</c:v>
                </c:pt>
                <c:pt idx="1">
                  <c:v>800</c:v>
                </c:pt>
                <c:pt idx="2">
                  <c:v>1000</c:v>
                </c:pt>
                <c:pt idx="3">
                  <c:v>900</c:v>
                </c:pt>
                <c:pt idx="4">
                  <c:v>1000</c:v>
                </c:pt>
                <c:pt idx="5">
                  <c:v>1200</c:v>
                </c:pt>
              </c:numCache>
            </c:numRef>
          </c:val>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910612304"/>
        <c:crosses val="autoZero"/>
        <c:crossBetween val="between"/>
      </c:valAx>
      <c:spPr>
        <a:noFill/>
        <a:ln>
          <a:noFill/>
        </a:ln>
        <a:effectLst/>
      </c:spPr>
    </c:plotArea>
    <c:plotVisOnly val="1"/>
    <c:dispBlanksAs val="gap"/>
    <c:showDLblsOverMax val="0"/>
    <c:extLst>
      <c:ext uri="{0b15fc19-7d7d-44ad-8c2d-2c3a37ce22c3}">
        <chartProps xmlns="https://web.wps.cn/et/2018/main" chartId="{dedd6789-a80b-44b1-920c-923c7c90a069}"/>
      </c:ext>
    </c:extLst>
  </c:chart>
  <c:spPr>
    <a:solidFill>
      <a:schemeClr val="bg1"/>
    </a:solidFill>
    <a:ln w="9525" cap="flat" cmpd="sng" algn="ctr">
      <a:solidFill>
        <a:schemeClr val="tx1">
          <a:lumMod val="15000"/>
          <a:lumOff val="85000"/>
        </a:schemeClr>
      </a:solidFill>
      <a:round/>
    </a:ln>
    <a:effectLst/>
  </c:spPr>
  <c:txPr>
    <a:bodyPr/>
    <a:lstStyle/>
    <a:p>
      <a:pPr>
        <a:defRPr lang="en-US" sz="1100"/>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7">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462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hyperlink" Target="https://go.microsoft.com/fwlink/?linkid=844737" TargetMode="External"/><Relationship Id="rId8" Type="http://schemas.openxmlformats.org/officeDocument/2006/relationships/hyperlink" Target="https://go.microsoft.com/fwlink/?linkid=844732" TargetMode="External"/><Relationship Id="rId7" Type="http://schemas.openxmlformats.org/officeDocument/2006/relationships/hyperlink" Target="https://go.microsoft.com/fwlink/?linkid=844727"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https://go.microsoft.com/fwlink/?linkid=844719" TargetMode="External"/><Relationship Id="rId3" Type="http://schemas.openxmlformats.org/officeDocument/2006/relationships/hyperlink" Target="#'2. Fill'!A1"/><Relationship Id="rId2" Type="http://schemas.openxmlformats.org/officeDocument/2006/relationships/hyperlink" Target="#'1. Add'!A1"/><Relationship Id="rId19" Type="http://schemas.openxmlformats.org/officeDocument/2006/relationships/hyperlink" Target="#'1. Add'!A62"/><Relationship Id="rId18" Type="http://schemas.openxmlformats.org/officeDocument/2006/relationships/image" Target="../media/image12.svg"/><Relationship Id="rId17" Type="http://schemas.openxmlformats.org/officeDocument/2006/relationships/image" Target="../media/image11.png"/><Relationship Id="rId16" Type="http://schemas.openxmlformats.org/officeDocument/2006/relationships/image" Target="../media/image10.svg"/><Relationship Id="rId15" Type="http://schemas.openxmlformats.org/officeDocument/2006/relationships/image" Target="../media/image9.png"/><Relationship Id="rId14" Type="http://schemas.openxmlformats.org/officeDocument/2006/relationships/image" Target="../media/image8.svg"/><Relationship Id="rId13" Type="http://schemas.openxmlformats.org/officeDocument/2006/relationships/image" Target="../media/image7.png"/><Relationship Id="rId12" Type="http://schemas.openxmlformats.org/officeDocument/2006/relationships/hyperlink" Target="#'10. PivotTables'!A1"/><Relationship Id="rId11" Type="http://schemas.openxmlformats.org/officeDocument/2006/relationships/image" Target="../media/image6.svg"/><Relationship Id="rId10" Type="http://schemas.openxmlformats.org/officeDocument/2006/relationships/image" Target="../media/image5.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9" Type="http://schemas.openxmlformats.org/officeDocument/2006/relationships/hyperlink" Target="https://go.microsoft.com/fwlink/?linkid=844741" TargetMode="External"/><Relationship Id="rId8" Type="http://schemas.openxmlformats.org/officeDocument/2006/relationships/hyperlink" Target="#'2. Fill'!A1"/><Relationship Id="rId7" Type="http://schemas.openxmlformats.org/officeDocument/2006/relationships/image" Target="../media/image13.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12.svg"/><Relationship Id="rId3" Type="http://schemas.openxmlformats.org/officeDocument/2006/relationships/image" Target="../media/image11.png"/><Relationship Id="rId2" Type="http://schemas.openxmlformats.org/officeDocument/2006/relationships/hyperlink" Target="#'3. Split'!A1"/><Relationship Id="rId16" Type="http://schemas.openxmlformats.org/officeDocument/2006/relationships/image" Target="../media/image17.svg"/><Relationship Id="rId15" Type="http://schemas.openxmlformats.org/officeDocument/2006/relationships/image" Target="../media/image16.png"/><Relationship Id="rId14" Type="http://schemas.openxmlformats.org/officeDocument/2006/relationships/image" Target="../media/image15.wdp"/><Relationship Id="rId13" Type="http://schemas.openxmlformats.org/officeDocument/2006/relationships/image" Target="../media/image14.png"/><Relationship Id="rId12" Type="http://schemas.openxmlformats.org/officeDocument/2006/relationships/hyperlink" Target="https://go.microsoft.com/fwlink/?linkid=844745" TargetMode="External"/><Relationship Id="rId11" Type="http://schemas.openxmlformats.org/officeDocument/2006/relationships/image" Target="../media/image4.svg"/><Relationship Id="rId10" Type="http://schemas.openxmlformats.org/officeDocument/2006/relationships/image" Target="../media/image3.png"/><Relationship Id="rId1" Type="http://schemas.openxmlformats.org/officeDocument/2006/relationships/hyperlink" Target="#'2. Fill'!A62"/></Relationships>
</file>

<file path=xl/drawings/_rels/drawing4.xml.rels><?xml version="1.0" encoding="UTF-8" standalone="yes"?>
<Relationships xmlns="http://schemas.openxmlformats.org/package/2006/relationships"><Relationship Id="rId9" Type="http://schemas.openxmlformats.org/officeDocument/2006/relationships/hyperlink" Target="https://go.microsoft.com/fwlink/?linkid=844729" TargetMode="External"/><Relationship Id="rId8" Type="http://schemas.openxmlformats.org/officeDocument/2006/relationships/hyperlink" Target="https://go.microsoft.com/fwlink/?linkid=844751" TargetMode="External"/><Relationship Id="rId7" Type="http://schemas.openxmlformats.org/officeDocument/2006/relationships/image" Target="../media/image4.svg"/><Relationship Id="rId6" Type="http://schemas.openxmlformats.org/officeDocument/2006/relationships/image" Target="../media/image3.png"/><Relationship Id="rId5" Type="http://schemas.openxmlformats.org/officeDocument/2006/relationships/hyperlink" Target="https://go.microsoft.com/fwlink/?linkid=844748" TargetMode="External"/><Relationship Id="rId4" Type="http://schemas.openxmlformats.org/officeDocument/2006/relationships/hyperlink" Target="#'4. Transpose'!A1"/><Relationship Id="rId3" Type="http://schemas.openxmlformats.org/officeDocument/2006/relationships/hyperlink" Target="#'3. Split'!A1"/><Relationship Id="rId2" Type="http://schemas.openxmlformats.org/officeDocument/2006/relationships/image" Target="../media/image6.svg"/><Relationship Id="rId16" Type="http://schemas.openxmlformats.org/officeDocument/2006/relationships/image" Target="../media/image20.png"/><Relationship Id="rId15" Type="http://schemas.openxmlformats.org/officeDocument/2006/relationships/hyperlink" Target="#'3. Split'!A62"/><Relationship Id="rId14" Type="http://schemas.openxmlformats.org/officeDocument/2006/relationships/image" Target="../media/image19.svg"/><Relationship Id="rId13" Type="http://schemas.openxmlformats.org/officeDocument/2006/relationships/image" Target="../media/image18.png"/><Relationship Id="rId12" Type="http://schemas.openxmlformats.org/officeDocument/2006/relationships/hyperlink" Target="https://go.microsoft.com/fwlink/?linkid=844740" TargetMode="External"/><Relationship Id="rId11" Type="http://schemas.openxmlformats.org/officeDocument/2006/relationships/hyperlink" Target="https://go.microsoft.com/fwlink/?linkid=844736" TargetMode="External"/><Relationship Id="rId10" Type="http://schemas.openxmlformats.org/officeDocument/2006/relationships/hyperlink" Target="https://go.microsoft.com/fwlink/?linkid=844733" TargetMode="External"/><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9" Type="http://schemas.openxmlformats.org/officeDocument/2006/relationships/image" Target="../media/image3.png"/><Relationship Id="rId8" Type="http://schemas.openxmlformats.org/officeDocument/2006/relationships/hyperlink" Target="https://go.microsoft.com/fwlink/?linkid=844743" TargetMode="External"/><Relationship Id="rId7" Type="http://schemas.openxmlformats.org/officeDocument/2006/relationships/hyperlink" Target="#'4. Transpose'!A1"/><Relationship Id="rId6" Type="http://schemas.openxmlformats.org/officeDocument/2006/relationships/image" Target="../media/image24.svg"/><Relationship Id="rId5" Type="http://schemas.openxmlformats.org/officeDocument/2006/relationships/image" Target="../media/image23.png"/><Relationship Id="rId4" Type="http://schemas.openxmlformats.org/officeDocument/2006/relationships/image" Target="../media/image22.svg"/><Relationship Id="rId3" Type="http://schemas.openxmlformats.org/officeDocument/2006/relationships/image" Target="../media/image21.png"/><Relationship Id="rId2" Type="http://schemas.openxmlformats.org/officeDocument/2006/relationships/hyperlink" Target="#'5. Sort &amp; filter'!A1"/><Relationship Id="rId15" Type="http://schemas.openxmlformats.org/officeDocument/2006/relationships/image" Target="../media/image27.svg"/><Relationship Id="rId14" Type="http://schemas.openxmlformats.org/officeDocument/2006/relationships/image" Target="../media/image26.png"/><Relationship Id="rId13" Type="http://schemas.openxmlformats.org/officeDocument/2006/relationships/image" Target="../media/image25.png"/><Relationship Id="rId12" Type="http://schemas.openxmlformats.org/officeDocument/2006/relationships/hyperlink" Target="https://go.microsoft.com/fwlink/?linkid=844752" TargetMode="External"/><Relationship Id="rId11" Type="http://schemas.openxmlformats.org/officeDocument/2006/relationships/hyperlink" Target="https://go.microsoft.com/fwlink/?linkid=844747" TargetMode="External"/><Relationship Id="rId10" Type="http://schemas.openxmlformats.org/officeDocument/2006/relationships/image" Target="../media/image4.svg"/><Relationship Id="rId1" Type="http://schemas.openxmlformats.org/officeDocument/2006/relationships/hyperlink" Target="#'4. Transpose'!A62"/></Relationships>
</file>

<file path=xl/drawings/_rels/drawing6.xml.rels><?xml version="1.0" encoding="UTF-8" standalone="yes"?>
<Relationships xmlns="http://schemas.openxmlformats.org/package/2006/relationships"><Relationship Id="rId9" Type="http://schemas.openxmlformats.org/officeDocument/2006/relationships/hyperlink" Target="https://go.microsoft.com/fwlink/?linkid=844746" TargetMode="External"/><Relationship Id="rId8" Type="http://schemas.openxmlformats.org/officeDocument/2006/relationships/hyperlink" Target="#'5. Sort &amp; filter'!A1"/><Relationship Id="rId7" Type="http://schemas.openxmlformats.org/officeDocument/2006/relationships/image" Target="../media/image8.svg"/><Relationship Id="rId6" Type="http://schemas.openxmlformats.org/officeDocument/2006/relationships/image" Target="../media/image7.png"/><Relationship Id="rId5" Type="http://schemas.openxmlformats.org/officeDocument/2006/relationships/image" Target="../media/image28.png"/><Relationship Id="rId4" Type="http://schemas.openxmlformats.org/officeDocument/2006/relationships/hyperlink" Target="#'6. Tables'!A1"/><Relationship Id="rId3" Type="http://schemas.openxmlformats.org/officeDocument/2006/relationships/hyperlink" Target="#'5. Sort &amp; filter'!A62"/><Relationship Id="rId2" Type="http://schemas.openxmlformats.org/officeDocument/2006/relationships/image" Target="../media/image12.svg"/><Relationship Id="rId12" Type="http://schemas.openxmlformats.org/officeDocument/2006/relationships/hyperlink" Target="https://go.microsoft.com/fwlink/?linkid=844750" TargetMode="External"/><Relationship Id="rId11" Type="http://schemas.openxmlformats.org/officeDocument/2006/relationships/image" Target="../media/image4.svg"/><Relationship Id="rId10" Type="http://schemas.openxmlformats.org/officeDocument/2006/relationships/image" Target="../media/image3.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9" Type="http://schemas.openxmlformats.org/officeDocument/2006/relationships/image" Target="../media/image17.svg"/><Relationship Id="rId8" Type="http://schemas.openxmlformats.org/officeDocument/2006/relationships/image" Target="../media/image16.png"/><Relationship Id="rId7" Type="http://schemas.openxmlformats.org/officeDocument/2006/relationships/image" Target="../media/image12.svg"/><Relationship Id="rId6" Type="http://schemas.openxmlformats.org/officeDocument/2006/relationships/image" Target="../media/image11.png"/><Relationship Id="rId5" Type="http://schemas.openxmlformats.org/officeDocument/2006/relationships/image" Target="../media/image6.svg"/><Relationship Id="rId4" Type="http://schemas.openxmlformats.org/officeDocument/2006/relationships/image" Target="../media/image5.png"/><Relationship Id="rId3" Type="http://schemas.openxmlformats.org/officeDocument/2006/relationships/image" Target="../media/image29.png"/><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5" Type="http://schemas.openxmlformats.org/officeDocument/2006/relationships/hyperlink" Target="https://go.microsoft.com/fwlink/?linkid=844728" TargetMode="External"/><Relationship Id="rId14" Type="http://schemas.openxmlformats.org/officeDocument/2006/relationships/image" Target="../media/image4.svg"/><Relationship Id="rId13" Type="http://schemas.openxmlformats.org/officeDocument/2006/relationships/image" Target="../media/image3.png"/><Relationship Id="rId12" Type="http://schemas.openxmlformats.org/officeDocument/2006/relationships/hyperlink" Target="https://go.microsoft.com/fwlink/?linkid=844726" TargetMode="External"/><Relationship Id="rId11" Type="http://schemas.openxmlformats.org/officeDocument/2006/relationships/hyperlink" Target="#'6. Tables'!A1"/><Relationship Id="rId10" Type="http://schemas.openxmlformats.org/officeDocument/2006/relationships/image" Target="../media/image30.png"/><Relationship Id="rId1" Type="http://schemas.openxmlformats.org/officeDocument/2006/relationships/hyperlink" Target="#'6. Tables'!A62"/></Relationships>
</file>

<file path=xl/drawings/_rels/drawing8.xml.rels><?xml version="1.0" encoding="UTF-8" standalone="yes"?>
<Relationships xmlns="http://schemas.openxmlformats.org/package/2006/relationships"><Relationship Id="rId9" Type="http://schemas.openxmlformats.org/officeDocument/2006/relationships/hyperlink" Target="#'7. Drop-downs'!A1"/><Relationship Id="rId8" Type="http://schemas.openxmlformats.org/officeDocument/2006/relationships/image" Target="../media/image6.svg"/><Relationship Id="rId7" Type="http://schemas.openxmlformats.org/officeDocument/2006/relationships/image" Target="../media/image5.png"/><Relationship Id="rId6" Type="http://schemas.openxmlformats.org/officeDocument/2006/relationships/image" Target="../media/image27.svg"/><Relationship Id="rId5" Type="http://schemas.openxmlformats.org/officeDocument/2006/relationships/image" Target="../media/image26.png"/><Relationship Id="rId4" Type="http://schemas.openxmlformats.org/officeDocument/2006/relationships/image" Target="../media/image32.png"/><Relationship Id="rId3" Type="http://schemas.openxmlformats.org/officeDocument/2006/relationships/image" Target="../media/image31.png"/><Relationship Id="rId2" Type="http://schemas.openxmlformats.org/officeDocument/2006/relationships/hyperlink" Target="#'8. Analyze'!A1"/><Relationship Id="rId13" Type="http://schemas.openxmlformats.org/officeDocument/2006/relationships/hyperlink" Target="https://go.microsoft.com/fwlink/?linkid=844742" TargetMode="External"/><Relationship Id="rId12" Type="http://schemas.openxmlformats.org/officeDocument/2006/relationships/image" Target="../media/image4.svg"/><Relationship Id="rId11" Type="http://schemas.openxmlformats.org/officeDocument/2006/relationships/image" Target="../media/image3.png"/><Relationship Id="rId10" Type="http://schemas.openxmlformats.org/officeDocument/2006/relationships/hyperlink" Target="https://go.microsoft.com/fwlink/?linkid=844735" TargetMode="External"/><Relationship Id="rId1" Type="http://schemas.openxmlformats.org/officeDocument/2006/relationships/hyperlink" Target="#'7. Drop-downs'!A62"/></Relationships>
</file>

<file path=xl/drawings/_rels/drawing9.xml.rels><?xml version="1.0" encoding="UTF-8" standalone="yes"?>
<Relationships xmlns="http://schemas.openxmlformats.org/package/2006/relationships"><Relationship Id="rId9" Type="http://schemas.openxmlformats.org/officeDocument/2006/relationships/image" Target="../media/image33.png"/><Relationship Id="rId8" Type="http://schemas.openxmlformats.org/officeDocument/2006/relationships/hyperlink" Target="#'8. Analyze'!A62"/><Relationship Id="rId7" Type="http://schemas.openxmlformats.org/officeDocument/2006/relationships/hyperlink" Target="https://go.microsoft.com/fwlink/?linkid=844730" TargetMode="Externa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https://go.microsoft.com/fwlink/?linkid=844725" TargetMode="External"/><Relationship Id="rId3" Type="http://schemas.openxmlformats.org/officeDocument/2006/relationships/hyperlink" Target="#'9. Charts'!A1"/><Relationship Id="rId2" Type="http://schemas.openxmlformats.org/officeDocument/2006/relationships/hyperlink" Target="#'8. Analyze'!A1"/><Relationship Id="rId11" Type="http://schemas.openxmlformats.org/officeDocument/2006/relationships/image" Target="../media/image6.svg"/><Relationship Id="rId10" Type="http://schemas.openxmlformats.org/officeDocument/2006/relationships/image" Target="../media/image5.png"/><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9" Type="http://schemas.openxmlformats.org/officeDocument/2006/relationships/image" Target="../media/image3.png"/><Relationship Id="rId8" Type="http://schemas.openxmlformats.org/officeDocument/2006/relationships/hyperlink" Target="https://go.microsoft.com/fwlink/?linkid=844734" TargetMode="External"/><Relationship Id="rId7" Type="http://schemas.openxmlformats.org/officeDocument/2006/relationships/hyperlink" Target="#'9. Charts'!A1"/><Relationship Id="rId6" Type="http://schemas.openxmlformats.org/officeDocument/2006/relationships/hyperlink" Target="#'10. PivotTables'!A1"/><Relationship Id="rId5" Type="http://schemas.openxmlformats.org/officeDocument/2006/relationships/hyperlink" Target="#'9. Charts'!A62"/><Relationship Id="rId4" Type="http://schemas.openxmlformats.org/officeDocument/2006/relationships/image" Target="../media/image12.svg"/><Relationship Id="rId3" Type="http://schemas.openxmlformats.org/officeDocument/2006/relationships/image" Target="../media/image11.png"/><Relationship Id="rId2" Type="http://schemas.openxmlformats.org/officeDocument/2006/relationships/chart" Target="../charts/chart3.xml"/><Relationship Id="rId12" Type="http://schemas.openxmlformats.org/officeDocument/2006/relationships/hyperlink" Target="https://go.microsoft.com/fwlink/?linkid=844739" TargetMode="External"/><Relationship Id="rId11" Type="http://schemas.openxmlformats.org/officeDocument/2006/relationships/hyperlink" Target="https://go.microsoft.com/fwlink/?linkid=844738" TargetMode="External"/><Relationship Id="rId10" Type="http://schemas.openxmlformats.org/officeDocument/2006/relationships/image" Target="../media/image4.svg"/><Relationship Id="rId1"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7" Type="http://schemas.openxmlformats.org/officeDocument/2006/relationships/image" Target="../media/image4.svg"/><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 Id="rId3" Type="http://schemas.openxmlformats.org/officeDocument/2006/relationships/image" Target="../media/image34.png"/><Relationship Id="rId2" Type="http://schemas.openxmlformats.org/officeDocument/2006/relationships/hyperlink" Target="#'Learn more'!A1"/><Relationship Id="rId1" Type="http://schemas.openxmlformats.org/officeDocument/2006/relationships/hyperlink" Target="#'10. PivotTables'!A62"/></Relationships>
</file>

<file path=xl/drawings/_rels/drawing12.xml.rels><?xml version="1.0" encoding="UTF-8" standalone="yes"?>
<Relationships xmlns="http://schemas.openxmlformats.org/package/2006/relationships"><Relationship Id="rId8" Type="http://schemas.openxmlformats.org/officeDocument/2006/relationships/image" Target="../media/image39.svg"/><Relationship Id="rId7" Type="http://schemas.openxmlformats.org/officeDocument/2006/relationships/image" Target="../media/image38.png"/><Relationship Id="rId6" Type="http://schemas.openxmlformats.org/officeDocument/2006/relationships/image" Target="../media/image37.png"/><Relationship Id="rId5" Type="http://schemas.openxmlformats.org/officeDocument/2006/relationships/image" Target="../media/image36.png"/><Relationship Id="rId4" Type="http://schemas.openxmlformats.org/officeDocument/2006/relationships/hyperlink" Target="http://go.microsoft.com/fwlink/?LinkId=846286" TargetMode="External"/><Relationship Id="rId3" Type="http://schemas.openxmlformats.org/officeDocument/2006/relationships/hyperlink" Target="http://go.microsoft.com/fwlink/?LinkId=844969" TargetMode="External"/><Relationship Id="rId2" Type="http://schemas.openxmlformats.org/officeDocument/2006/relationships/hyperlink" Target="http://go.microsoft.com/fwlink/?LinkId=846285" TargetMode="External"/><Relationship Id="rId1" Type="http://schemas.openxmlformats.org/officeDocument/2006/relationships/image" Target="../media/image3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xdr:cNvPicPr>
          <a:picLocks noChangeAspect="1"/>
        </xdr:cNvPicPr>
      </xdr:nvPicPr>
      <xdr:blipFill>
        <a:blip r:embed="rId1"/>
        <a:stretch>
          <a:fillRect/>
        </a:stretch>
      </xdr:blipFill>
      <xdr:spPr>
        <a:xfrm>
          <a:off x="161925" y="4308475"/>
          <a:ext cx="1878965" cy="996950"/>
        </a:xfrm>
        <a:prstGeom prst="rect">
          <a:avLst/>
        </a:prstGeom>
      </xdr:spPr>
    </xdr:pic>
    <xdr:clientData/>
  </xdr:twoCellAnchor>
  <xdr:twoCellAnchor editAs="absolute">
    <xdr:from>
      <xdr:col>0</xdr:col>
      <xdr:colOff>6962775</xdr:colOff>
      <xdr:row>3</xdr:row>
      <xdr:rowOff>2609850</xdr:rowOff>
    </xdr:from>
    <xdr:to>
      <xdr:col>0</xdr:col>
      <xdr:colOff>8133207</xdr:colOff>
      <xdr:row>3</xdr:row>
      <xdr:rowOff>3124200</xdr:rowOff>
    </xdr:to>
    <xdr:sp>
      <xdr:nvSpPr>
        <xdr:cNvPr id="3" name="Next Button" descr="Hyperlinked button shape to navigate to the next step">
          <a:hlinkClick xmlns:r="http://schemas.openxmlformats.org/officeDocument/2006/relationships" r:id="rId2"/>
        </xdr:cNvPr>
        <xdr:cNvSpPr/>
      </xdr:nvSpPr>
      <xdr:spPr>
        <a:xfrm>
          <a:off x="6962775" y="4641850"/>
          <a:ext cx="1170305"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anose="020B0502040204020203"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anose="020B0502040204020203" pitchFamily="34" charset="0"/>
            <a:cs typeface="Segoe UI" panose="020B0502040204020203" pitchFamily="34" charset="0"/>
          </a:endParaRPr>
        </a:p>
      </xdr:txBody>
    </xdr:sp>
    <xdr:clientData fPrint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xdr:cNvPicPr>
          <a:picLocks noChangeAspect="1"/>
        </xdr:cNvPicPr>
      </xdr:nvPicPr>
      <xdr:blipFill>
        <a:blip r:embed="rId1"/>
        <a:srcRect t="5716"/>
        <a:stretch>
          <a:fillRect/>
        </a:stretch>
      </xdr:blipFill>
      <xdr:spPr>
        <a:xfrm>
          <a:off x="8620125" y="8280400"/>
          <a:ext cx="1043305" cy="187960"/>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xdr:cNvGrpSpPr/>
      </xdr:nvGrpSpPr>
      <xdr:grpSpPr>
        <a:xfrm>
          <a:off x="323850" y="16744950"/>
          <a:ext cx="5732780" cy="3863975"/>
          <a:chOff x="323850" y="16837043"/>
          <a:chExt cx="5737224" cy="3702054"/>
        </a:xfrm>
      </xdr:grpSpPr>
      <xdr:sp>
        <xdr:nvSpPr>
          <xdr:cNvPr id="140" name="Rectangle 139"/>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41" name="Step" descr="More information on the web&#10;"/>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42" name="Straight Connector 141" descr="Decorative line"/>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43" name="Next Button" descr="Back to top, hyperlinked to cell A1">
            <a:hlinkClick xmlns:r="http://schemas.openxmlformats.org/officeDocument/2006/relationships" r:id="rId2"/>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Back to top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144" name="Straight Connector 143" descr="Decorative line"/>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45" name="Next Button" descr="Next step button, hyperlinked to next worksheet">
            <a:hlinkClick xmlns:r="http://schemas.openxmlformats.org/officeDocument/2006/relationships" r:id="rId3"/>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46" name="Step" descr="All about the SUM function, Hyperlinked to web&#10;&#10;">
            <a:hlinkClick xmlns:r="http://schemas.openxmlformats.org/officeDocument/2006/relationships" r:id="rId4"/>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All about the SUM function</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47" name="Graphic 22" descr="Arrow">
            <a:hlinkClick xmlns:r="http://schemas.openxmlformats.org/officeDocument/2006/relationships" r:id="rId4"/>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xdr:nvSpPr>
          <xdr:cNvPr id="148" name="Step" descr="All about the SUMIF function, hyperlinked to web&#10;">
            <a:hlinkClick xmlns:r="http://schemas.openxmlformats.org/officeDocument/2006/relationships" r:id="rId7"/>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All about the SUMIF function</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49" name="Graphic 22" descr="Arrow">
            <a:hlinkClick xmlns:r="http://schemas.openxmlformats.org/officeDocument/2006/relationships" r:id="rId7"/>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xdr:nvSpPr>
          <xdr:cNvPr id="150" name="Step" descr="Use Excel as your calculator, hyperlinked to web&#10;">
            <a:hlinkClick xmlns:r="http://schemas.openxmlformats.org/officeDocument/2006/relationships" r:id="rId8"/>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Use Excel as your calculator</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51" name="Graphic 22" descr="Arrow">
            <a:hlinkClick xmlns:r="http://schemas.openxmlformats.org/officeDocument/2006/relationships" r:id="rId8"/>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xdr:nvSpPr>
          <xdr:cNvPr id="153" name="Step" descr="Free Excel training online, hyperlinked to web&#10;">
            <a:hlinkClick xmlns:r="http://schemas.openxmlformats.org/officeDocument/2006/relationships" r:id="rId9"/>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Free Excel training online</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54" name="Graphic 22" descr="Arrow">
            <a:hlinkClick xmlns:r="http://schemas.openxmlformats.org/officeDocument/2006/relationships" r:id="rId9"/>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xdr:cNvGrpSpPr/>
      </xdr:nvGrpSpPr>
      <xdr:grpSpPr>
        <a:xfrm>
          <a:off x="6779260" y="15425420"/>
          <a:ext cx="3457575" cy="1849755"/>
          <a:chOff x="6778625" y="15514765"/>
          <a:chExt cx="3432175" cy="1776285"/>
        </a:xfrm>
      </xdr:grpSpPr>
      <xdr:sp>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xdr:cNvPicPr>
            <a:picLocks noChangeAspect="1"/>
          </xdr:cNvPicPr>
        </xdr:nvPicPr>
        <xdr:blipFill>
          <a:blip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xdr:nvSpPr>
          <xdr:cNvPr id="137" name="Freeform: Shape 136" descr="Arrrow"/>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1" fmla="*/ 279015 w 279015"/>
              <a:gd name="connsiteY0-2" fmla="*/ 32141 h 1310271"/>
              <a:gd name="connsiteX1-3" fmla="*/ 152422 w 279015"/>
              <a:gd name="connsiteY1-4" fmla="*/ 244286 h 1310271"/>
              <a:gd name="connsiteX2-5" fmla="*/ 211667 w 279015"/>
              <a:gd name="connsiteY2-6" fmla="*/ 1215550 h 1310271"/>
              <a:gd name="connsiteX3-7" fmla="*/ 0 w 279015"/>
              <a:gd name="connsiteY3-8" fmla="*/ 1273278 h 1310271"/>
              <a:gd name="connsiteX4-9" fmla="*/ 0 w 279015"/>
              <a:gd name="connsiteY4-10" fmla="*/ 1273278 h 1310271"/>
              <a:gd name="connsiteX0-11" fmla="*/ 279015 w 279015"/>
              <a:gd name="connsiteY0-12" fmla="*/ 2960 h 1281090"/>
              <a:gd name="connsiteX1-13" fmla="*/ 152422 w 279015"/>
              <a:gd name="connsiteY1-14" fmla="*/ 215105 h 1281090"/>
              <a:gd name="connsiteX2-15" fmla="*/ 211667 w 279015"/>
              <a:gd name="connsiteY2-16" fmla="*/ 1186369 h 1281090"/>
              <a:gd name="connsiteX3-17" fmla="*/ 0 w 279015"/>
              <a:gd name="connsiteY3-18" fmla="*/ 1244097 h 1281090"/>
              <a:gd name="connsiteX4-19" fmla="*/ 0 w 279015"/>
              <a:gd name="connsiteY4-20" fmla="*/ 1244097 h 1281090"/>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xdr:cNvGrpSpPr/>
      </xdr:nvGrpSpPr>
      <xdr:grpSpPr>
        <a:xfrm>
          <a:off x="347345" y="12944475"/>
          <a:ext cx="5732780" cy="3673475"/>
          <a:chOff x="347872" y="13364013"/>
          <a:chExt cx="5695950" cy="3673037"/>
        </a:xfrm>
      </xdr:grpSpPr>
      <xdr:sp>
        <xdr:nvSpPr>
          <xdr:cNvPr id="106" name="Rectangle 105" descr="Background"/>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xdr:nvCxnSpPr>
          <xdr:cNvPr id="107" name="Straight Connector 106" descr="Decorative line"/>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08" name="Straight Connector 107" descr="Decorative line"/>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09" name="Step" descr="More about the SUMIF function"/>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sp>
        <xdr:nvSpPr>
          <xdr:cNvPr id="110" name="Step" descr="We also showed you the SUMIF function at the top of this sheet. The SUMIF function sums up totals based on a criterion. If the SUMIF function could talk, it would say this:&#10;"/>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3" name="TextBox 100" descr="=SUMIF(D73:D77,&quot;&gt;50&quot;)&#10;&#10;"/>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xdr:nvSpPr>
          <xdr:cNvPr id="114" name="Left Brace 113"/>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15" name="Text Box 2" descr="Sum up some values based on this criterion:&#10;"/>
          <xdr:cNvSpPr txBox="1">
            <a:spLocks noChangeArrowheads="1"/>
          </xdr:cNvSpPr>
        </xdr:nvSpPr>
        <xdr:spPr>
          <a:xfrm>
            <a:off x="521615" y="14670791"/>
            <a:ext cx="977785" cy="851656"/>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xdr:nvSpPr>
          <xdr:cNvPr id="116" name="Left Brace 115"/>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17" name="Text Box 2" descr="....Look through these cells...&#10; &#10;"/>
          <xdr:cNvSpPr txBox="1">
            <a:spLocks noChangeArrowheads="1"/>
          </xdr:cNvSpPr>
        </xdr:nvSpPr>
        <xdr:spPr>
          <a:xfrm>
            <a:off x="1588253" y="14671077"/>
            <a:ext cx="1102580" cy="851657"/>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xdr:nvSpPr>
          <xdr:cNvPr id="132" name="Text Box 2" descr="...and if the value is greater than 50, sum it up&#10; &#10;"/>
          <xdr:cNvSpPr txBox="1">
            <a:spLocks noChangeArrowheads="1"/>
          </xdr:cNvSpPr>
        </xdr:nvSpPr>
        <xdr:spPr>
          <a:xfrm>
            <a:off x="2774686" y="14671077"/>
            <a:ext cx="976295" cy="851657"/>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xdr:nvSpPr>
          <xdr:cNvPr id="133" name="Left Brace 132"/>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xdr:cNvGrpSpPr/>
      </xdr:nvGrpSpPr>
      <xdr:grpSpPr>
        <a:xfrm>
          <a:off x="6788785" y="10721340"/>
          <a:ext cx="3745230" cy="1768475"/>
          <a:chOff x="6788150" y="10960177"/>
          <a:chExt cx="3714750" cy="1708073"/>
        </a:xfrm>
      </xdr:grpSpPr>
      <xdr:sp>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xdr:cNvPicPr>
            <a:picLocks noChangeAspect="1"/>
          </xdr:cNvPicPr>
        </xdr:nvPicPr>
        <xdr:blipFill>
          <a:blip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xdr:nvSpPr>
          <xdr:cNvPr id="98" name="Arrow" descr="Arrow"/>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xdr:cNvGrpSpPr/>
      </xdr:nvGrpSpPr>
      <xdr:grpSpPr>
        <a:xfrm>
          <a:off x="7864475" y="7511415"/>
          <a:ext cx="2698115" cy="1410335"/>
          <a:chOff x="7539454" y="7993902"/>
          <a:chExt cx="2562091" cy="1409701"/>
        </a:xfrm>
      </xdr:grpSpPr>
      <xdr:grpSp>
        <xdr:nvGrpSpPr>
          <xdr:cNvPr id="119" name="Bracket lines"/>
          <xdr:cNvGrpSpPr/>
        </xdr:nvGrpSpPr>
        <xdr:grpSpPr>
          <a:xfrm rot="599914">
            <a:off x="7539454" y="8145377"/>
            <a:ext cx="293814" cy="698211"/>
            <a:chOff x="9871108" y="1184220"/>
            <a:chExt cx="273326" cy="789155"/>
          </a:xfrm>
        </xdr:grpSpPr>
        <xdr:sp>
          <xdr:nvSpPr>
            <xdr:cNvPr id="120" name="Another bracket line" descr="Bracket line"/>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21" name="Bracket line" descr="Bracket line&#10;"/>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xdr:cNvPicPr>
            <a:picLocks noChangeAspect="1"/>
          </xdr:cNvPicPr>
        </xdr:nvPicPr>
        <xdr:blipFill>
          <a:blip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xdr:nvSpPr>
          <xdr:cNvPr id="96" name="Instructions" descr="Select these cells. Then in the lower-right corner of the Excel window, look for this:&#10;Sum: 170&#10;That's just another way to quickly find a total&#10;"/>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CHECK THIS OUT</a:t>
            </a:r>
            <a:endPar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anose="020B0502040204020203"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anose="020B0502040204020203" pitchFamily="34" charset="0"/>
                <a:cs typeface="Segoe UI Light" panose="020B0502040204020203" pitchFamily="34" charset="0"/>
              </a:rPr>
              <a:t> Excel window, look for this:</a:t>
            </a:r>
            <a:endParaRPr lang="en-US" sz="1100" kern="0" baseline="0">
              <a:solidFill>
                <a:schemeClr val="bg2">
                  <a:lumMod val="25000"/>
                </a:schemeClr>
              </a:solidFill>
              <a:latin typeface="+mn-lt"/>
              <a:ea typeface="Segoe UI" panose="020B0502040204020203" pitchFamily="34" charset="0"/>
              <a:cs typeface="Segoe UI Light" panose="020B0502040204020203" pitchFamily="34" charset="0"/>
            </a:endParaRPr>
          </a:p>
          <a:p>
            <a:pPr lvl="0">
              <a:defRPr/>
            </a:pPr>
            <a:br>
              <a:rPr lang="en-US" sz="1100" kern="0" baseline="0">
                <a:solidFill>
                  <a:schemeClr val="bg2">
                    <a:lumMod val="25000"/>
                  </a:schemeClr>
                </a:solidFill>
                <a:latin typeface="+mn-lt"/>
                <a:ea typeface="Segoe UI" panose="020B0502040204020203" pitchFamily="34" charset="0"/>
                <a:cs typeface="Segoe UI Light" panose="020B0502040204020203" pitchFamily="34" charset="0"/>
              </a:rPr>
            </a:br>
            <a:endParaRPr lang="en-US" sz="1100" kern="0" baseline="0">
              <a:solidFill>
                <a:schemeClr val="bg2">
                  <a:lumMod val="25000"/>
                </a:schemeClr>
              </a:solidFill>
              <a:latin typeface="+mn-lt"/>
              <a:ea typeface="Segoe UI" panose="020B0502040204020203"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anose="020B0502040204020203"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anose="020B0502040204020203"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xdr:cNvGrpSpPr/>
      </xdr:nvGrpSpPr>
      <xdr:grpSpPr>
        <a:xfrm>
          <a:off x="346075" y="5505450"/>
          <a:ext cx="5732780" cy="7226300"/>
          <a:chOff x="346284" y="5905938"/>
          <a:chExt cx="5737225" cy="6997262"/>
        </a:xfrm>
      </xdr:grpSpPr>
      <xdr:sp>
        <xdr:nvSpPr>
          <xdr:cNvPr id="53" name="Rectangle 52" descr="Background"/>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xdr:nvCxnSpPr>
          <xdr:cNvPr id="54" name="Straight Connector 53" descr="Decorative line"/>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55" name="Straight Connector 54" descr="Decorative line"/>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52" name="Step" descr="More about the SUM function "/>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sp>
        <xdr:nvSpPr>
          <xdr:cNvPr id="50" name="Step" descr="In some of the above tips, we taught you how to use the SUM function. Here are more details about it. Double-click a yellow cell on the right, and then read along with the text below.&#10;&#10;If the SUM function could talk, it would say this:&#10;"/>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below.</a:t>
            </a:r>
            <a:endPar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0" name="Step" descr="Here's another way it can be used:&#10;"/>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Here's another way it can be used:</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grpSp>
        <xdr:nvGrpSpPr>
          <xdr:cNvPr id="79" name="Group 78"/>
          <xdr:cNvGrpSpPr/>
        </xdr:nvGrpSpPr>
        <xdr:grpSpPr>
          <a:xfrm>
            <a:off x="542925" y="7756739"/>
            <a:ext cx="3279775" cy="1443544"/>
            <a:chOff x="1057275" y="8191585"/>
            <a:chExt cx="3238500" cy="1475424"/>
          </a:xfrm>
        </xdr:grpSpPr>
        <xdr:sp>
          <xdr:nvSpPr>
            <xdr:cNvPr id="74" name="TextBox 100" descr="=SUM(D38:D41) "/>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xdr:nvSpPr>
            <xdr:cNvPr id="75" name="Left Brace 74"/>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76" name="Text Box 2" descr="Sum up the following:&#10;"/>
            <xdr:cNvSpPr txBox="1">
              <a:spLocks noChangeArrowheads="1"/>
            </xdr:cNvSpPr>
          </xdr:nvSpPr>
          <xdr:spPr>
            <a:xfrm>
              <a:off x="1065799" y="8191585"/>
              <a:ext cx="847355" cy="844790"/>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xdr:nvSpPr>
            <xdr:cNvPr id="77" name="Left Brace 76"/>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78" name="Text Box 2" descr="…the values in cells D38, D39, D40, and D41"/>
            <xdr:cNvSpPr txBox="1">
              <a:spLocks noChangeArrowheads="1"/>
            </xdr:cNvSpPr>
          </xdr:nvSpPr>
          <xdr:spPr>
            <a:xfrm>
              <a:off x="1993378" y="8191869"/>
              <a:ext cx="1035572" cy="844791"/>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nvGrpSpPr>
          <xdr:cNvPr id="105" name="Group 104"/>
          <xdr:cNvGrpSpPr/>
        </xdr:nvGrpSpPr>
        <xdr:grpSpPr>
          <a:xfrm>
            <a:off x="457200" y="9658350"/>
            <a:ext cx="4927601" cy="1327631"/>
            <a:chOff x="457200" y="9810750"/>
            <a:chExt cx="4886326" cy="1372081"/>
          </a:xfrm>
        </xdr:grpSpPr>
        <xdr:sp>
          <xdr:nvSpPr>
            <xdr:cNvPr id="81" name="TextBox 100" descr="=SUM(D48,G48:G51,100) &#10;"/>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xdr:cNvGrpSpPr/>
          </xdr:nvGrpSpPr>
          <xdr:grpSpPr>
            <a:xfrm>
              <a:off x="485775" y="9828044"/>
              <a:ext cx="818417" cy="982135"/>
              <a:chOff x="-363898" y="-105548"/>
              <a:chExt cx="1043235" cy="1088405"/>
            </a:xfrm>
          </xdr:grpSpPr>
          <xdr:sp>
            <xdr:nvSpPr>
              <xdr:cNvPr id="83" name="Left Brace 82"/>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84" name="Text Box 2" descr="Sum the following:&#10; &#10;"/>
              <xdr:cNvSpPr txBox="1">
                <a:spLocks noChangeArrowheads="1"/>
              </xdr:cNvSpPr>
            </xdr:nvSpPr>
            <xdr:spPr>
              <a:xfrm>
                <a:off x="-363898" y="-105548"/>
                <a:ext cx="1043235" cy="837792"/>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nvGrpSpPr>
            <xdr:cNvPr id="85" name="Group 84"/>
            <xdr:cNvGrpSpPr/>
          </xdr:nvGrpSpPr>
          <xdr:grpSpPr>
            <a:xfrm>
              <a:off x="1309167" y="9819355"/>
              <a:ext cx="816276" cy="982138"/>
              <a:chOff x="-283101" y="-105548"/>
              <a:chExt cx="818441" cy="1088408"/>
            </a:xfrm>
          </xdr:grpSpPr>
          <xdr:sp>
            <xdr:nvSpPr>
              <xdr:cNvPr id="86" name="Left Brace 85"/>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87" name="Text Box 2" descr="…the value in cell D48…&#10; &#10;"/>
              <xdr:cNvSpPr txBox="1">
                <a:spLocks noChangeArrowheads="1"/>
              </xdr:cNvSpPr>
            </xdr:nvSpPr>
            <xdr:spPr>
              <a:xfrm>
                <a:off x="-199890" y="-105548"/>
                <a:ext cx="735230" cy="837791"/>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nvGrpSpPr>
            <xdr:cNvPr id="88" name="Group 87"/>
            <xdr:cNvGrpSpPr/>
          </xdr:nvGrpSpPr>
          <xdr:grpSpPr>
            <a:xfrm>
              <a:off x="1900287" y="9810750"/>
              <a:ext cx="1214388" cy="982134"/>
              <a:chOff x="-529733" y="-114987"/>
              <a:chExt cx="1215442" cy="1088404"/>
            </a:xfrm>
          </xdr:grpSpPr>
          <xdr:sp>
            <xdr:nvSpPr>
              <xdr:cNvPr id="89" name="Left Brace 88"/>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90" name="Text Box 2" descr="…the values in cells G48, G49, G50, and  G51... &#10;"/>
              <xdr:cNvSpPr txBox="1">
                <a:spLocks noChangeArrowheads="1"/>
              </xdr:cNvSpPr>
            </xdr:nvSpPr>
            <xdr:spPr>
              <a:xfrm>
                <a:off x="-189331" y="-114987"/>
                <a:ext cx="875040" cy="837791"/>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nvGrpSpPr>
            <xdr:cNvPr id="91" name="Group 90"/>
            <xdr:cNvGrpSpPr/>
          </xdr:nvGrpSpPr>
          <xdr:grpSpPr>
            <a:xfrm>
              <a:off x="3137714" y="9819357"/>
              <a:ext cx="577036" cy="969957"/>
              <a:chOff x="-34687" y="-105546"/>
              <a:chExt cx="577537" cy="1075028"/>
            </a:xfrm>
          </xdr:grpSpPr>
          <xdr:sp>
            <xdr:nvSpPr>
              <xdr:cNvPr id="92" name="Left Brace 91"/>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93" name="Text Box 2" descr="…and 100&#10;"/>
              <xdr:cNvSpPr txBox="1">
                <a:spLocks noChangeArrowheads="1"/>
              </xdr:cNvSpPr>
            </xdr:nvSpPr>
            <xdr:spPr>
              <a:xfrm>
                <a:off x="38113" y="-105546"/>
                <a:ext cx="504737" cy="837791"/>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sp>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xdr:cNvGrpSpPr/>
      </xdr:nvGrpSpPr>
      <xdr:grpSpPr>
        <a:xfrm>
          <a:off x="9472930" y="3495675"/>
          <a:ext cx="2284095" cy="1380490"/>
          <a:chOff x="9048750" y="3743325"/>
          <a:chExt cx="2162175" cy="1381124"/>
        </a:xfrm>
      </xdr:grpSpPr>
      <xdr:sp>
        <xdr:nvSpPr>
          <xdr:cNvPr id="57" name="Step" descr="EXTRA CREDIT&#10;Try adding another SUMIF formula here, but add amounts that are less than 100. The result should be 160"/>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panose="020B0502040204020203" pitchFamily="34" charset="0"/>
              </a:rPr>
              <a:t>EXTRA CREDIT</a:t>
            </a:r>
            <a:endParaRPr lang="en-US" sz="1200" b="1">
              <a:solidFill>
                <a:srgbClr val="ED7D31">
                  <a:lumMod val="60000"/>
                  <a:lumOff val="40000"/>
                </a:srgbClr>
              </a:solidFill>
              <a:latin typeface="+mj-lt"/>
              <a:ea typeface="Segoe UI" panose="020B0502040204020203"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endParaRPr lang="en-US" sz="1100" b="0" i="0" kern="1200" baseline="0">
              <a:solidFill>
                <a:schemeClr val="dk1"/>
              </a:solidFill>
              <a:effectLst/>
              <a:latin typeface="+mn-lt"/>
              <a:ea typeface="+mn-ea"/>
              <a:cs typeface="+mn-cs"/>
            </a:endParaRPr>
          </a:p>
        </xdr:txBody>
      </xdr:sp>
      <xdr:pic>
        <xdr:nvPicPr>
          <xdr:cNvPr id="58" name="Extra credit ribbon" descr="Decorative ribbon"/>
          <xdr:cNvPicPr>
            <a:picLocks noChangeAspect="1"/>
          </xdr:cNvPicPr>
        </xdr:nvPicPr>
        <xdr:blipFill>
          <a:blip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xdr:nvSpPr>
          <xdr:cNvPr id="59" name="Extra Credit Arrow" descr="Arrow"/>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xdr:cNvGrpSpPr/>
      </xdr:nvGrpSpPr>
      <xdr:grpSpPr>
        <a:xfrm>
          <a:off x="326390" y="266700"/>
          <a:ext cx="5732780" cy="4572000"/>
          <a:chOff x="326572" y="266702"/>
          <a:chExt cx="5705475" cy="4657728"/>
        </a:xfrm>
      </xdr:grpSpPr>
      <xdr:grpSp>
        <xdr:nvGrpSpPr>
          <xdr:cNvPr id="16" name="Add numbers instruction"/>
          <xdr:cNvGrpSpPr/>
        </xdr:nvGrpSpPr>
        <xdr:grpSpPr>
          <a:xfrm>
            <a:off x="326572" y="266702"/>
            <a:ext cx="5705475" cy="4657728"/>
            <a:chOff x="0" y="0"/>
            <a:chExt cx="5695950" cy="4619625"/>
          </a:xfrm>
        </xdr:grpSpPr>
        <xdr:sp>
          <xdr:nvSpPr>
            <xdr:cNvPr id="38" name="Background" descr="Background"/>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39" name="Step" descr="Add numbers like a champ"/>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Add numbers like a champ</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endParaRPr>
            </a:p>
          </xdr:txBody>
        </xdr:sp>
        <xdr:sp>
          <xdr:nvSpPr>
            <xdr:cNvPr id="41" name="More detail button" descr="Dive down for more detail">
              <a:hlinkClick xmlns:r="http://schemas.openxmlformats.org/officeDocument/2006/relationships" r:id="rId19"/>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Dive down for more detail</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42" name="Bottom line" descr="Decorative line"/>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43" name="Next Button" descr="Next step button, hyperlinked to next sheet">
              <a:hlinkClick xmlns:r="http://schemas.openxmlformats.org/officeDocument/2006/relationships" r:id="rId3"/>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40" name="Top line" descr="Decorative line"/>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xdr:cNvGrpSpPr/>
        </xdr:nvGrpSpPr>
        <xdr:grpSpPr>
          <a:xfrm>
            <a:off x="558707" y="3254024"/>
            <a:ext cx="5225273" cy="608867"/>
            <a:chOff x="231749" y="2962883"/>
            <a:chExt cx="5216550" cy="603885"/>
          </a:xfrm>
        </xdr:grpSpPr>
        <xdr:sp>
          <xdr:nvSpPr>
            <xdr:cNvPr id="24" name="Step" descr="Now add only the numbers over 50. Select the last yellow cell. Type =SUMIF(D11:D15,&quot;&gt;50&quot;) and then press Enter. The result is 100"/>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The result is 100.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25" name="5" descr="5"/>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grpSp>
      <xdr:grpSp>
        <xdr:nvGrpSpPr>
          <xdr:cNvPr id="22" name="Step4"/>
          <xdr:cNvGrpSpPr/>
        </xdr:nvGrpSpPr>
        <xdr:grpSpPr>
          <a:xfrm>
            <a:off x="558707" y="2770783"/>
            <a:ext cx="5225273" cy="608867"/>
            <a:chOff x="231749" y="2483595"/>
            <a:chExt cx="5216550" cy="603885"/>
          </a:xfrm>
        </xdr:grpSpPr>
        <xdr:sp>
          <xdr:nvSpPr>
            <xdr:cNvPr id="26" name="4" descr="4"/>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grpSp>
          <xdr:nvGrpSpPr>
            <xdr:cNvPr id="27" name="Group 26"/>
            <xdr:cNvGrpSpPr/>
          </xdr:nvGrpSpPr>
          <xdr:grpSpPr>
            <a:xfrm>
              <a:off x="638783" y="2526093"/>
              <a:ext cx="4809516" cy="561387"/>
              <a:chOff x="638783" y="2526093"/>
              <a:chExt cx="4809516" cy="561387"/>
            </a:xfrm>
          </xdr:grpSpPr>
          <xdr:sp>
            <xdr:nvSpPr>
              <xdr:cNvPr id="28" name="Step" descr="Press ALT = first. Then, press Ente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30" name="Equals key" descr="Equals key"/>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xdr:nvSpPr>
              <xdr:cNvPr id="29" name="Alt key" descr="Alt key"/>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xdr:cNvGrpSpPr/>
        </xdr:nvGrpSpPr>
        <xdr:grpSpPr>
          <a:xfrm>
            <a:off x="558707" y="2277525"/>
            <a:ext cx="5225273" cy="608867"/>
            <a:chOff x="231749" y="1994372"/>
            <a:chExt cx="5216550" cy="603885"/>
          </a:xfrm>
        </xdr:grpSpPr>
        <xdr:sp>
          <xdr:nvSpPr>
            <xdr:cNvPr id="32" name="Step" descr="Here's another way to add, using a shortcut key. Select the yellow cell under the amounts for meat"/>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Here's another way to add, using a shortcut key. Select the yellow cell under the amounts for meat.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33" name="3" descr="3"/>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grpSp>
      <xdr:grpSp>
        <xdr:nvGrpSpPr>
          <xdr:cNvPr id="20" name="Step2"/>
          <xdr:cNvGrpSpPr/>
        </xdr:nvGrpSpPr>
        <xdr:grpSpPr>
          <a:xfrm>
            <a:off x="558707" y="1769250"/>
            <a:ext cx="5225273" cy="608867"/>
            <a:chOff x="231749" y="1490256"/>
            <a:chExt cx="5216550" cy="603885"/>
          </a:xfrm>
        </xdr:grpSpPr>
        <xdr:sp>
          <xdr:nvSpPr>
            <xdr:cNvPr id="34" name="Step" descr="Type =SUM(D4:D7), and then press enter. When you're done, you'll see the result of 170"/>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and then press enter. When you're done, you'll see the result of 170.</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35" name="2" descr="2"/>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grpSp>
      <xdr:grpSp>
        <xdr:nvGrpSpPr>
          <xdr:cNvPr id="19" name="Step1"/>
          <xdr:cNvGrpSpPr/>
        </xdr:nvGrpSpPr>
        <xdr:grpSpPr>
          <a:xfrm>
            <a:off x="558707" y="1278313"/>
            <a:ext cx="5225273" cy="608867"/>
            <a:chOff x="231749" y="1003336"/>
            <a:chExt cx="5216550" cy="603885"/>
          </a:xfrm>
        </xdr:grpSpPr>
        <xdr:sp>
          <xdr:nvSpPr>
            <xdr:cNvPr id="36" name="Step" descr="Select the yellow cell under the amounts for fruit"/>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Select the yellow cell under the amounts for fruit.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37" name="1" descr="1"/>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grpSp>
      <xdr:sp>
        <xdr:nvSpPr>
          <xdr:cNvPr id="18" name="Add numbers introduction" descr="Here are some ways to add up numbers in Excel:"/>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Here are some ways to add up numbers in Excel:</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grp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xdr:cNvGrpSpPr/>
      </xdr:nvGrpSpPr>
      <xdr:grpSpPr>
        <a:xfrm>
          <a:off x="298450" y="252730"/>
          <a:ext cx="5732780" cy="4617720"/>
          <a:chOff x="11496675" y="857250"/>
          <a:chExt cx="5695950" cy="4619625"/>
        </a:xfrm>
      </xdr:grpSpPr>
      <xdr:sp>
        <xdr:nvSpPr>
          <xdr:cNvPr id="97" name="Rectangle 96" descr="Background"/>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98" name="Step" descr="Save time by filling cells automatically"/>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99" name="Straight Connector 98" descr="Decorative line"/>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00" name="Next Button" descr="Dive down for more detail">
            <a:hlinkClick xmlns:r="http://schemas.openxmlformats.org/officeDocument/2006/relationships" r:id="rId1"/>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Dive down for more detail</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101" name="Straight Connector 100" descr="Decorative line"/>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02" name="Next Button" descr="Next step button, hyperlinked to next sheet">
            <a:hlinkClick xmlns:r="http://schemas.openxmlformats.org/officeDocument/2006/relationships" r:id="rId2"/>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3" name="Step" descr="Here’s how to use the fill handle in Excel:"/>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Here’s how to use the fill handle in Excel:</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104" name="Step" descr="Click the cell with the number 100"/>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105" name="Oval 104" descr="1"/>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06" name="Step" descr="Rest your cursor on the lower-right corner of the cell until &#10;it becomes a cross:"/>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it becomes a cross:</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7" name="Oval 106" descr="2"/>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08" name="Step" descr="Click the cross and drag down three cells. Excel will automatically fill the cells with the totals: 110, 120, and 130. People call this “filling down”&#10;"/>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People call this “filling down.”</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9" name="Oval 108" descr="3"/>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10" name="Step" descr="Select the yellow cell with 200, and fill again but this time drag the fill handle to the right to fill the cells. This is known as “filling right”"/>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111" name="Oval 110" descr="4"/>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xdr:cNvGrpSpPr/>
      </xdr:nvGrpSpPr>
      <xdr:grpSpPr>
        <a:xfrm>
          <a:off x="9728200" y="1143000"/>
          <a:ext cx="2171700" cy="1769110"/>
          <a:chOff x="9304420" y="1209675"/>
          <a:chExt cx="2049380" cy="1769645"/>
        </a:xfrm>
      </xdr:grpSpPr>
      <xdr:grpSp>
        <xdr:nvGrpSpPr>
          <xdr:cNvPr id="117" name="Group 116" descr="Bracket line"/>
          <xdr:cNvGrpSpPr/>
        </xdr:nvGrpSpPr>
        <xdr:grpSpPr>
          <a:xfrm rot="599914">
            <a:off x="9304420" y="1235818"/>
            <a:ext cx="281570" cy="779592"/>
            <a:chOff x="9871108" y="1184220"/>
            <a:chExt cx="273326" cy="789155"/>
          </a:xfrm>
        </xdr:grpSpPr>
        <xdr:sp>
          <xdr:nvSpPr>
            <xdr:cNvPr id="118" name="Freeform: Shape 117" descr="Bracket line"/>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19" name="Freeform: Shape 118" descr="Bracket line"/>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xdr:nvSpPr>
          <xdr:cNvPr id="121" name="Step" descr="EXTRA CREDIT&#10;Click and drag to select these four cells, and then press CTRL+D. That's the shortcut key for filling down. Can you guess what the shortcut for filling right is? "/>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xdr:cNvGrpSpPr/>
      </xdr:nvGrpSpPr>
      <xdr:grpSpPr>
        <a:xfrm>
          <a:off x="394335" y="5483225"/>
          <a:ext cx="5732780" cy="2710815"/>
          <a:chOff x="0" y="-9524"/>
          <a:chExt cx="5695950" cy="2705100"/>
        </a:xfrm>
      </xdr:grpSpPr>
      <xdr:sp>
        <xdr:nvSpPr>
          <xdr:cNvPr id="115" name="Rectangle 114" descr="Background"/>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16" name="Step" descr="Use the fill handle to copy cells"/>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23" name="Straight Connector 122" descr="Decorative line"/>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24" name="Straight Connector 123" descr="Decorative line"/>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25" name="Step" descr="Sometimes you don't need the numbers to change as you fill. Instead, you just want to copy values to other adjacent cells. Here's how to do that:"/>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endParaRPr lang="en-US" sz="1100">
              <a:latin typeface="Segoe UI" panose="020B0502040204020203" pitchFamily="34" charset="0"/>
              <a:cs typeface="Segoe UI" panose="020B0502040204020203" pitchFamily="34" charset="0"/>
            </a:endParaRPr>
          </a:p>
        </xdr:txBody>
      </xdr:sp>
      <xdr:sp>
        <xdr:nvSpPr>
          <xdr:cNvPr id="126" name="Step" descr="Click the cell with the word Produce. Rest your cursor on the lower-right corner of the cell until it becomes a cross, then drag down three cells"/>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Rest your cursor on the lower-right corner of the cell until it becomes a cross, then drag down three cells.</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27" name="Oval 126" descr="1"/>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28" name="Step" descr="Now select the cell with the word Fruit. Rest your cursor on the lower- right corner again, and when you get the cross, double-click.  That's another way to fill down in case you ever need to fill a long column"/>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Rest your cursor on the lower- right corner again, and when you get the cross, double-click. That's another way to fill down in case you ever need to fill a long column.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29" name="Oval 128" descr="2"/>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xdr:cNvGrpSpPr/>
      </xdr:nvGrpSpPr>
      <xdr:grpSpPr>
        <a:xfrm>
          <a:off x="7007860" y="9378315"/>
          <a:ext cx="3665220" cy="2308860"/>
          <a:chOff x="6705600" y="9845654"/>
          <a:chExt cx="3482574" cy="2308246"/>
        </a:xfrm>
      </xdr:grpSpPr>
      <xdr:sp>
        <xdr:nvSpPr>
          <xdr:cNvPr id="80" name="Freeform: Shape 79" descr="Arrow"/>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1" fmla="*/ 279015 w 279015"/>
              <a:gd name="connsiteY0-2" fmla="*/ 32141 h 1310271"/>
              <a:gd name="connsiteX1-3" fmla="*/ 152422 w 279015"/>
              <a:gd name="connsiteY1-4" fmla="*/ 244286 h 1310271"/>
              <a:gd name="connsiteX2-5" fmla="*/ 211667 w 279015"/>
              <a:gd name="connsiteY2-6" fmla="*/ 1215550 h 1310271"/>
              <a:gd name="connsiteX3-7" fmla="*/ 0 w 279015"/>
              <a:gd name="connsiteY3-8" fmla="*/ 1273278 h 1310271"/>
              <a:gd name="connsiteX4-9" fmla="*/ 0 w 279015"/>
              <a:gd name="connsiteY4-10" fmla="*/ 1273278 h 1310271"/>
              <a:gd name="connsiteX0-11" fmla="*/ 279015 w 279015"/>
              <a:gd name="connsiteY0-12" fmla="*/ 2960 h 1281090"/>
              <a:gd name="connsiteX1-13" fmla="*/ 152422 w 279015"/>
              <a:gd name="connsiteY1-14" fmla="*/ 215105 h 1281090"/>
              <a:gd name="connsiteX2-15" fmla="*/ 211667 w 279015"/>
              <a:gd name="connsiteY2-16" fmla="*/ 1186369 h 1281090"/>
              <a:gd name="connsiteX3-17" fmla="*/ 0 w 279015"/>
              <a:gd name="connsiteY3-18" fmla="*/ 1244097 h 1281090"/>
              <a:gd name="connsiteX4-19" fmla="*/ 0 w 279015"/>
              <a:gd name="connsiteY4-20" fmla="*/ 1244097 h 1281090"/>
            </a:gdLst>
            <a:ahLst/>
            <a:cxnLst>
              <a:cxn ang="0">
                <a:pos x="connsiteX0-1" y="connsiteY0-2"/>
              </a:cxn>
              <a:cxn ang="0">
                <a:pos x="connsiteX1-3" y="connsiteY1-4"/>
              </a:cxn>
              <a:cxn ang="0">
                <a:pos x="connsiteX2-5" y="connsiteY2-6"/>
              </a:cxn>
              <a:cxn ang="0">
                <a:pos x="connsiteX3-7" y="connsiteY3-8"/>
              </a:cxn>
              <a:cxn ang="0">
                <a:pos x="connsiteX4-9" y="connsiteY4-10"/>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endParaRPr lang="en-US" sz="1100" b="0" i="0" kern="1200" baseline="0">
              <a:solidFill>
                <a:schemeClr val="dk1"/>
              </a:solidFill>
              <a:effectLst/>
              <a:latin typeface="+mn-lt"/>
              <a:ea typeface="+mn-ea"/>
              <a:cs typeface="+mn-cs"/>
            </a:endParaRP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Picture 1" descr="AutoFill Options"/>
          <xdr:cNvPicPr>
            <a:picLocks noChangeAspect="1"/>
          </xdr:cNvPicPr>
        </xdr:nvPicPr>
        <xdr:blipFill>
          <a:blip r:embed="rId7"/>
          <a:srcRect l="15611" t="14187" r="4668" b="11100"/>
          <a:stretch>
            <a:fillRect/>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xdr:cNvGrpSpPr/>
      </xdr:nvGrpSpPr>
      <xdr:grpSpPr>
        <a:xfrm>
          <a:off x="391795" y="8387715"/>
          <a:ext cx="5732780" cy="4051300"/>
          <a:chOff x="0" y="-9524"/>
          <a:chExt cx="5695950" cy="3946524"/>
        </a:xfrm>
      </xdr:grpSpPr>
      <xdr:sp>
        <xdr:nvSpPr>
          <xdr:cNvPr id="164" name="Rectangle 163" descr="Background"/>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65" name="Step" descr="Fill a series"/>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66" name="Straight Connector 165" descr="Decorative line"/>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67" name="Straight Connector 166" descr="Decorative line"/>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68" name="Step" descr="Excel can automatically fill some cells based on a series. For example, you can type Jan in one cell, and then fill the other cells with Feb, Mar, etc. "/>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xdr:nvSpPr>
          <xdr:cNvPr id="169" name="Step" descr="Click the cell with the word Jan"/>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70" name="Oval 169" descr="1"/>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71" name="Step" descr="Rest your cursor on the lower-right corner of the cell until it becomes a cross, then drag right two cells. Excel detects a series, and fills in Feb and Mar for you"/>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for you.</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72" name="Oval 171" descr="2"/>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73" name="Step" descr="Now select the cell with Week 1"/>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74" name="Oval 173" descr="3"/>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75" name="Step" descr="Rest your cursor on the lower-right corner again, and when you get the cross, double-click it"/>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76" name="Oval 175" descr="4"/>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xdr:cNvGrpSpPr/>
      </xdr:nvGrpSpPr>
      <xdr:grpSpPr>
        <a:xfrm>
          <a:off x="391795" y="12560935"/>
          <a:ext cx="5732780" cy="2806700"/>
          <a:chOff x="0" y="1"/>
          <a:chExt cx="5695950" cy="2806700"/>
        </a:xfrm>
      </xdr:grpSpPr>
      <xdr:sp>
        <xdr:nvSpPr>
          <xdr:cNvPr id="188" name="Rectangle 187" descr="Background"/>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89" name="Step" descr="More information on the web"/>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90" name="Straight Connector 189" descr="Decorative line"/>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91" name="Next Button" descr="Back to top, hyperlinked to cell A1">
            <a:hlinkClick xmlns:r="http://schemas.openxmlformats.org/officeDocument/2006/relationships" r:id="rId8"/>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Back to top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192" name="Straight Connector 191" descr="Decorative line"/>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93" name="Next Button" descr="Next step button, hyperlinked to next sheet">
            <a:hlinkClick xmlns:r="http://schemas.openxmlformats.org/officeDocument/2006/relationships" r:id="rId2"/>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94" name="Step" descr="Fill data automatically in worksheet cells, Hyperlinked to web">
            <a:hlinkClick xmlns:r="http://schemas.openxmlformats.org/officeDocument/2006/relationships" r:id="rId9"/>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Fill data automatically in worksheet cells</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95" name="Graphic 22" descr="Arrow">
            <a:hlinkClick xmlns:r="http://schemas.openxmlformats.org/officeDocument/2006/relationships" r:id="rId9"/>
          </xdr:cNvPr>
          <xdr:cNvPicPr>
            <a:picLocks noChangeAspect="1"/>
          </xdr:cNvPicPr>
        </xdr:nvPicPr>
        <xdr:blipFill>
          <a:blip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xdr:nvSpPr>
          <xdr:cNvPr id="196" name="Step" descr="Fill a formula down into adjacent cells, Hyperlinked to web">
            <a:hlinkClick xmlns:r="http://schemas.openxmlformats.org/officeDocument/2006/relationships" r:id="rId12"/>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Fill a formula down into adjacent cells</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b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97" name="Graphic 22" descr="Arrow">
            <a:hlinkClick xmlns:r="http://schemas.openxmlformats.org/officeDocument/2006/relationships" r:id="rId12"/>
          </xdr:cNvPr>
          <xdr:cNvPicPr>
            <a:picLocks noChangeAspect="1"/>
          </xdr:cNvPicPr>
        </xdr:nvPicPr>
        <xdr:blipFill>
          <a:blip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twoCellAnchor editAs="absolute">
    <xdr:from>
      <xdr:col>1</xdr:col>
      <xdr:colOff>1380781</xdr:colOff>
      <xdr:row>7</xdr:row>
      <xdr:rowOff>172382</xdr:rowOff>
    </xdr:from>
    <xdr:to>
      <xdr:col>1</xdr:col>
      <xdr:colOff>1995005</xdr:colOff>
      <xdr:row>9</xdr:row>
      <xdr:rowOff>44116</xdr:rowOff>
    </xdr:to>
    <xdr:pic>
      <xdr:nvPicPr>
        <xdr:cNvPr id="81" name="Instruction" descr="Lower-right corner of the cell"/>
        <xdr:cNvPicPr>
          <a:picLocks noChangeAspect="1"/>
        </xdr:cNvPicPr>
      </xdr:nvPicPr>
      <xdr:blipFill>
        <a:blip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a:fillRect/>
        </a:stretch>
      </xdr:blipFill>
      <xdr:spPr>
        <a:xfrm>
          <a:off x="2265045" y="2077085"/>
          <a:ext cx="614045" cy="252730"/>
        </a:xfrm>
        <a:prstGeom prst="rect">
          <a:avLst/>
        </a:prstGeom>
      </xdr:spPr>
    </xdr:pic>
    <xdr:clientData/>
  </xdr:twoCell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xdr:cNvGrpSpPr/>
      </xdr:nvGrpSpPr>
      <xdr:grpSpPr>
        <a:xfrm>
          <a:off x="6706235" y="12300585"/>
          <a:ext cx="3950970" cy="1160780"/>
          <a:chOff x="6375400" y="12710331"/>
          <a:chExt cx="3768724" cy="1161191"/>
        </a:xfrm>
      </xdr:grpSpPr>
      <xdr:sp>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anose="020B0502040204020203"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endParaRPr lang="en-US" sz="1100" kern="0">
              <a:solidFill>
                <a:schemeClr val="bg2">
                  <a:lumMod val="25000"/>
                </a:schemeClr>
              </a:solidFill>
              <a:latin typeface="+mn-lt"/>
              <a:ea typeface="Segoe UI" panose="020B0502040204020203" pitchFamily="34" charset="0"/>
              <a:cs typeface="Segoe UI Light" panose="020B0502040204020203" pitchFamily="34" charset="0"/>
            </a:endParaRPr>
          </a:p>
        </xdr:txBody>
      </xdr:sp>
      <xdr:sp>
        <xdr:nvSpPr>
          <xdr:cNvPr id="149" name="Freeform: Shape 148" descr="Bracket line"/>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Lst>
            <a:ahLst/>
            <a:cxnLst>
              <a:cxn ang="0">
                <a:pos x="connsiteX0-1" y="connsiteY0-2"/>
              </a:cxn>
              <a:cxn ang="0">
                <a:pos x="connsiteX1-3" y="connsiteY1-4"/>
              </a:cxn>
              <a:cxn ang="0">
                <a:pos x="connsiteX2-5" y="connsiteY2-6"/>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98" name="Freeform: Shape 197" descr="Bracket line"/>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 name="connsiteX0-15" fmla="*/ 0 w 169722"/>
              <a:gd name="connsiteY0-16" fmla="*/ 334 h 219894"/>
              <a:gd name="connsiteX1-17" fmla="*/ 157369 w 169722"/>
              <a:gd name="connsiteY1-18" fmla="*/ 33464 h 219894"/>
              <a:gd name="connsiteX2-19" fmla="*/ 169722 w 169722"/>
              <a:gd name="connsiteY2-20" fmla="*/ 219894 h 219894"/>
            </a:gdLst>
            <a:ahLst/>
            <a:cxnLst>
              <a:cxn ang="0">
                <a:pos x="connsiteX0-1" y="connsiteY0-2"/>
              </a:cxn>
              <a:cxn ang="0">
                <a:pos x="connsiteX1-3" y="connsiteY1-4"/>
              </a:cxn>
              <a:cxn ang="0">
                <a:pos x="connsiteX2-5" y="connsiteY2-6"/>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3" name="Arc 2"/>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99" name="Arc 198"/>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xdr:cNvPicPr>
            <a:picLocks noChangeAspect="1"/>
          </xdr:cNvPicPr>
        </xdr:nvPicPr>
        <xdr:blipFill>
          <a:blip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xdr:cNvGrpSpPr/>
      </xdr:nvGrpSpPr>
      <xdr:grpSpPr>
        <a:xfrm>
          <a:off x="8721725" y="2476500"/>
          <a:ext cx="1837690" cy="1228090"/>
          <a:chOff x="8420099" y="2619375"/>
          <a:chExt cx="1657351" cy="1228724"/>
        </a:xfrm>
      </xdr:grpSpPr>
      <xdr:sp>
        <xdr:nvSpPr>
          <xdr:cNvPr id="102" name="Step" descr="GOOD TO KNOW&#10;CTRL+E is the shortcut for Flash Fill"/>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xdr:cNvGrpSpPr/>
      </xdr:nvGrpSpPr>
      <xdr:grpSpPr>
        <a:xfrm>
          <a:off x="6313805" y="11239500"/>
          <a:ext cx="10034270" cy="3138170"/>
          <a:chOff x="6276975" y="11658600"/>
          <a:chExt cx="9127486" cy="3138237"/>
        </a:xfrm>
      </xdr:grpSpPr>
      <xdr:sp>
        <xdr:nvSpPr>
          <xdr:cNvPr id="104" name="Step" descr="HOW IT WORKS:"/>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defRPr/>
            </a:pPr>
            <a:r>
              <a:rPr kumimoji="0" lang="en-US" sz="1200" b="1" i="0" u="none" strike="noStrike" kern="0" cap="none" spc="0" normalizeH="0" baseline="0" noProof="0">
                <a:ln>
                  <a:noFill/>
                </a:ln>
                <a:solidFill>
                  <a:schemeClr val="accent1"/>
                </a:solidFill>
                <a:effectLst/>
                <a:uLnTx/>
                <a:uFillTx/>
                <a:latin typeface="+mj-lt"/>
                <a:ea typeface="Segoe UI" panose="020B0502040204020203"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anose="020B0502040204020203" pitchFamily="34" charset="0"/>
              <a:cs typeface="Segoe UI Light" panose="020B0502040204020203" pitchFamily="34" charset="0"/>
            </a:endParaRPr>
          </a:p>
        </xdr:txBody>
      </xdr:sp>
      <xdr:sp>
        <xdr:nvSpPr>
          <xdr:cNvPr id="105" name="TextBox 100" descr="=LEFT(C56,FIND(&quot; &quot;,C56)-1)"/>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xdr:nvSpPr>
          <xdr:cNvPr id="106" name="Left Brace 105" descr="Bracket line"/>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07" name="Text Box 2"/>
          <xdr:cNvSpPr txBox="1">
            <a:spLocks noChangeArrowheads="1"/>
          </xdr:cNvSpPr>
        </xdr:nvSpPr>
        <xdr:spPr>
          <a:xfrm>
            <a:off x="6366119" y="12049236"/>
            <a:ext cx="732019" cy="1013444"/>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xdr:nvSpPr>
          <xdr:cNvPr id="131" name="Left Brace 130" descr="Bracket line"/>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32" name="Text Box 2" descr="…this cell..."/>
          <xdr:cNvSpPr txBox="1">
            <a:spLocks noChangeArrowheads="1"/>
          </xdr:cNvSpPr>
        </xdr:nvSpPr>
        <xdr:spPr>
          <a:xfrm>
            <a:off x="7130325" y="12048409"/>
            <a:ext cx="490127" cy="1010481"/>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endParaRPr lang="en-US" sz="1100">
              <a:effectLst/>
              <a:latin typeface="+mn-lt"/>
              <a:ea typeface="Calibri" panose="020F0502020204030204" pitchFamily="34" charset="0"/>
              <a:cs typeface="Times New Roman" panose="02020603050405020304" pitchFamily="18" charset="0"/>
            </a:endParaRPr>
          </a:p>
        </xdr:txBody>
      </xdr:sp>
      <xdr:sp>
        <xdr:nvSpPr>
          <xdr:cNvPr id="133" name="Text Box 2" descr="...and extract this many characters. To specify the number of characters, use the FIND function..."/>
          <xdr:cNvSpPr txBox="1">
            <a:spLocks noChangeArrowheads="1"/>
          </xdr:cNvSpPr>
        </xdr:nvSpPr>
        <xdr:spPr>
          <a:xfrm>
            <a:off x="7653298" y="12048406"/>
            <a:ext cx="1843074" cy="1010484"/>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endParaRPr lang="en-US" sz="1100">
              <a:effectLst/>
              <a:latin typeface="+mn-lt"/>
              <a:ea typeface="Calibri" panose="020F0502020204030204" pitchFamily="34" charset="0"/>
              <a:cs typeface="Times New Roman" panose="02020603050405020304" pitchFamily="18" charset="0"/>
            </a:endParaRPr>
          </a:p>
        </xdr:txBody>
      </xdr:sp>
      <xdr:sp>
        <xdr:nvSpPr>
          <xdr:cNvPr id="134" name="Left Brace 133" descr="Bracket line"/>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35" name="Text Box 2" descr="...and find the character position number of..."/>
          <xdr:cNvSpPr txBox="1">
            <a:spLocks noChangeArrowheads="1"/>
          </xdr:cNvSpPr>
        </xdr:nvSpPr>
        <xdr:spPr>
          <a:xfrm>
            <a:off x="7009481" y="13736321"/>
            <a:ext cx="912519" cy="1037069"/>
          </a:xfrm>
          <a:prstGeom prst="rect">
            <a:avLst/>
          </a:prstGeom>
          <a:solidFill>
            <a:schemeClr val="accent6">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endParaRPr lang="en-US" sz="1100">
              <a:effectLst/>
              <a:latin typeface="+mn-lt"/>
              <a:ea typeface="Calibri" panose="020F0502020204030204" pitchFamily="34" charset="0"/>
              <a:cs typeface="Times New Roman" panose="02020603050405020304" pitchFamily="18" charset="0"/>
            </a:endParaRPr>
          </a:p>
        </xdr:txBody>
      </xdr:sp>
      <xdr:sp>
        <xdr:nvSpPr>
          <xdr:cNvPr id="136" name="Left Brace 135" descr="Bracket line"/>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37" name="Text Box 2" descr="... the first space..."/>
          <xdr:cNvSpPr txBox="1">
            <a:spLocks noChangeArrowheads="1"/>
          </xdr:cNvSpPr>
        </xdr:nvSpPr>
        <xdr:spPr>
          <a:xfrm>
            <a:off x="7953451" y="13736322"/>
            <a:ext cx="601987" cy="1037068"/>
          </a:xfrm>
          <a:prstGeom prst="rect">
            <a:avLst/>
          </a:prstGeom>
          <a:solidFill>
            <a:schemeClr val="accent6">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endParaRPr lang="en-US" sz="1100">
              <a:effectLst/>
              <a:latin typeface="+mn-lt"/>
              <a:ea typeface="Calibri" panose="020F0502020204030204" pitchFamily="34" charset="0"/>
              <a:cs typeface="Times New Roman" panose="02020603050405020304" pitchFamily="18" charset="0"/>
            </a:endParaRPr>
          </a:p>
        </xdr:txBody>
      </xdr:sp>
      <xdr:sp>
        <xdr:nvSpPr>
          <xdr:cNvPr id="138" name="Left Brace 137" descr="Bracket line"/>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39" name="Text Box 2" descr="...in this cell"/>
          <xdr:cNvSpPr txBox="1">
            <a:spLocks noChangeArrowheads="1"/>
          </xdr:cNvSpPr>
        </xdr:nvSpPr>
        <xdr:spPr>
          <a:xfrm>
            <a:off x="8586178" y="13736322"/>
            <a:ext cx="438356" cy="1037068"/>
          </a:xfrm>
          <a:prstGeom prst="rect">
            <a:avLst/>
          </a:prstGeom>
          <a:solidFill>
            <a:schemeClr val="accent6">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endParaRPr lang="en-US" sz="1100">
              <a:effectLst/>
              <a:latin typeface="+mn-lt"/>
              <a:ea typeface="Calibri" panose="020F0502020204030204" pitchFamily="34" charset="0"/>
              <a:cs typeface="Times New Roman" panose="02020603050405020304" pitchFamily="18" charset="0"/>
            </a:endParaRPr>
          </a:p>
        </xdr:txBody>
      </xdr:sp>
      <xdr:sp>
        <xdr:nvSpPr>
          <xdr:cNvPr id="140" name="Left Brace 139" descr="Bracket line"/>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41" name="Text Box 2" descr="...then subtract 1 to exclude the space itself"/>
          <xdr:cNvSpPr txBox="1">
            <a:spLocks noChangeArrowheads="1"/>
          </xdr:cNvSpPr>
        </xdr:nvSpPr>
        <xdr:spPr>
          <a:xfrm>
            <a:off x="9049136" y="13734332"/>
            <a:ext cx="777067" cy="1035162"/>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endParaRPr lang="en-US" sz="1100">
              <a:effectLst/>
              <a:latin typeface="+mn-lt"/>
              <a:ea typeface="Calibri" panose="020F0502020204030204" pitchFamily="34" charset="0"/>
              <a:cs typeface="Times New Roman" panose="02020603050405020304" pitchFamily="18" charset="0"/>
            </a:endParaRPr>
          </a:p>
        </xdr:txBody>
      </xdr:sp>
      <xdr:sp>
        <xdr:nvSpPr>
          <xdr:cNvPr id="142" name="Left Brace 141" descr="Bracket line"/>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43" name="Freeform: Shape 142" descr="Bracket line"/>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1" fmla="*/ 1629276 w 1629276"/>
              <a:gd name="connsiteY0-2" fmla="*/ 0 h 917408"/>
              <a:gd name="connsiteX1-3" fmla="*/ 1629276 w 1629276"/>
              <a:gd name="connsiteY1-4" fmla="*/ 140368 h 917408"/>
              <a:gd name="connsiteX2-5" fmla="*/ 0 w 1629276"/>
              <a:gd name="connsiteY2-6" fmla="*/ 140368 h 917408"/>
              <a:gd name="connsiteX3-7" fmla="*/ 0 w 1629276"/>
              <a:gd name="connsiteY3-8" fmla="*/ 917408 h 917408"/>
              <a:gd name="connsiteX0-9" fmla="*/ 1629276 w 1629276"/>
              <a:gd name="connsiteY0-10" fmla="*/ 0 h 818775"/>
              <a:gd name="connsiteX1-11" fmla="*/ 1629276 w 1629276"/>
              <a:gd name="connsiteY1-12" fmla="*/ 140368 h 818775"/>
              <a:gd name="connsiteX2-13" fmla="*/ 0 w 1629276"/>
              <a:gd name="connsiteY2-14" fmla="*/ 140368 h 818775"/>
              <a:gd name="connsiteX3-15" fmla="*/ 0 w 1629276"/>
              <a:gd name="connsiteY3-16" fmla="*/ 818775 h 818775"/>
              <a:gd name="connsiteX0-17" fmla="*/ 1629276 w 1629276"/>
              <a:gd name="connsiteY0-18" fmla="*/ 0 h 818775"/>
              <a:gd name="connsiteX1-19" fmla="*/ 1629276 w 1629276"/>
              <a:gd name="connsiteY1-20" fmla="*/ 140368 h 818775"/>
              <a:gd name="connsiteX2-21" fmla="*/ 0 w 1629276"/>
              <a:gd name="connsiteY2-22" fmla="*/ 140368 h 818775"/>
              <a:gd name="connsiteX3-23" fmla="*/ 0 w 1629276"/>
              <a:gd name="connsiteY3-24" fmla="*/ 818775 h 818775"/>
              <a:gd name="connsiteX0-25" fmla="*/ 1629276 w 1629276"/>
              <a:gd name="connsiteY0-26" fmla="*/ 0 h 286057"/>
              <a:gd name="connsiteX1-27" fmla="*/ 1629276 w 1629276"/>
              <a:gd name="connsiteY1-28" fmla="*/ 140368 h 286057"/>
              <a:gd name="connsiteX2-29" fmla="*/ 0 w 1629276"/>
              <a:gd name="connsiteY2-30" fmla="*/ 140368 h 286057"/>
              <a:gd name="connsiteX3-31" fmla="*/ 0 w 1629276"/>
              <a:gd name="connsiteY3-32" fmla="*/ 286057 h 286057"/>
            </a:gdLst>
            <a:ahLst/>
            <a:cxnLst>
              <a:cxn ang="0">
                <a:pos x="connsiteX0-1" y="connsiteY0-2"/>
              </a:cxn>
              <a:cxn ang="0">
                <a:pos x="connsiteX1-3" y="connsiteY1-4"/>
              </a:cxn>
              <a:cxn ang="0">
                <a:pos x="connsiteX2-5" y="connsiteY2-6"/>
              </a:cxn>
              <a:cxn ang="0">
                <a:pos x="connsiteX3-7" y="connsiteY3-8"/>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44" name="Left Brace 143" descr="Bracket line"/>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45" name="Text Box 2"/>
          <xdr:cNvSpPr txBox="1">
            <a:spLocks noChangeArrowheads="1"/>
          </xdr:cNvSpPr>
        </xdr:nvSpPr>
        <xdr:spPr>
          <a:xfrm>
            <a:off x="9725712" y="12063158"/>
            <a:ext cx="828641" cy="1013444"/>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xdr:nvSpPr>
          <xdr:cNvPr id="146" name="Left Brace 145" descr="Bracket line"/>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47" name="Text Box 2" descr="…this cell..."/>
          <xdr:cNvSpPr txBox="1">
            <a:spLocks noChangeArrowheads="1"/>
          </xdr:cNvSpPr>
        </xdr:nvSpPr>
        <xdr:spPr>
          <a:xfrm>
            <a:off x="10600421" y="12062332"/>
            <a:ext cx="657313" cy="1010481"/>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endParaRPr lang="en-US" sz="1100">
              <a:effectLst/>
              <a:latin typeface="+mn-lt"/>
              <a:ea typeface="Calibri" panose="020F0502020204030204" pitchFamily="34" charset="0"/>
              <a:cs typeface="Times New Roman" panose="02020603050405020304" pitchFamily="18" charset="0"/>
            </a:endParaRPr>
          </a:p>
        </xdr:txBody>
      </xdr:sp>
      <xdr:sp>
        <xdr:nvSpPr>
          <xdr:cNvPr id="148" name="Text Box 2" descr="...and extract this many characters. To specify the number of characters, use the LEN function..."/>
          <xdr:cNvSpPr txBox="1">
            <a:spLocks noChangeArrowheads="1"/>
          </xdr:cNvSpPr>
        </xdr:nvSpPr>
        <xdr:spPr>
          <a:xfrm>
            <a:off x="11305911" y="12062328"/>
            <a:ext cx="3208574" cy="1010484"/>
          </a:xfrm>
          <a:prstGeom prst="rect">
            <a:avLst/>
          </a:prstGeom>
          <a:solidFill>
            <a:schemeClr val="accent1">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endParaRPr lang="en-US" sz="1100">
              <a:effectLst/>
              <a:latin typeface="+mn-lt"/>
              <a:ea typeface="Calibri" panose="020F0502020204030204" pitchFamily="34" charset="0"/>
              <a:cs typeface="Times New Roman" panose="02020603050405020304" pitchFamily="18" charset="0"/>
            </a:endParaRPr>
          </a:p>
        </xdr:txBody>
      </xdr:sp>
      <xdr:sp>
        <xdr:nvSpPr>
          <xdr:cNvPr id="149" name="Left Brace 148" descr="Bracket line"/>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50" name="TextBox 100" descr="=RIGHT(C56,LEN(C56)-FIND(&quot; &quot;,C56))"/>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xdr:nvSpPr>
          <xdr:cNvPr id="151" name="Text Box 2"/>
          <xdr:cNvSpPr txBox="1">
            <a:spLocks noChangeArrowheads="1"/>
          </xdr:cNvSpPr>
        </xdr:nvSpPr>
        <xdr:spPr>
          <a:xfrm>
            <a:off x="10076989" y="13759768"/>
            <a:ext cx="1188694" cy="1037069"/>
          </a:xfrm>
          <a:prstGeom prst="rect">
            <a:avLst/>
          </a:prstGeom>
          <a:solidFill>
            <a:schemeClr val="accent6">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endParaRPr lang="en-US" sz="1100">
              <a:effectLst/>
              <a:latin typeface="+mn-lt"/>
              <a:ea typeface="Calibri" panose="020F0502020204030204" pitchFamily="34" charset="0"/>
              <a:cs typeface="Times New Roman" panose="02020603050405020304" pitchFamily="18" charset="0"/>
            </a:endParaRPr>
          </a:p>
        </xdr:txBody>
      </xdr:sp>
      <xdr:sp>
        <xdr:nvSpPr>
          <xdr:cNvPr id="152" name="Left Brace 151" descr="Bracket line"/>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53" name="Text Box 2" descr="...this cell..."/>
          <xdr:cNvSpPr txBox="1">
            <a:spLocks noChangeArrowheads="1"/>
          </xdr:cNvSpPr>
        </xdr:nvSpPr>
        <xdr:spPr>
          <a:xfrm>
            <a:off x="11294799" y="13759768"/>
            <a:ext cx="486606" cy="1037069"/>
          </a:xfrm>
          <a:prstGeom prst="rect">
            <a:avLst/>
          </a:prstGeom>
          <a:solidFill>
            <a:schemeClr val="accent6">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endParaRPr lang="en-US" sz="1100">
              <a:effectLst/>
              <a:latin typeface="+mn-lt"/>
              <a:ea typeface="Calibri" panose="020F0502020204030204" pitchFamily="34" charset="0"/>
              <a:cs typeface="Times New Roman" panose="02020603050405020304" pitchFamily="18" charset="0"/>
            </a:endParaRPr>
          </a:p>
        </xdr:txBody>
      </xdr:sp>
      <xdr:sp>
        <xdr:nvSpPr>
          <xdr:cNvPr id="154" name="Left Brace 153" descr="Bracket line"/>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55" name="Text Box 2" descr="...and subtract this number:"/>
          <xdr:cNvSpPr txBox="1">
            <a:spLocks noChangeArrowheads="1"/>
          </xdr:cNvSpPr>
        </xdr:nvSpPr>
        <xdr:spPr>
          <a:xfrm>
            <a:off x="11807191" y="13759768"/>
            <a:ext cx="672747" cy="1037069"/>
          </a:xfrm>
          <a:prstGeom prst="rect">
            <a:avLst/>
          </a:prstGeom>
          <a:solidFill>
            <a:schemeClr val="accent6">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endParaRPr lang="en-US" sz="1100">
              <a:effectLst/>
              <a:latin typeface="+mn-lt"/>
              <a:ea typeface="Calibri" panose="020F0502020204030204" pitchFamily="34" charset="0"/>
              <a:cs typeface="Times New Roman" panose="02020603050405020304" pitchFamily="18" charset="0"/>
            </a:endParaRPr>
          </a:p>
        </xdr:txBody>
      </xdr:sp>
      <xdr:sp>
        <xdr:nvSpPr>
          <xdr:cNvPr id="156" name="Left Brace 155" descr="Bracket line"/>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57" name="Text Box 2" descr="Find the character position number of..."/>
          <xdr:cNvSpPr txBox="1">
            <a:spLocks noChangeArrowheads="1"/>
          </xdr:cNvSpPr>
        </xdr:nvSpPr>
        <xdr:spPr>
          <a:xfrm>
            <a:off x="12509708" y="13759768"/>
            <a:ext cx="726219" cy="1032557"/>
          </a:xfrm>
          <a:prstGeom prst="rect">
            <a:avLst/>
          </a:prstGeom>
          <a:solidFill>
            <a:schemeClr val="accent6">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xdr:nvSpPr>
          <xdr:cNvPr id="158" name="Left Brace 157" descr="Bracket line"/>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59" name="Text Box 2" descr="...the first space..."/>
          <xdr:cNvSpPr txBox="1">
            <a:spLocks noChangeArrowheads="1"/>
          </xdr:cNvSpPr>
        </xdr:nvSpPr>
        <xdr:spPr>
          <a:xfrm>
            <a:off x="13260296" y="13759768"/>
            <a:ext cx="514253" cy="1037069"/>
          </a:xfrm>
          <a:prstGeom prst="rect">
            <a:avLst/>
          </a:prstGeom>
          <a:solidFill>
            <a:schemeClr val="accent6">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endParaRPr lang="en-US" sz="1100">
              <a:effectLst/>
              <a:latin typeface="+mn-lt"/>
              <a:ea typeface="Calibri" panose="020F0502020204030204" pitchFamily="34" charset="0"/>
              <a:cs typeface="Times New Roman" panose="02020603050405020304" pitchFamily="18" charset="0"/>
            </a:endParaRPr>
          </a:p>
        </xdr:txBody>
      </xdr:sp>
      <xdr:sp>
        <xdr:nvSpPr>
          <xdr:cNvPr id="160" name="Left Brace 159" descr="Bracket line"/>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61" name="Text Box 2" descr="...in this cell"/>
          <xdr:cNvSpPr txBox="1">
            <a:spLocks noChangeArrowheads="1"/>
          </xdr:cNvSpPr>
        </xdr:nvSpPr>
        <xdr:spPr>
          <a:xfrm>
            <a:off x="13802126" y="13759768"/>
            <a:ext cx="475365" cy="1037069"/>
          </a:xfrm>
          <a:prstGeom prst="rect">
            <a:avLst/>
          </a:prstGeom>
          <a:solidFill>
            <a:schemeClr val="accent6">
              <a:lumMod val="20000"/>
              <a:lumOff val="80000"/>
            </a:schemeClr>
          </a:solidFill>
          <a:ln w="9525">
            <a:noFill/>
            <a:miter lim="800000"/>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xdr:nvSpPr>
          <xdr:cNvPr id="162" name="Left Brace 161" descr="Bracket line"/>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noAutofit/>
          </a:bodyPr>
          <a:lstStyle/>
          <a:p>
            <a:endParaRPr lang="en-US"/>
          </a:p>
        </xdr:txBody>
      </xdr:sp>
      <xdr:sp>
        <xdr:nvSpPr>
          <xdr:cNvPr id="163" name="Step" descr="HOW IT WORKS:"/>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defRPr/>
            </a:pPr>
            <a:r>
              <a:rPr kumimoji="0" lang="en-US" sz="1200" b="1" i="0" u="none" strike="noStrike" kern="0" cap="none" spc="0" normalizeH="0" baseline="0" noProof="0">
                <a:ln>
                  <a:noFill/>
                </a:ln>
                <a:solidFill>
                  <a:schemeClr val="accent1"/>
                </a:solidFill>
                <a:effectLst/>
                <a:uLnTx/>
                <a:uFillTx/>
                <a:latin typeface="+mj-lt"/>
                <a:ea typeface="Segoe UI" panose="020B0502040204020203"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anose="020B0502040204020203" pitchFamily="34" charset="0"/>
              <a:cs typeface="Segoe UI Light" panose="020B0502040204020203" pitchFamily="34" charset="0"/>
            </a:endParaRPr>
          </a:p>
        </xdr:txBody>
      </xdr:sp>
      <xdr:cxnSp>
        <xdr:nvCxnSpPr>
          <xdr:cNvPr id="6" name="Straight Connector 5" descr="Decorative line"/>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xdr:cNvGrpSpPr/>
      </xdr:nvGrpSpPr>
      <xdr:grpSpPr>
        <a:xfrm>
          <a:off x="398145" y="9697720"/>
          <a:ext cx="5731510" cy="5551805"/>
          <a:chOff x="398319" y="10117281"/>
          <a:chExt cx="5695084" cy="5637069"/>
        </a:xfrm>
      </xdr:grpSpPr>
      <xdr:sp>
        <xdr:nvSpPr>
          <xdr:cNvPr id="166" name="Rectangle 165" descr="Background"/>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67" name="Step" descr="Split a column with formulas"/>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68" name="Straight Connector 167" descr="Decorative line"/>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69" name="Straight Connector 168" descr="Decorative line"/>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endParaRPr lang="en-US" sz="1100">
              <a:latin typeface="Segoe UI" panose="020B0502040204020203" pitchFamily="34" charset="0"/>
              <a:cs typeface="Segoe UI" panose="020B0502040204020203" pitchFamily="34" charset="0"/>
            </a:endParaRPr>
          </a:p>
        </xdr:txBody>
      </xdr:sp>
      <xdr:sp>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xdr:nvSpPr>
          <xdr:cNvPr id="172" name="Oval 171" descr="1"/>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73" name="Step" descr="Then we created a [Helper column]. This was just to “help” extract the other text in the cell. It’s meant to be temporary and something one could always hide late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endParaRPr lang="en-US" sz="1100">
              <a:latin typeface="Segoe UI" panose="020B0502040204020203" pitchFamily="34" charset="0"/>
              <a:cs typeface="Segoe UI" panose="020B0502040204020203" pitchFamily="34" charset="0"/>
            </a:endParaRPr>
          </a:p>
        </xdr:txBody>
      </xdr:sp>
      <xdr:sp>
        <xdr:nvSpPr>
          <xdr:cNvPr id="174" name="Oval 173" descr="2"/>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75" name="Step" descr="Double-click McKay. This is the same formula as in step 3, but it extracts characters from F56 instead of cell C56"/>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endParaRPr lang="en-US" sz="1100">
              <a:latin typeface="Segoe UI" panose="020B0502040204020203" pitchFamily="34" charset="0"/>
              <a:cs typeface="Segoe UI" panose="020B0502040204020203" pitchFamily="34" charset="0"/>
            </a:endParaRPr>
          </a:p>
        </xdr:txBody>
      </xdr:sp>
      <xdr:sp>
        <xdr:nvSpPr>
          <xdr:cNvPr id="176" name="Oval 175" descr="5"/>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sp>
        <xdr:nvSpPr>
          <xdr:cNvPr id="177" name="Step" descr="Double-click Francis McKay in the [Helper column]. You’ll see that we used the RIGHT, LEN, and FIND functions to extract characters from the first space, up until the end of the cell"/>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endParaRPr lang="en-US" sz="1100">
              <a:latin typeface="Segoe UI" panose="020B0502040204020203" pitchFamily="34" charset="0"/>
              <a:cs typeface="Segoe UI" panose="020B0502040204020203" pitchFamily="34" charset="0"/>
            </a:endParaRPr>
          </a:p>
        </xdr:txBody>
      </xdr:sp>
      <xdr:sp>
        <xdr:nvSpPr>
          <xdr:cNvPr id="178" name="Oval 177" descr="3"/>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79" name="Step" descr="Double-click Francis. Here we used almost the same formula as in step 1, but instead of extracting characters from C56, it extracts them from F56"/>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endParaRPr lang="en-US" sz="1100">
              <a:latin typeface="Segoe UI" panose="020B0502040204020203" pitchFamily="34" charset="0"/>
              <a:cs typeface="Segoe UI" panose="020B0502040204020203" pitchFamily="34" charset="0"/>
            </a:endParaRPr>
          </a:p>
        </xdr:txBody>
      </xdr:sp>
      <xdr:sp>
        <xdr:nvSpPr>
          <xdr:cNvPr id="180" name="Oval 179" descr="4"/>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xdr:cNvGrpSpPr/>
      </xdr:nvGrpSpPr>
      <xdr:grpSpPr>
        <a:xfrm>
          <a:off x="400050" y="15392400"/>
          <a:ext cx="5732780" cy="4752975"/>
          <a:chOff x="400050" y="15944850"/>
          <a:chExt cx="5695950" cy="4619625"/>
        </a:xfrm>
      </xdr:grpSpPr>
      <xdr:sp>
        <xdr:nvSpPr>
          <xdr:cNvPr id="198" name="Rectangle 197" descr="Background"/>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99" name="Step" descr="More information on the web"/>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200" name="Straight Connector 199" descr="Decorative line"/>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201" name="Next Button" descr="Back to top, hyperlinked to cell A1">
            <a:hlinkClick xmlns:r="http://schemas.openxmlformats.org/officeDocument/2006/relationships" r:id="rId3"/>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Back to top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202" name="Straight Connector 201" descr="Decorative line"/>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203" name="Next Button" descr="Next step button, hyperlinked to next sheet">
            <a:hlinkClick xmlns:r="http://schemas.openxmlformats.org/officeDocument/2006/relationships" r:id="rId4"/>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204" name="Step" descr="Split text into different columns, hyperlinked to web">
            <a:hlinkClick xmlns:r="http://schemas.openxmlformats.org/officeDocument/2006/relationships" r:id="rId5"/>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Split text into different columns</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205" name="Graphic 22" descr="Arrow">
            <a:hlinkClick xmlns:r="http://schemas.openxmlformats.org/officeDocument/2006/relationships" r:id="rId5"/>
          </xdr:cNvPr>
          <xdr:cNvPicPr>
            <a:picLocks noChangeAspect="1"/>
          </xdr:cNvPicPr>
        </xdr:nvPicPr>
        <xdr:blipFill>
          <a:blip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xdr:nvSpPr>
          <xdr:cNvPr id="206" name="Step" descr="All about Get &amp; Transform, hyperlinked to web">
            <a:hlinkClick xmlns:r="http://schemas.openxmlformats.org/officeDocument/2006/relationships" r:id="rId8"/>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All about Get &amp; Transform </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207" name="Graphic 22" descr="Arrow">
            <a:hlinkClick xmlns:r="http://schemas.openxmlformats.org/officeDocument/2006/relationships" r:id="rId8"/>
          </xdr:cNvPr>
          <xdr:cNvPicPr>
            <a:picLocks noChangeAspect="1"/>
          </xdr:cNvPicPr>
        </xdr:nvPicPr>
        <xdr:blipFill>
          <a:blip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xdr:nvSpPr>
          <xdr:cNvPr id="208" name="Step" descr="All about the LEFT function, hyperlinked to web">
            <a:hlinkClick xmlns:r="http://schemas.openxmlformats.org/officeDocument/2006/relationships" r:id="rId9"/>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All about the LEFT function</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209" name="Graphic 22" descr="Arrow">
            <a:hlinkClick xmlns:r="http://schemas.openxmlformats.org/officeDocument/2006/relationships" r:id="rId9"/>
          </xdr:cNvPr>
          <xdr:cNvPicPr>
            <a:picLocks noChangeAspect="1"/>
          </xdr:cNvPicPr>
        </xdr:nvPicPr>
        <xdr:blipFill>
          <a:blip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xdr:nvSpPr>
          <xdr:cNvPr id="211" name="Step" descr="All about the RIGHT function, hyperlinked to web">
            <a:hlinkClick xmlns:r="http://schemas.openxmlformats.org/officeDocument/2006/relationships" r:id="rId10"/>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All about the RIGHT function</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212" name="Graphic 22" descr="Arrow">
            <a:hlinkClick xmlns:r="http://schemas.openxmlformats.org/officeDocument/2006/relationships" r:id="rId10"/>
          </xdr:cNvPr>
          <xdr:cNvPicPr>
            <a:picLocks noChangeAspect="1"/>
          </xdr:cNvPicPr>
        </xdr:nvPicPr>
        <xdr:blipFill>
          <a:blip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xdr:nvSpPr>
          <xdr:cNvPr id="213" name="Step" descr="All about the FIND function, hyperlinked to web">
            <a:hlinkClick xmlns:r="http://schemas.openxmlformats.org/officeDocument/2006/relationships" r:id="rId11"/>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All about the FIND function</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214" name="Graphic 22" descr="Arrow">
            <a:hlinkClick xmlns:r="http://schemas.openxmlformats.org/officeDocument/2006/relationships" r:id="rId11"/>
          </xdr:cNvPr>
          <xdr:cNvPicPr>
            <a:picLocks noChangeAspect="1"/>
          </xdr:cNvPicPr>
        </xdr:nvPicPr>
        <xdr:blipFill>
          <a:blip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xdr:nvSpPr>
          <xdr:cNvPr id="215" name="Step" descr="All about the LEN function, hyperlinked to web">
            <a:hlinkClick xmlns:r="http://schemas.openxmlformats.org/officeDocument/2006/relationships" r:id="rId12"/>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All about the LEN function</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216" name="Graphic 22" descr="Arrow">
            <a:hlinkClick xmlns:r="http://schemas.openxmlformats.org/officeDocument/2006/relationships" r:id="rId12"/>
          </xdr:cNvPr>
          <xdr:cNvPicPr>
            <a:picLocks noChangeAspect="1"/>
          </xdr:cNvPicPr>
        </xdr:nvPicPr>
        <xdr:blipFill>
          <a:blip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xdr:cNvGrpSpPr/>
      </xdr:nvGrpSpPr>
      <xdr:grpSpPr>
        <a:xfrm>
          <a:off x="390525" y="5524500"/>
          <a:ext cx="5732780" cy="3939540"/>
          <a:chOff x="390525" y="5943600"/>
          <a:chExt cx="5695950" cy="3940174"/>
        </a:xfrm>
      </xdr:grpSpPr>
      <xdr:sp>
        <xdr:nvSpPr>
          <xdr:cNvPr id="181" name="Rectangle 180" descr="Background"/>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82" name="Step" descr="Split a column based on delimiters"/>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83" name="Straight Connector 182" descr="Decorative line"/>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84" name="Straight Connector 183" descr="Decorative line"/>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85" name="Step" descr="Flash Fill is pretty handy. But if you want to split data into more than one column all at once, then it's not the best tool for the job. Try Text to Columns in this situation:"/>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endParaRPr lang="en-US" sz="1100">
              <a:latin typeface="Segoe UI" panose="020B0502040204020203" pitchFamily="34" charset="0"/>
              <a:cs typeface="Segoe UI" panose="020B0502040204020203" pitchFamily="34" charset="0"/>
            </a:endParaRPr>
          </a:p>
        </xdr:txBody>
      </xdr:sp>
      <xdr:sp>
        <xdr:nvSpPr>
          <xdr:cNvPr id="186" name="Step" descr="Click and drag to select the cells from Nancy all the way down to Yvonne"/>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87" name="Oval 186" descr="1"/>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88" name="Step" descr="On the Data tab, click Text to Columns. Make sure that Delimited is selected, and then click Next"/>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89" name="Oval 188" descr="2"/>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91" name="Step" descr="Under Delimiters, make sure that Comma is the only checkbox selected, and then click Next"/>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92" name="Oval 191" descr="3"/>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93" name="Step" descr="Click the General option"/>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option.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94" name="Oval 193" descr="4"/>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195" name="Step" descr="Finally, click inside the Destination box and type $D$32. Then click Finish"/>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96" name="Oval 195" descr="5"/>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xdr:cNvGrpSpPr/>
      </xdr:nvGrpSpPr>
      <xdr:grpSpPr>
        <a:xfrm>
          <a:off x="8779510" y="8171815"/>
          <a:ext cx="3542665" cy="1705610"/>
          <a:chOff x="8477250" y="8591549"/>
          <a:chExt cx="3314700" cy="1504951"/>
        </a:xfrm>
      </xdr:grpSpPr>
      <xdr:pic>
        <xdr:nvPicPr>
          <xdr:cNvPr id="227" name="Graphic 9" descr="Hike"/>
          <xdr:cNvPicPr>
            <a:picLocks noChangeAspect="1"/>
          </xdr:cNvPicPr>
        </xdr:nvPicPr>
        <xdr:blipFill>
          <a:blip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anose="020B0502040204020203"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anose="020B0502040204020203" pitchFamily="34" charset="0"/>
                <a:cs typeface="Segoe UI Light" panose="020B0502040204020203" pitchFamily="34" charset="0"/>
              </a:rPr>
              <a:t>Data</a:t>
            </a:r>
            <a:r>
              <a:rPr lang="en-US" sz="1100" kern="0" baseline="0">
                <a:solidFill>
                  <a:schemeClr val="bg2">
                    <a:lumMod val="25000"/>
                  </a:schemeClr>
                </a:solidFill>
                <a:ea typeface="Segoe UI" panose="020B0502040204020203"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anose="020B0502040204020203" pitchFamily="34" charset="0"/>
                <a:cs typeface="Segoe UI Light" panose="020B0502040204020203" pitchFamily="34" charset="0"/>
              </a:rPr>
              <a:t>Get &amp; Transform </a:t>
            </a:r>
            <a:r>
              <a:rPr lang="en-US" sz="1100" kern="0" baseline="0">
                <a:solidFill>
                  <a:schemeClr val="bg2">
                    <a:lumMod val="25000"/>
                  </a:schemeClr>
                </a:solidFill>
                <a:ea typeface="Segoe UI" panose="020B0502040204020203"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xdr:cNvGrpSpPr/>
      </xdr:nvGrpSpPr>
      <xdr:grpSpPr>
        <a:xfrm>
          <a:off x="323850" y="257175"/>
          <a:ext cx="5732780" cy="4619625"/>
          <a:chOff x="323850" y="257175"/>
          <a:chExt cx="5695950" cy="4619625"/>
        </a:xfrm>
      </xdr:grpSpPr>
      <xdr:grpSp>
        <xdr:nvGrpSpPr>
          <xdr:cNvPr id="10" name="Group 9"/>
          <xdr:cNvGrpSpPr/>
        </xdr:nvGrpSpPr>
        <xdr:grpSpPr>
          <a:xfrm>
            <a:off x="323850" y="257175"/>
            <a:ext cx="5695950" cy="4619625"/>
            <a:chOff x="323850" y="257175"/>
            <a:chExt cx="5695950" cy="4619625"/>
          </a:xfrm>
        </xdr:grpSpPr>
        <xdr:sp>
          <xdr:nvSpPr>
            <xdr:cNvPr id="73" name="Rectangle 72" descr="Background"/>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74" name="Step" descr="Data stuffed into one column? Split it"/>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75" name="Straight Connector 74" descr="Decorative line"/>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76" name="Next Button" descr="Dive down for more detail">
              <a:hlinkClick xmlns:r="http://schemas.openxmlformats.org/officeDocument/2006/relationships" r:id="rId15"/>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Dive down for more detail</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77" name="Straight Connector 76" descr="Decorative line"/>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78" name="Next Button" descr="Next step button, hyperlinked to next sheet">
              <a:hlinkClick xmlns:r="http://schemas.openxmlformats.org/officeDocument/2006/relationships" r:id="rId4"/>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79" name="Step" descr="In the cells under First name, type the first names that are in the Email column: Nancy, Andy, and so on"/>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80" name="Oval 79" descr="1"/>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81" name="Step" descr="When you see the faded list of suggestions, press Enter right away"/>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right away.</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2" name="Oval 81" descr="2"/>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83" name="Step" descr="Try another way to Flash Fill: Click the cell with Smith"/>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84" name="Oval 83" descr="3"/>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86" name="Step" descr="This list of suggestions is called Flash Fill. Flash Fill detects when you type a consistent pattern, and provides suggestions to fill the cells with. When you see the faded list, that's your cue to press Ente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Flash Fill detects when you type a consistent pattern, and provides suggestions to fill the cells with. When you see the faded list, that's your cue to press Enter.</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7" name="Step" descr="Click Home &gt; Fill &gt; Flash Fill. Now the last names are in their own column"/>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Now the last names are in their own column.</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88" name="Oval 87" descr="4"/>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grpSp>
      <xdr:pic>
        <xdr:nvPicPr>
          <xdr:cNvPr id="12" name="Picture 11" descr="Flash Fill"/>
          <xdr:cNvPicPr>
            <a:picLocks noChangeAspect="1"/>
          </xdr:cNvPicPr>
        </xdr:nvPicPr>
        <xdr:blipFill>
          <a:blip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xdr:cNvGrpSpPr/>
      </xdr:nvGrpSpPr>
      <xdr:grpSpPr>
        <a:xfrm>
          <a:off x="323850" y="266700"/>
          <a:ext cx="5732780" cy="4619625"/>
          <a:chOff x="323850" y="266700"/>
          <a:chExt cx="5695950" cy="4619625"/>
        </a:xfrm>
      </xdr:grpSpPr>
      <xdr:sp>
        <xdr:nvSpPr>
          <xdr:cNvPr id="73" name="Rectangle 72" descr="Background"/>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74" name="Step" descr="Switch data around by transposing it"/>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75" name="Straight Connector 74" descr="Decorative line"/>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76" name="Next Button" descr="Dive down for more detail">
            <a:hlinkClick xmlns:r="http://schemas.openxmlformats.org/officeDocument/2006/relationships" r:id="rId1"/>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Dive down for more detail</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77" name="Straight Connector 76" descr="Decorative line"/>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78" name="Next Button" descr="Next step button, hyperlinked to next sheet">
            <a:hlinkClick xmlns:r="http://schemas.openxmlformats.org/officeDocument/2006/relationships" r:id="rId2"/>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79" name="Step" descr="When you need to rotate columns and rows, you transpose them in Excel"/>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them in Excel.</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80" name="Step" descr="Click and drag to select the two rows of cells from Item, to 20"/>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81" name="Oval 80" descr="1"/>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82" name="Step" descr="Now you'll copy the cells. Press Ctrl and C key"/>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Now you'll copy the cells. Press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83" name="Oval 82" descr="2"/>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95" name="Rectangle: Rounded Corners 94" descr="Ctrl key"/>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xdr:nvSpPr>
          <xdr:cNvPr id="96" name="Rectangle: Rounded Corners 95" descr="C key"/>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endParaRPr lang="en-US" sz="900">
              <a:solidFill>
                <a:schemeClr val="tx1"/>
              </a:solidFill>
              <a:latin typeface="Segoe UI" panose="020B0502040204020203" pitchFamily="34" charset="0"/>
              <a:cs typeface="Segoe UI" panose="020B0502040204020203" pitchFamily="34" charset="0"/>
            </a:endParaRPr>
          </a:p>
        </xdr:txBody>
      </xdr:sp>
      <xdr:sp>
        <xdr:nvSpPr>
          <xdr:cNvPr id="85" name="Step" descr="Click the yellow cell"/>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Click the yellow cell.</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86" name="Oval 85" descr="3"/>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87" name="Step" descr="On the Home tab, click the arrow under the Paste button"/>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button.</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88" name="Oval 87" descr="4"/>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90" name="Step" descr="Click Paste Special, and then at the bottom, click the checkbox for Transpose. Click OK"/>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91" name="Oval 90" descr="5"/>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xdr:cNvGrpSpPr/>
      </xdr:nvGrpSpPr>
      <xdr:grpSpPr>
        <a:xfrm>
          <a:off x="6683375" y="6105525"/>
          <a:ext cx="5211445" cy="949960"/>
          <a:chOff x="6381749" y="6524625"/>
          <a:chExt cx="4967338" cy="950296"/>
        </a:xfrm>
      </xdr:grpSpPr>
      <xdr:sp>
        <xdr:nvSpPr>
          <xdr:cNvPr id="97" name="Step" descr="...and 2 rows"/>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...and 2 rows.</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sp>
        <xdr:nvSpPr>
          <xdr:cNvPr id="98" name="Step" descr="This data has 6 columns..."/>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sp>
        <xdr:nvSpPr>
          <xdr:cNvPr id="100" name="Freeform: Shape 99" descr="Bracket line"/>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Lst>
            <a:ahLst/>
            <a:cxnLst>
              <a:cxn ang="0">
                <a:pos x="connsiteX0-1" y="connsiteY0-2"/>
              </a:cxn>
              <a:cxn ang="0">
                <a:pos x="connsiteX1-3" y="connsiteY1-4"/>
              </a:cxn>
              <a:cxn ang="0">
                <a:pos x="connsiteX2-5" y="connsiteY2-6"/>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01" name="Freeform: Shape 100" descr="Bracket line"/>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 name="connsiteX0-15" fmla="*/ 0 w 169722"/>
              <a:gd name="connsiteY0-16" fmla="*/ 334 h 219894"/>
              <a:gd name="connsiteX1-17" fmla="*/ 157369 w 169722"/>
              <a:gd name="connsiteY1-18" fmla="*/ 33464 h 219894"/>
              <a:gd name="connsiteX2-19" fmla="*/ 169722 w 169722"/>
              <a:gd name="connsiteY2-20" fmla="*/ 219894 h 219894"/>
            </a:gdLst>
            <a:ahLst/>
            <a:cxnLst>
              <a:cxn ang="0">
                <a:pos x="connsiteX0-1" y="connsiteY0-2"/>
              </a:cxn>
              <a:cxn ang="0">
                <a:pos x="connsiteX1-3" y="connsiteY1-4"/>
              </a:cxn>
              <a:cxn ang="0">
                <a:pos x="connsiteX2-5" y="connsiteY2-6"/>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02" name="Arc 101" descr="Bracket line"/>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03" name="Arc 102" descr="Bracket line"/>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10" name="Freeform: Shape 109" descr="Bracket line"/>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11" name="Freeform: Shape 110" descr="Bracket line"/>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xdr:cNvGrpSpPr/>
      </xdr:nvGrpSpPr>
      <xdr:grpSpPr>
        <a:xfrm>
          <a:off x="6322695" y="7362825"/>
          <a:ext cx="3268980" cy="1847850"/>
          <a:chOff x="6286499" y="7781925"/>
          <a:chExt cx="2881363" cy="1847850"/>
        </a:xfrm>
      </xdr:grpSpPr>
      <xdr:sp>
        <xdr:nvSpPr>
          <xdr:cNvPr id="121" name="Step" descr="So select these 2 columns..."/>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sp>
        <xdr:nvSpPr>
          <xdr:cNvPr id="123" name="Freeform: Shape 122" descr="Bracket line"/>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Lst>
            <a:ahLst/>
            <a:cxnLst>
              <a:cxn ang="0">
                <a:pos x="connsiteX0-1" y="connsiteY0-2"/>
              </a:cxn>
              <a:cxn ang="0">
                <a:pos x="connsiteX1-3" y="connsiteY1-4"/>
              </a:cxn>
              <a:cxn ang="0">
                <a:pos x="connsiteX2-5" y="connsiteY2-6"/>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24" name="Freeform: Shape 123" descr="Bracket line"/>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 name="connsiteX0-15" fmla="*/ 0 w 169722"/>
              <a:gd name="connsiteY0-16" fmla="*/ 334 h 219894"/>
              <a:gd name="connsiteX1-17" fmla="*/ 157369 w 169722"/>
              <a:gd name="connsiteY1-18" fmla="*/ 33464 h 219894"/>
              <a:gd name="connsiteX2-19" fmla="*/ 169722 w 169722"/>
              <a:gd name="connsiteY2-20" fmla="*/ 219894 h 219894"/>
            </a:gdLst>
            <a:ahLst/>
            <a:cxnLst>
              <a:cxn ang="0">
                <a:pos x="connsiteX0-1" y="connsiteY0-2"/>
              </a:cxn>
              <a:cxn ang="0">
                <a:pos x="connsiteX1-3" y="connsiteY1-4"/>
              </a:cxn>
              <a:cxn ang="0">
                <a:pos x="connsiteX2-5" y="connsiteY2-6"/>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25" name="Arc 124" descr="Bracket line"/>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26" name="Arc 125" descr="Bracket line"/>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27" name="Step" descr="...and these 6 rows before you type the formula"/>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sp>
        <xdr:nvSpPr>
          <xdr:cNvPr id="132" name="Freeform: Shape 131" descr="Bracket line"/>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Lst>
            <a:ahLst/>
            <a:cxnLst>
              <a:cxn ang="0">
                <a:pos x="connsiteX0-1" y="connsiteY0-2"/>
              </a:cxn>
              <a:cxn ang="0">
                <a:pos x="connsiteX1-3" y="connsiteY1-4"/>
              </a:cxn>
              <a:cxn ang="0">
                <a:pos x="connsiteX2-5" y="connsiteY2-6"/>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33" name="Freeform: Shape 132" descr="Bracket line"/>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 name="connsiteX0-15" fmla="*/ 0 w 169722"/>
              <a:gd name="connsiteY0-16" fmla="*/ 334 h 219894"/>
              <a:gd name="connsiteX1-17" fmla="*/ 157369 w 169722"/>
              <a:gd name="connsiteY1-18" fmla="*/ 33464 h 219894"/>
              <a:gd name="connsiteX2-19" fmla="*/ 169722 w 169722"/>
              <a:gd name="connsiteY2-20" fmla="*/ 219894 h 219894"/>
            </a:gdLst>
            <a:ahLst/>
            <a:cxnLst>
              <a:cxn ang="0">
                <a:pos x="connsiteX0-1" y="connsiteY0-2"/>
              </a:cxn>
              <a:cxn ang="0">
                <a:pos x="connsiteX1-3" y="connsiteY1-4"/>
              </a:cxn>
              <a:cxn ang="0">
                <a:pos x="connsiteX2-5" y="connsiteY2-6"/>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34" name="Arc 133" descr="Bracket line"/>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35" name="Arc 134" descr="Bracket line"/>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xdr:cNvGrpSpPr/>
      </xdr:nvGrpSpPr>
      <xdr:grpSpPr>
        <a:xfrm>
          <a:off x="390525" y="5524500"/>
          <a:ext cx="5732780" cy="4972050"/>
          <a:chOff x="390525" y="5943600"/>
          <a:chExt cx="5695950" cy="5029200"/>
        </a:xfrm>
      </xdr:grpSpPr>
      <xdr:sp>
        <xdr:nvSpPr>
          <xdr:cNvPr id="141" name="Rectangle 140" descr="Background"/>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42" name="Step" descr="Transpose with a formula"/>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43" name="Straight Connector 142" descr="Decorative line"/>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44" name="Straight Connector 143" descr="Decorative line"/>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45" name="Step" descr="Sometimes you don't want to copy and paste to transpose. In this case, you can use a formula to transpose rows and columns. Here's how to do that:"/>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46" name="Step" descr="To transpose this data, you need to select some blank cells first. Since the data on the right has 6 columns and 2 rows, you need to select the opposite: 2 columns and 6 rows. Do this by selecting the yellow cells"/>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endParaRPr lang="en-US" sz="1100">
              <a:latin typeface="Segoe UI" panose="020B0502040204020203" pitchFamily="34" charset="0"/>
              <a:cs typeface="Segoe UI" panose="020B0502040204020203" pitchFamily="34" charset="0"/>
            </a:endParaRPr>
          </a:p>
        </xdr:txBody>
      </xdr:sp>
      <xdr:sp>
        <xdr:nvSpPr>
          <xdr:cNvPr id="147" name="Oval 146" descr="1"/>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48" name="Step" descr="This is kind of tricky, so pay close attention. With those cells still selected, type the following: =TRANSPOSE(C33:H34)  ….but don’t press Ente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endParaRPr lang="en-US" sz="1100">
              <a:latin typeface="Segoe UI" panose="020B0502040204020203" pitchFamily="34" charset="0"/>
              <a:cs typeface="Segoe UI" panose="020B0502040204020203" pitchFamily="34" charset="0"/>
            </a:endParaRPr>
          </a:p>
        </xdr:txBody>
      </xdr:sp>
      <xdr:sp>
        <xdr:nvSpPr>
          <xdr:cNvPr id="149" name="Oval 148" descr="2"/>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50" name="Step" descr="Click another yellow cell. Look at the formula bar again. The formula is the same. Why? Because this is an array formula"/>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endParaRPr lang="en-US" sz="1100">
              <a:latin typeface="Segoe UI" panose="020B0502040204020203" pitchFamily="34" charset="0"/>
              <a:cs typeface="Segoe UI" panose="020B0502040204020203" pitchFamily="34" charset="0"/>
            </a:endParaRPr>
          </a:p>
        </xdr:txBody>
      </xdr:sp>
      <xdr:sp>
        <xdr:nvSpPr>
          <xdr:cNvPr id="151" name="Oval 150" descr="5"/>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sp>
        <xdr:nvSpPr>
          <xdr:cNvPr id="152" name="Step" descr="Press Ctrl+Shift+Enter key&#10;&#10;If you get #VALUE! as a result, try again starting at step 1"/>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endParaRPr lang="en-US" sz="1100">
              <a:latin typeface="Segoe UI" panose="020B0502040204020203" pitchFamily="34" charset="0"/>
              <a:cs typeface="Segoe UI" panose="020B0502040204020203" pitchFamily="34" charset="0"/>
            </a:endParaRP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endParaRPr lang="en-US" sz="1100">
              <a:latin typeface="Segoe UI" panose="020B0502040204020203" pitchFamily="34" charset="0"/>
              <a:cs typeface="Segoe UI" panose="020B0502040204020203" pitchFamily="34" charset="0"/>
            </a:endParaRPr>
          </a:p>
        </xdr:txBody>
      </xdr:sp>
      <xdr:sp>
        <xdr:nvSpPr>
          <xdr:cNvPr id="153" name="Oval 152" descr="3"/>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54" name="Step" descr="Click any of the yellow cells to select just one. Look at the formula at the top of Excel. You’ll see that the formula looks like this:&#10;{=TRANSPOSE(C33:H34)}"/>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endParaRPr lang="en-US" sz="1100">
              <a:latin typeface="Segoe UI" panose="020B0502040204020203" pitchFamily="34" charset="0"/>
              <a:cs typeface="Segoe UI" panose="020B0502040204020203" pitchFamily="34" charset="0"/>
            </a:endParaRP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xdr:nvSpPr>
          <xdr:cNvPr id="155" name="Oval 154" descr="4"/>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138" name="Rectangle: Rounded Corners 137" descr="Ctrl key"/>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900" spc="100" baseline="0">
              <a:solidFill>
                <a:schemeClr val="tx1"/>
              </a:solidFill>
              <a:latin typeface="Segoe UI" panose="020B0502040204020203" pitchFamily="34" charset="0"/>
              <a:cs typeface="Segoe UI" panose="020B0502040204020203" pitchFamily="34" charset="0"/>
            </a:endParaRPr>
          </a:p>
        </xdr:txBody>
      </xdr:sp>
      <xdr:sp>
        <xdr:nvSpPr>
          <xdr:cNvPr id="139" name="Rectangle: Rounded Corners 138" descr="Shift key"/>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endParaRPr lang="en-US" sz="900">
              <a:solidFill>
                <a:schemeClr val="tx1"/>
              </a:solidFill>
              <a:latin typeface="Segoe UI" panose="020B0502040204020203" pitchFamily="34" charset="0"/>
              <a:cs typeface="Segoe UI" panose="020B0502040204020203" pitchFamily="34" charset="0"/>
            </a:endParaRPr>
          </a:p>
        </xdr:txBody>
      </xdr:sp>
      <xdr:sp>
        <xdr:nvSpPr>
          <xdr:cNvPr id="140" name="Rectangle: Rounded Corners 139" descr="Enter key"/>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endParaRPr lang="en-US" sz="900">
              <a:solidFill>
                <a:schemeClr val="tx1"/>
              </a:solidFill>
              <a:latin typeface="Segoe UI" panose="020B0502040204020203" pitchFamily="34" charset="0"/>
              <a:cs typeface="Segoe UI" panose="020B0502040204020203" pitchFamily="34" charset="0"/>
            </a:endParaRP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xdr:cNvGrpSpPr/>
      </xdr:nvGrpSpPr>
      <xdr:grpSpPr>
        <a:xfrm>
          <a:off x="390525" y="10676890"/>
          <a:ext cx="5732780" cy="3248025"/>
          <a:chOff x="0" y="-9524"/>
          <a:chExt cx="5695950" cy="3105150"/>
        </a:xfrm>
      </xdr:grpSpPr>
      <xdr:sp>
        <xdr:nvSpPr>
          <xdr:cNvPr id="161" name="Rectangle 160" descr="Background"/>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62" name="Step" descr="What's an array formula?"/>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63" name="Straight Connector 162" descr="Decorative line"/>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64" name="Straight Connector 163" descr="Decorative line"/>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xdr:cNvGrpSpPr/>
      </xdr:nvGrpSpPr>
      <xdr:grpSpPr>
        <a:xfrm>
          <a:off x="6705600" y="9924415"/>
          <a:ext cx="4276090" cy="3114675"/>
          <a:chOff x="6403974" y="10344150"/>
          <a:chExt cx="3883026" cy="2819400"/>
        </a:xfrm>
      </xdr:grpSpPr>
      <xdr:sp>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There are three things to keep in mind when using an array formula: </a:t>
            </a:r>
            <a:endParaRPr lang="en-US" sz="1100" kern="0">
              <a:solidFill>
                <a:schemeClr val="bg2">
                  <a:lumMod val="25000"/>
                </a:schemeClr>
              </a:solidFill>
              <a:ea typeface="Segoe UI" panose="020B0502040204020203" pitchFamily="34" charset="0"/>
              <a:cs typeface="Segoe UI Light" panose="020B0502040204020203" pitchFamily="34" charset="0"/>
            </a:endParaRPr>
          </a:p>
          <a:p>
            <a:pPr lvl="0">
              <a:defRPr/>
            </a:pPr>
            <a:endParaRPr lang="en-US" sz="1100" kern="0">
              <a:solidFill>
                <a:schemeClr val="bg2">
                  <a:lumMod val="25000"/>
                </a:schemeClr>
              </a:solidFill>
              <a:ea typeface="Segoe UI" panose="020B0502040204020203" pitchFamily="34" charset="0"/>
              <a:cs typeface="Segoe UI Light" panose="020B0502040204020203" pitchFamily="34" charset="0"/>
            </a:endParaRPr>
          </a:p>
          <a:p>
            <a:pPr lvl="0">
              <a:defRPr/>
            </a:pPr>
            <a:r>
              <a:rPr lang="en-US" sz="1100" b="1" kern="0">
                <a:solidFill>
                  <a:schemeClr val="bg2">
                    <a:lumMod val="25000"/>
                  </a:schemeClr>
                </a:solidFill>
                <a:ea typeface="Segoe UI" panose="020B0502040204020203" pitchFamily="34" charset="0"/>
                <a:cs typeface="Segoe UI Light" panose="020B0502040204020203" pitchFamily="34" charset="0"/>
              </a:rPr>
              <a:t>1) </a:t>
            </a:r>
            <a:r>
              <a:rPr lang="en-US" sz="1100" kern="0">
                <a:solidFill>
                  <a:schemeClr val="bg2">
                    <a:lumMod val="25000"/>
                  </a:schemeClr>
                </a:solidFill>
                <a:ea typeface="Segoe UI" panose="020B0502040204020203" pitchFamily="34" charset="0"/>
                <a:cs typeface="Segoe UI Light" panose="020B0502040204020203" pitchFamily="34" charset="0"/>
              </a:rPr>
              <a:t>Always select multiple cells first, and then with those cells selected, start typing the array formula. That's the key: Select multiple cells first, then start typing.</a:t>
            </a:r>
            <a:endParaRPr lang="en-US" sz="1100" kern="0">
              <a:solidFill>
                <a:schemeClr val="bg2">
                  <a:lumMod val="25000"/>
                </a:schemeClr>
              </a:solidFill>
              <a:ea typeface="Segoe UI" panose="020B0502040204020203" pitchFamily="34" charset="0"/>
              <a:cs typeface="Segoe UI Light" panose="020B0502040204020203" pitchFamily="34" charset="0"/>
            </a:endParaRPr>
          </a:p>
          <a:p>
            <a:pPr lvl="0">
              <a:defRPr/>
            </a:pPr>
            <a:endParaRPr lang="en-US" sz="1100" kern="0">
              <a:solidFill>
                <a:schemeClr val="bg2">
                  <a:lumMod val="25000"/>
                </a:schemeClr>
              </a:solidFill>
              <a:ea typeface="Segoe UI" panose="020B0502040204020203" pitchFamily="34" charset="0"/>
              <a:cs typeface="Segoe UI Light" panose="020B0502040204020203" pitchFamily="34" charset="0"/>
            </a:endParaRPr>
          </a:p>
          <a:p>
            <a:pPr lvl="0">
              <a:defRPr/>
            </a:pPr>
            <a:r>
              <a:rPr lang="en-US" sz="1100" b="1" kern="0">
                <a:solidFill>
                  <a:schemeClr val="bg2">
                    <a:lumMod val="25000"/>
                  </a:schemeClr>
                </a:solidFill>
                <a:ea typeface="Segoe UI" panose="020B0502040204020203" pitchFamily="34" charset="0"/>
                <a:cs typeface="Segoe UI Light" panose="020B0502040204020203" pitchFamily="34" charset="0"/>
              </a:rPr>
              <a:t>2) </a:t>
            </a:r>
            <a:r>
              <a:rPr lang="en-US" sz="1100" kern="0">
                <a:solidFill>
                  <a:schemeClr val="bg2">
                    <a:lumMod val="25000"/>
                  </a:schemeClr>
                </a:solidFill>
                <a:ea typeface="Segoe UI" panose="020B0502040204020203"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anose="020B0502040204020203" pitchFamily="34" charset="0"/>
                <a:cs typeface="Segoe UI Light" panose="020B0502040204020203" pitchFamily="34" charset="0"/>
              </a:rPr>
            </a:br>
            <a:r>
              <a:rPr lang="en-US" sz="1100" kern="0">
                <a:solidFill>
                  <a:schemeClr val="bg2">
                    <a:lumMod val="25000"/>
                  </a:schemeClr>
                </a:solidFill>
                <a:ea typeface="Segoe UI" panose="020B0502040204020203" pitchFamily="34" charset="0"/>
                <a:cs typeface="Segoe UI Light" panose="020B0502040204020203" pitchFamily="34" charset="0"/>
              </a:rPr>
              <a:t>CTRL+SHIFT +ENTER.</a:t>
            </a:r>
            <a:endParaRPr lang="en-US" sz="1100" kern="0">
              <a:solidFill>
                <a:schemeClr val="bg2">
                  <a:lumMod val="25000"/>
                </a:schemeClr>
              </a:solidFill>
              <a:ea typeface="Segoe UI" panose="020B0502040204020203" pitchFamily="34" charset="0"/>
              <a:cs typeface="Segoe UI Light" panose="020B0502040204020203" pitchFamily="34" charset="0"/>
            </a:endParaRPr>
          </a:p>
          <a:p>
            <a:pPr lvl="0">
              <a:defRPr/>
            </a:pPr>
            <a:endParaRPr lang="en-US" sz="1100" kern="0">
              <a:solidFill>
                <a:schemeClr val="bg2">
                  <a:lumMod val="25000"/>
                </a:schemeClr>
              </a:solidFill>
              <a:ea typeface="Segoe UI" panose="020B0502040204020203" pitchFamily="34" charset="0"/>
              <a:cs typeface="Segoe UI Light" panose="020B0502040204020203" pitchFamily="34" charset="0"/>
            </a:endParaRPr>
          </a:p>
          <a:p>
            <a:pPr lvl="0">
              <a:defRPr/>
            </a:pPr>
            <a:r>
              <a:rPr lang="en-US" sz="1100" b="1" kern="0">
                <a:solidFill>
                  <a:schemeClr val="bg2">
                    <a:lumMod val="25000"/>
                  </a:schemeClr>
                </a:solidFill>
                <a:ea typeface="Segoe UI" panose="020B0502040204020203" pitchFamily="34" charset="0"/>
                <a:cs typeface="Segoe UI Light" panose="020B0502040204020203" pitchFamily="34" charset="0"/>
              </a:rPr>
              <a:t>3) </a:t>
            </a:r>
            <a:r>
              <a:rPr lang="en-US" sz="1100" kern="0">
                <a:solidFill>
                  <a:schemeClr val="bg2">
                    <a:lumMod val="25000"/>
                  </a:schemeClr>
                </a:solidFill>
                <a:ea typeface="Segoe UI" panose="020B0502040204020203"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endParaRPr lang="en-US" sz="1100" kern="0">
              <a:solidFill>
                <a:schemeClr val="bg2">
                  <a:lumMod val="25000"/>
                </a:schemeClr>
              </a:solidFill>
              <a:ea typeface="Segoe UI" panose="020B0502040204020203" pitchFamily="34" charset="0"/>
              <a:cs typeface="Segoe UI Light" panose="020B0502040204020203" pitchFamily="34" charset="0"/>
            </a:endParaRPr>
          </a:p>
        </xdr:txBody>
      </xdr:sp>
      <xdr:pic>
        <xdr:nvPicPr>
          <xdr:cNvPr id="177" name="Graphic 131" descr="Head with Gears"/>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xdr:cNvGrpSpPr/>
      </xdr:nvGrpSpPr>
      <xdr:grpSpPr>
        <a:xfrm>
          <a:off x="6750685" y="13173075"/>
          <a:ext cx="3916045" cy="948055"/>
          <a:chOff x="6448425" y="13201650"/>
          <a:chExt cx="3733799" cy="948102"/>
        </a:xfrm>
      </xdr:grpSpPr>
      <xdr:pic>
        <xdr:nvPicPr>
          <xdr:cNvPr id="188" name="Graphic 3" descr="Person"/>
          <xdr:cNvPicPr>
            <a:picLocks noChangeAspect="1"/>
          </xdr:cNvPicPr>
        </xdr:nvPicPr>
        <xdr:blipFill>
          <a:blip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xdr:nvSpPr>
          <xdr:cNvPr id="189" name="Speech Bubble: Oval 188" descr="Quote"/>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xdr:nvSpPr>
          <xdr:cNvPr id="187" name="Step" descr="EXCEL SPEAK&#10;Because array formulas require CTRL+SHIFT+ENTER, some people informally call array formulas, &quot;CSE formulas"/>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Because array formulas require CTRL+SHIFT+ENTER, some people informally call array formulas, "CSE formulas." </a:t>
            </a:r>
            <a:endParaRPr lang="en-US" sz="1100" kern="0">
              <a:solidFill>
                <a:schemeClr val="bg2">
                  <a:lumMod val="25000"/>
                </a:schemeClr>
              </a:solidFill>
              <a:ea typeface="Segoe UI" panose="020B0502040204020203" pitchFamily="34" charset="0"/>
              <a:cs typeface="Segoe UI Light" panose="020B0502040204020203" pitchFamily="34" charset="0"/>
            </a:endParaRP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xdr:cNvGrpSpPr/>
      </xdr:nvGrpSpPr>
      <xdr:grpSpPr>
        <a:xfrm>
          <a:off x="390525" y="14077950"/>
          <a:ext cx="5732780" cy="3238500"/>
          <a:chOff x="390525" y="14468475"/>
          <a:chExt cx="5695950" cy="3267075"/>
        </a:xfrm>
      </xdr:grpSpPr>
      <xdr:sp>
        <xdr:nvSpPr>
          <xdr:cNvPr id="191" name="Rectangle 190" descr="Background"/>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92" name="Step" descr="More information on the web"/>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93" name="Straight Connector 192" descr="Decorative line"/>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94" name="Next Button" descr="Back to top, hyperlinked to cell A1">
            <a:hlinkClick xmlns:r="http://schemas.openxmlformats.org/officeDocument/2006/relationships" r:id="rId7"/>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Back to top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195" name="Straight Connector 194" descr="Decorative line"/>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96" name="Next Button" descr="Next step button, hyperlinked to next sheet">
            <a:hlinkClick xmlns:r="http://schemas.openxmlformats.org/officeDocument/2006/relationships" r:id="rId2"/>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97" name="Step" descr="Transpose (rotate) data from rows to columns or vice versa, hyperlinked to web">
            <a:hlinkClick xmlns:r="http://schemas.openxmlformats.org/officeDocument/2006/relationships" r:id="rId8"/>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Transpose (rotate) data from rows to columns or vice versa</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98" name="Graphic 22" descr="Arrow">
            <a:hlinkClick xmlns:r="http://schemas.openxmlformats.org/officeDocument/2006/relationships" r:id="rId8"/>
          </xdr:cNvPr>
          <xdr:cNvPicPr>
            <a:picLocks noChangeAspect="1"/>
          </xdr:cNvPicPr>
        </xdr:nvPicPr>
        <xdr:blipFill>
          <a:blip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xdr:nvSpPr>
          <xdr:cNvPr id="199" name="Step" descr="All about the TRANPOSE function, hyperlinked to web">
            <a:hlinkClick xmlns:r="http://schemas.openxmlformats.org/officeDocument/2006/relationships" r:id="rId11"/>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All about the TRANSPOSE function</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200" name="Graphic 22" descr="Arrow">
            <a:hlinkClick xmlns:r="http://schemas.openxmlformats.org/officeDocument/2006/relationships" r:id="rId11"/>
          </xdr:cNvPr>
          <xdr:cNvPicPr>
            <a:picLocks noChangeAspect="1"/>
          </xdr:cNvPicPr>
        </xdr:nvPicPr>
        <xdr:blipFill>
          <a:blip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xdr:nvSpPr>
          <xdr:cNvPr id="201" name="Step" descr="Create an array formula, hyperlinked to web">
            <a:hlinkClick xmlns:r="http://schemas.openxmlformats.org/officeDocument/2006/relationships" r:id="rId12"/>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Create an array formula</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202" name="Graphic 22" descr="Arrow">
            <a:hlinkClick xmlns:r="http://schemas.openxmlformats.org/officeDocument/2006/relationships" r:id="rId12"/>
          </xdr:cNvPr>
          <xdr:cNvPicPr>
            <a:picLocks noChangeAspect="1"/>
          </xdr:cNvPicPr>
        </xdr:nvPicPr>
        <xdr:blipFill>
          <a:blip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xdr:cNvGrpSpPr/>
      </xdr:nvGrpSpPr>
      <xdr:grpSpPr>
        <a:xfrm>
          <a:off x="4780280" y="2276475"/>
          <a:ext cx="544830" cy="666115"/>
          <a:chOff x="4838700" y="2324100"/>
          <a:chExt cx="544973" cy="666667"/>
        </a:xfrm>
      </xdr:grpSpPr>
      <xdr:pic>
        <xdr:nvPicPr>
          <xdr:cNvPr id="2" name="Picture 1" descr="Paste button"/>
          <xdr:cNvPicPr>
            <a:picLocks noChangeAspect="1"/>
          </xdr:cNvPicPr>
        </xdr:nvPicPr>
        <xdr:blipFill>
          <a:blip r:embed="rId13"/>
          <a:stretch>
            <a:fillRect/>
          </a:stretch>
        </xdr:blipFill>
        <xdr:spPr>
          <a:xfrm>
            <a:off x="4838700" y="2324100"/>
            <a:ext cx="409524" cy="666667"/>
          </a:xfrm>
          <a:prstGeom prst="rect">
            <a:avLst/>
          </a:prstGeom>
          <a:ln>
            <a:solidFill>
              <a:schemeClr val="bg1">
                <a:lumMod val="75000"/>
              </a:schemeClr>
            </a:solidFill>
          </a:ln>
        </xdr:spPr>
      </xdr:pic>
      <xdr:sp>
        <xdr:nvSpPr>
          <xdr:cNvPr id="104" name="Arc 103" descr="Arrow"/>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xdr:cNvGrpSpPr/>
      </xdr:nvGrpSpPr>
      <xdr:grpSpPr>
        <a:xfrm>
          <a:off x="8842375" y="2047875"/>
          <a:ext cx="1672590" cy="948055"/>
          <a:chOff x="8448675" y="2143125"/>
          <a:chExt cx="1581150" cy="948102"/>
        </a:xfrm>
      </xdr:grpSpPr>
      <xdr:pic>
        <xdr:nvPicPr>
          <xdr:cNvPr id="107" name="Graphic 2" descr="Owl"/>
          <xdr:cNvPicPr>
            <a:picLocks noChangeAspect="1"/>
          </xdr:cNvPicPr>
        </xdr:nvPicPr>
        <xdr:blipFill>
          <a:blip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xdr:nvSpPr>
          <xdr:cNvPr id="108" name="Step" descr="EXPERT TIP&#10;The shortcut key for Paste Special is CTRL+ALT+V"/>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anose="020B0502040204020203" pitchFamily="34" charset="0"/>
                <a:cs typeface="Segoe UI Light" panose="020B0502040204020203" pitchFamily="34" charset="0"/>
              </a:rPr>
              <a:t> </a:t>
            </a:r>
            <a:endParaRPr lang="en-US" sz="1100">
              <a:solidFill>
                <a:schemeClr val="bg2">
                  <a:lumMod val="25000"/>
                </a:schemeClr>
              </a:solidFill>
              <a:ea typeface="Segoe UI" panose="020B0502040204020203"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xdr:cNvGrpSpPr/>
      </xdr:nvGrpSpPr>
      <xdr:grpSpPr>
        <a:xfrm>
          <a:off x="6674485" y="3238500"/>
          <a:ext cx="3984625" cy="1562100"/>
          <a:chOff x="7248525" y="3467099"/>
          <a:chExt cx="3800475" cy="1362075"/>
        </a:xfrm>
      </xdr:grpSpPr>
      <xdr:sp>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When you're done with step 5,</a:t>
            </a:r>
            <a:r>
              <a:rPr lang="en-US" sz="1100" kern="0" baseline="0">
                <a:solidFill>
                  <a:schemeClr val="bg2">
                    <a:lumMod val="25000"/>
                  </a:schemeClr>
                </a:solidFill>
                <a:ea typeface="Segoe UI" panose="020B0502040204020203"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anose="020B0502040204020203" pitchFamily="34" charset="0"/>
                <a:cs typeface="Segoe UI Light" panose="020B0502040204020203" pitchFamily="34" charset="0"/>
              </a:rPr>
              <a:t>Department</a:t>
            </a:r>
            <a:r>
              <a:rPr lang="en-US" sz="1100" kern="0" baseline="0">
                <a:solidFill>
                  <a:schemeClr val="bg2">
                    <a:lumMod val="25000"/>
                  </a:schemeClr>
                </a:solidFill>
                <a:ea typeface="Segoe UI" panose="020B0502040204020203"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anose="020B0502040204020203" pitchFamily="34" charset="0"/>
                <a:cs typeface="Segoe UI Light" panose="020B0502040204020203" pitchFamily="34" charset="0"/>
              </a:rPr>
              <a:t>Home </a:t>
            </a:r>
            <a:r>
              <a:rPr lang="en-US" sz="1100" kern="0" baseline="0">
                <a:solidFill>
                  <a:schemeClr val="bg2">
                    <a:lumMod val="25000"/>
                  </a:schemeClr>
                </a:solidFill>
                <a:ea typeface="Segoe UI" panose="020B0502040204020203" pitchFamily="34" charset="0"/>
                <a:cs typeface="Segoe UI Light" panose="020B0502040204020203" pitchFamily="34" charset="0"/>
              </a:rPr>
              <a:t>&gt; </a:t>
            </a:r>
            <a:r>
              <a:rPr lang="en-US" sz="1100" b="1" kern="0" baseline="0">
                <a:solidFill>
                  <a:schemeClr val="bg2">
                    <a:lumMod val="25000"/>
                  </a:schemeClr>
                </a:solidFill>
                <a:ea typeface="Segoe UI" panose="020B0502040204020203" pitchFamily="34" charset="0"/>
                <a:cs typeface="Segoe UI Light" panose="020B0502040204020203" pitchFamily="34" charset="0"/>
              </a:rPr>
              <a:t>Sort &amp; Filter </a:t>
            </a:r>
            <a:r>
              <a:rPr lang="en-US" sz="1100" kern="0" baseline="0">
                <a:solidFill>
                  <a:schemeClr val="bg2">
                    <a:lumMod val="25000"/>
                  </a:schemeClr>
                </a:solidFill>
                <a:ea typeface="Segoe UI" panose="020B0502040204020203" pitchFamily="34" charset="0"/>
                <a:cs typeface="Segoe UI Light" panose="020B0502040204020203" pitchFamily="34" charset="0"/>
              </a:rPr>
              <a:t>&gt; </a:t>
            </a:r>
            <a:r>
              <a:rPr lang="en-US" sz="1100" b="1" kern="0" baseline="0">
                <a:solidFill>
                  <a:schemeClr val="bg2">
                    <a:lumMod val="25000"/>
                  </a:schemeClr>
                </a:solidFill>
                <a:ea typeface="Segoe UI" panose="020B0502040204020203" pitchFamily="34" charset="0"/>
                <a:cs typeface="Segoe UI Light" panose="020B0502040204020203" pitchFamily="34" charset="0"/>
              </a:rPr>
              <a:t>Custom Sort</a:t>
            </a:r>
            <a:r>
              <a:rPr lang="en-US" sz="1100" kern="0" baseline="0">
                <a:solidFill>
                  <a:schemeClr val="bg2">
                    <a:lumMod val="25000"/>
                  </a:schemeClr>
                </a:solidFill>
                <a:ea typeface="Segoe UI" panose="020B0502040204020203" pitchFamily="34" charset="0"/>
                <a:cs typeface="Segoe UI Light" panose="020B0502040204020203" pitchFamily="34" charset="0"/>
              </a:rPr>
              <a:t>. Add a second level for </a:t>
            </a:r>
            <a:r>
              <a:rPr lang="en-US" sz="1100" b="1" kern="0" baseline="0">
                <a:solidFill>
                  <a:schemeClr val="bg2">
                    <a:lumMod val="25000"/>
                  </a:schemeClr>
                </a:solidFill>
                <a:ea typeface="Segoe UI" panose="020B0502040204020203" pitchFamily="34" charset="0"/>
                <a:cs typeface="Segoe UI Light" panose="020B0502040204020203" pitchFamily="34" charset="0"/>
              </a:rPr>
              <a:t>Category</a:t>
            </a:r>
            <a:r>
              <a:rPr lang="en-US" sz="1100" kern="0" baseline="0">
                <a:solidFill>
                  <a:schemeClr val="bg2">
                    <a:lumMod val="25000"/>
                  </a:schemeClr>
                </a:solidFill>
                <a:ea typeface="Segoe UI" panose="020B0502040204020203" pitchFamily="34" charset="0"/>
                <a:cs typeface="Segoe UI Light" panose="020B0502040204020203" pitchFamily="34" charset="0"/>
              </a:rPr>
              <a:t>. After you click OK, </a:t>
            </a:r>
            <a:r>
              <a:rPr lang="en-US" sz="1100" b="1" kern="0" baseline="0">
                <a:solidFill>
                  <a:schemeClr val="bg2">
                    <a:lumMod val="25000"/>
                  </a:schemeClr>
                </a:solidFill>
                <a:ea typeface="Segoe UI" panose="020B0502040204020203" pitchFamily="34" charset="0"/>
                <a:cs typeface="Segoe UI Light" panose="020B0502040204020203" pitchFamily="34" charset="0"/>
              </a:rPr>
              <a:t>Department</a:t>
            </a:r>
            <a:r>
              <a:rPr lang="en-US" sz="1100" kern="0" baseline="0">
                <a:solidFill>
                  <a:schemeClr val="bg2">
                    <a:lumMod val="25000"/>
                  </a:schemeClr>
                </a:solidFill>
                <a:ea typeface="Segoe UI" panose="020B0502040204020203"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anose="020B0502040204020203" pitchFamily="34" charset="0"/>
                <a:cs typeface="Segoe UI Light" panose="020B0502040204020203" pitchFamily="34" charset="0"/>
              </a:rPr>
              <a:t>Category</a:t>
            </a:r>
            <a:r>
              <a:rPr lang="en-US" sz="1100" kern="0" baseline="0">
                <a:solidFill>
                  <a:schemeClr val="bg2">
                    <a:lumMod val="25000"/>
                  </a:schemeClr>
                </a:solidFill>
                <a:ea typeface="Segoe UI" panose="020B0502040204020203"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pic>
        <xdr:nvPicPr>
          <xdr:cNvPr id="41" name="Graphic 263" descr="Ribbon"/>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xdr:cNvGrpSpPr/>
      </xdr:nvGrpSpPr>
      <xdr:grpSpPr>
        <a:xfrm>
          <a:off x="333375" y="266700"/>
          <a:ext cx="5732780" cy="4619625"/>
          <a:chOff x="333375" y="266700"/>
          <a:chExt cx="5695950" cy="4619625"/>
        </a:xfrm>
      </xdr:grpSpPr>
      <xdr:sp>
        <xdr:nvSpPr>
          <xdr:cNvPr id="78" name="Rectangle 77" descr="Background"/>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79" name="Step" descr="Sort and filter with ease"/>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anose="020B0502040204020203"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80" name="Straight Connector 79" descr="Decorative line"/>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81" name="Next Button" descr="Dive down for more detail">
            <a:hlinkClick xmlns:r="http://schemas.openxmlformats.org/officeDocument/2006/relationships" r:id="rId3"/>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Dive down for more detail</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82" name="Straight Connector 81" descr="Decorative line"/>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83" name="Next Button" descr="Next step button, hyperlinked to next sheet">
            <a:hlinkClick xmlns:r="http://schemas.openxmlformats.org/officeDocument/2006/relationships" r:id="rId4"/>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4" name="Step" descr="Let's say you want the departments in alphabetical order. Click in the Department column, and then click Home &gt; Sort &amp; Filter &gt; Sort A to Z"/>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5" name="Oval 84" descr="1"/>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86" name="Step" descr="Sort December's amounts from largest to smallest. Click any cell in the Dec column, and then click Home &gt; Sort &amp; Filter &gt; Sort Largest to Smallest"/>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7" name="Oval 86" descr="2"/>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88" name="Step" descr="Now you'll filter the data so that only the Bakery rows appear. Press CTRL+A to select all of the cells, and then click Home &gt; Sort &amp; Filter &gt; Filter&#10;"/>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9" name="Oval 88" descr="3"/>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90" name="Step" descr="Filter buttons appear on the top row. On the Department cell, click the filter button and then click to clear the Select All checkbox. Then, click to select Bakery"/>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91" name="Oval 90" descr="4"/>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92" name="Step" descr="Click OK and only the Bakery rows appear. Now clear the filter by clicking the filter button for Department and then click Clear filte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93" name="Oval 92" descr="5"/>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pic>
        <xdr:nvPicPr>
          <xdr:cNvPr id="94" name="Picture 93" descr="Filter button"/>
          <xdr:cNvPicPr>
            <a:picLocks noChangeAspect="1"/>
          </xdr:cNvPicPr>
        </xdr:nvPicPr>
        <xdr:blipFill>
          <a:blip r:embed="rId5"/>
          <a:srcRect l="16000" t="17242" r="15000" b="24137"/>
          <a:stretch>
            <a:fillRect/>
          </a:stretch>
        </xdr:blipFill>
        <xdr:spPr>
          <a:xfrm>
            <a:off x="1537177" y="2814385"/>
            <a:ext cx="140102" cy="138072"/>
          </a:xfrm>
          <a:prstGeom prst="rect">
            <a:avLst/>
          </a:prstGeom>
        </xdr:spPr>
      </xdr:pic>
      <xdr:pic>
        <xdr:nvPicPr>
          <xdr:cNvPr id="95" name="Picture 94" descr="Filter button"/>
          <xdr:cNvPicPr>
            <a:picLocks noChangeAspect="1"/>
          </xdr:cNvPicPr>
        </xdr:nvPicPr>
        <xdr:blipFill>
          <a:blip r:embed="rId5"/>
          <a:srcRect l="16000" t="17242" r="15000" b="24137"/>
          <a:stretch>
            <a:fillRect/>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xdr:cNvGrpSpPr/>
      </xdr:nvGrpSpPr>
      <xdr:grpSpPr>
        <a:xfrm>
          <a:off x="390525" y="5514975"/>
          <a:ext cx="5732780" cy="2837815"/>
          <a:chOff x="0" y="-9524"/>
          <a:chExt cx="5695950" cy="2838449"/>
        </a:xfrm>
      </xdr:grpSpPr>
      <xdr:sp>
        <xdr:nvSpPr>
          <xdr:cNvPr id="107" name="Rectangle 106" descr="Background"/>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08" name="Step" descr="Sort by date, or by color even"/>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09" name="Straight Connector 108" descr="Decorative line"/>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10" name="Straight Connector 109" descr="Decorative line"/>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11" name="Step" descr="There are many ways to sort in Excel. Here are just two more ways to sort, but this time you'll use the right-click menu:"/>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There are many ways to sort in Excel. Here are just two more ways to sort, but this time you'll use the right-click menu:</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2" name="Step" descr="You want the dates in order. So, right-click a date and then click &#10;Sort &gt; Sort Oldest to Newest. The rows get sorted in ascending date order by the Expense date"/>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endParaRPr lang="en-US" sz="1050">
              <a:latin typeface="Segoe UI" panose="020B0502040204020203" pitchFamily="34" charset="0"/>
              <a:cs typeface="Segoe UI" panose="020B0502040204020203" pitchFamily="34" charset="0"/>
            </a:endParaRPr>
          </a:p>
        </xdr:txBody>
      </xdr:sp>
      <xdr:sp>
        <xdr:nvSpPr>
          <xdr:cNvPr id="113" name="Oval 112" descr="1"/>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14" name="Step" descr="Someone filled three cells with yellow. You can sort the rows by that color. Right-click a yellow cell, and then click Sort &gt; Put Selected Cell Color on Top"/>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endParaRPr lang="en-US" sz="1050">
              <a:latin typeface="Segoe UI" panose="020B0502040204020203" pitchFamily="34" charset="0"/>
              <a:cs typeface="Segoe UI" panose="020B0502040204020203" pitchFamily="34" charset="0"/>
            </a:endParaRPr>
          </a:p>
        </xdr:txBody>
      </xdr:sp>
      <xdr:sp>
        <xdr:nvSpPr>
          <xdr:cNvPr id="115" name="Oval 114" descr="2"/>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xdr:cNvGrpSpPr/>
      </xdr:nvGrpSpPr>
      <xdr:grpSpPr>
        <a:xfrm>
          <a:off x="10107930" y="6209665"/>
          <a:ext cx="2240280" cy="1619885"/>
          <a:chOff x="10582275" y="6629399"/>
          <a:chExt cx="2143124" cy="1619251"/>
        </a:xfrm>
      </xdr:grpSpPr>
      <xdr:pic>
        <xdr:nvPicPr>
          <xdr:cNvPr id="117" name="Graphic 122" descr="Magnifying glass"/>
          <xdr:cNvPicPr>
            <a:picLocks noChangeAspect="1"/>
          </xdr:cNvPicPr>
        </xdr:nvPicPr>
        <xdr:blipFill>
          <a:blip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xdr:nvSpPr>
          <xdr:cNvPr id="118" name="Step" descr="IMPORTANT DETAIL&#10;You can't clear a sort order like you can a filter. So if you don't want your sort to stick, undo it by pressing CTRL+Z"/>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anose="020B0502040204020203" pitchFamily="34" charset="0"/>
                <a:cs typeface="Segoe UI Light" panose="020B0502040204020203" pitchFamily="34" charset="0"/>
              </a:rPr>
              <a:t> pressing CTRL+Z.</a:t>
            </a:r>
            <a:endParaRPr lang="en-US" sz="1100">
              <a:solidFill>
                <a:schemeClr val="bg2">
                  <a:lumMod val="25000"/>
                </a:schemeClr>
              </a:solidFill>
              <a:ea typeface="Segoe UI" panose="020B0502040204020203"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62</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xdr:cNvGrpSpPr/>
      </xdr:nvGrpSpPr>
      <xdr:grpSpPr>
        <a:xfrm>
          <a:off x="390525" y="8553450"/>
          <a:ext cx="5732780" cy="3095625"/>
          <a:chOff x="390525" y="8972550"/>
          <a:chExt cx="5695950" cy="3171824"/>
        </a:xfrm>
      </xdr:grpSpPr>
      <xdr:sp>
        <xdr:nvSpPr>
          <xdr:cNvPr id="133" name="Rectangle 132" descr="Background"/>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34" name="Step" descr="More ways to filter data"/>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35" name="Straight Connector 134" descr="Decorative line"/>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36" name="Straight Connector 135" descr="Decorative line"/>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37" name="Step" descr="Many people type formulas to find amounts that are above average, or greater than a certain amount. But there's no need to type formulas when special filters are available"/>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38" name="Step" descr="On the Hotel cell, click the filter button and then click &#10;Number Filters &gt; Above Average. Excel calculates the average amount of the Hotel column, and then shows only rows with amounts greater than that average"/>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endParaRPr lang="en-US" sz="1050">
              <a:latin typeface="Segoe UI" panose="020B0502040204020203" pitchFamily="34" charset="0"/>
              <a:cs typeface="Segoe UI" panose="020B0502040204020203" pitchFamily="34" charset="0"/>
            </a:endParaRPr>
          </a:p>
        </xdr:txBody>
      </xdr:sp>
      <xdr:sp>
        <xdr:nvSpPr>
          <xdr:cNvPr id="139" name="Oval 138" descr="1"/>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endParaRPr lang="en-US" sz="1050">
              <a:latin typeface="Segoe UI" panose="020B0502040204020203" pitchFamily="34" charset="0"/>
              <a:cs typeface="Segoe UI" panose="020B0502040204020203" pitchFamily="34" charset="0"/>
            </a:endParaRPr>
          </a:p>
        </xdr:txBody>
      </xdr:sp>
      <xdr:sp>
        <xdr:nvSpPr>
          <xdr:cNvPr id="141" name="Oval 140" descr="2"/>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pic>
        <xdr:nvPicPr>
          <xdr:cNvPr id="131" name="Picture 130" descr="Filter button"/>
          <xdr:cNvPicPr>
            <a:picLocks noChangeAspect="1"/>
          </xdr:cNvPicPr>
        </xdr:nvPicPr>
        <xdr:blipFill>
          <a:blip r:embed="rId5"/>
          <a:srcRect l="16000" t="17242" r="15000" b="24137"/>
          <a:stretch>
            <a:fillRect/>
          </a:stretch>
        </xdr:blipFill>
        <xdr:spPr>
          <a:xfrm>
            <a:off x="3491076" y="10239196"/>
            <a:ext cx="140102" cy="138072"/>
          </a:xfrm>
          <a:prstGeom prst="rect">
            <a:avLst/>
          </a:prstGeom>
        </xdr:spPr>
      </xdr:pic>
      <xdr:pic>
        <xdr:nvPicPr>
          <xdr:cNvPr id="132" name="Picture 131" descr="Filter button"/>
          <xdr:cNvPicPr>
            <a:picLocks noChangeAspect="1"/>
          </xdr:cNvPicPr>
        </xdr:nvPicPr>
        <xdr:blipFill>
          <a:blip r:embed="rId5"/>
          <a:srcRect l="16000" t="17242" r="15000" b="24137"/>
          <a:stretch>
            <a:fillRect/>
          </a:stretch>
        </xdr:blipFill>
        <xdr:spPr>
          <a:xfrm>
            <a:off x="4905553" y="11059349"/>
            <a:ext cx="140102" cy="138072"/>
          </a:xfrm>
          <a:prstGeom prst="rect">
            <a:avLst/>
          </a:prstGeom>
        </xdr:spPr>
      </xdr:pic>
    </xdr:grpSp>
    <xdr:clientData/>
  </xdr:twoCellAnchor>
  <xdr:twoCellAnchor editAs="absolute">
    <xdr:from>
      <xdr:col>0</xdr:col>
      <xdr:colOff>389826</xdr:colOff>
      <xdr:row>62</xdr:row>
      <xdr:rowOff>161925</xdr:rowOff>
    </xdr:from>
    <xdr:to>
      <xdr:col>1</xdr:col>
      <xdr:colOff>5238051</xdr:colOff>
      <xdr:row>78</xdr:row>
      <xdr:rowOff>71399</xdr:rowOff>
    </xdr:to>
    <xdr:grpSp>
      <xdr:nvGrpSpPr>
        <xdr:cNvPr id="2" name="More On Web" descr="More information on the web, contains links to the web&#10;Back to top&#10;Next step"/>
        <xdr:cNvGrpSpPr/>
      </xdr:nvGrpSpPr>
      <xdr:grpSpPr>
        <a:xfrm>
          <a:off x="389255" y="11782425"/>
          <a:ext cx="5732780" cy="2957195"/>
          <a:chOff x="389826" y="12352299"/>
          <a:chExt cx="5695950" cy="2806700"/>
        </a:xfrm>
      </xdr:grpSpPr>
      <xdr:sp>
        <xdr:nvSpPr>
          <xdr:cNvPr id="143" name="Rectangle 142" descr="Background"/>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44" name="Step" descr="More information on the web"/>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45" name="Straight Connector 144" descr="Decorative line"/>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46" name="Next Button" descr="Back to top, hyperlinked to cell A1">
            <a:hlinkClick xmlns:r="http://schemas.openxmlformats.org/officeDocument/2006/relationships" r:id="rId8"/>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Back to top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147" name="Straight Connector 146" descr="Decorative line"/>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48" name="Next Button" descr="Next step button, hyperlinked to next sheet">
            <a:hlinkClick xmlns:r="http://schemas.openxmlformats.org/officeDocument/2006/relationships" r:id="rId4"/>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49" name="Step" descr="Sort data in a range or table, hyperlinked to web">
            <a:hlinkClick xmlns:r="http://schemas.openxmlformats.org/officeDocument/2006/relationships" r:id="rId9"/>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Sort data in a range or table</a:t>
            </a:r>
            <a:endParaRPr lang="en-US" sz="105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50" name="Graphic 22" descr="Arrow">
            <a:hlinkClick xmlns:r="http://schemas.openxmlformats.org/officeDocument/2006/relationships" r:id="rId9"/>
          </xdr:cNvPr>
          <xdr:cNvPicPr>
            <a:picLocks noChangeAspect="1"/>
          </xdr:cNvPicPr>
        </xdr:nvPicPr>
        <xdr:blipFill>
          <a:blip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xdr:nvSpPr>
          <xdr:cNvPr id="151" name="Step" descr="Filter data in a range or table, hyperlinked to web">
            <a:hlinkClick xmlns:r="http://schemas.openxmlformats.org/officeDocument/2006/relationships" r:id="rId12"/>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Filter data in a range or table</a:t>
            </a:r>
            <a:endParaRPr lang="en-US" sz="105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52" name="Graphic 22" descr="Arrow">
            <a:hlinkClick xmlns:r="http://schemas.openxmlformats.org/officeDocument/2006/relationships" r:id="rId12"/>
          </xdr:cNvPr>
          <xdr:cNvPicPr>
            <a:picLocks noChangeAspect="1"/>
          </xdr:cNvPicPr>
        </xdr:nvPicPr>
        <xdr:blipFill>
          <a:blip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xdr:cNvGrpSpPr/>
      </xdr:nvGrpSpPr>
      <xdr:grpSpPr>
        <a:xfrm>
          <a:off x="333375" y="266700"/>
          <a:ext cx="5732780" cy="4619625"/>
          <a:chOff x="333375" y="266700"/>
          <a:chExt cx="5695950" cy="4619625"/>
        </a:xfrm>
      </xdr:grpSpPr>
      <xdr:sp>
        <xdr:nvSpPr>
          <xdr:cNvPr id="95" name="Rectangle 94" descr="Background"/>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96" name="Step" descr="Tables make things a lot easie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anose="020B0502040204020203"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97" name="Straight Connector 96" descr="Decorative line"/>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98" name="Next Button" descr="Dive down for more detail">
            <a:hlinkClick xmlns:r="http://schemas.openxmlformats.org/officeDocument/2006/relationships" r:id="rId1"/>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Dive down for more detail</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99" name="Straight Connector 98" descr="Decorative line"/>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00" name="Next Button" descr="Next step button, hyperlinked to next sheet">
            <a:hlinkClick xmlns:r="http://schemas.openxmlformats.org/officeDocument/2006/relationships" r:id="rId2"/>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1" name="Step" descr="A table gives you special features and conveniences. Here’s how to create one:"/>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A table gives you special features and conveniences. Here’s how to create one: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102" name="Step" descr="Click inside the data to the right, and then click Insert &gt; Table &gt; OK"/>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103" name="Oval 102" descr="1"/>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04" name="Step" descr="Now you have a table, which is a collection of cells that has special features. For starters: A table gives you banded rows for easier reading"/>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Now you have a table, which is a collection of cells that has special features. For starters: A table gives you banded rows for easier reading.</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5" name="Oval 104" descr="2"/>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06" name="Step" descr="You can also create new rows easily. In the empty cell under Meat, type some text and then press Enter. A new row for the table appears"/>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 new row for the table appears.</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7" name="Oval 106" descr="3"/>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08" name="Step" descr="You can also create columns easily: In the lower-right corner of the table, click the resize handle    and drag it to the right 2 columns"/>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 the resize handle    and drag it to the right 2 columns.</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109" name="Oval 108" descr="4"/>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110" name="Step" descr="Notice how the two columns are created, formatted, and the text Jan and Feb are filled for you"/>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Notice how the two columns are created, formatted, and the text Jan and Feb are filled for you.</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1" name="Oval 110" descr="5"/>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pic>
        <xdr:nvPicPr>
          <xdr:cNvPr id="113" name="Picture 112" descr="Resize handle"/>
          <xdr:cNvPicPr>
            <a:picLocks noChangeAspect="1"/>
          </xdr:cNvPicPr>
        </xdr:nvPicPr>
        <xdr:blipFill>
          <a:blip r:embed="rId3"/>
          <a:srcRect l="-9548" t="47707" r="-5"/>
          <a:stretch>
            <a:fillRect/>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xdr:cNvGrpSpPr/>
      </xdr:nvGrpSpPr>
      <xdr:grpSpPr>
        <a:xfrm>
          <a:off x="390525" y="5524500"/>
          <a:ext cx="5732780" cy="3631565"/>
          <a:chOff x="390525" y="5943600"/>
          <a:chExt cx="5695950" cy="3632199"/>
        </a:xfrm>
      </xdr:grpSpPr>
      <xdr:sp>
        <xdr:nvSpPr>
          <xdr:cNvPr id="119" name="Rectangle 118" descr="Background"/>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20" name="Step" descr="Calculated columns in tables"/>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21" name="Straight Connector 120" descr="Decorative line"/>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22" name="Straight Connector 121" descr="Decorative line"/>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23" name="Step" descr="One example of a convenience that tables give you: calculated columns. You type a formula once, and it gets automatically filled down for you. Here’s how it works:"/>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You type a formula once, and it gets automatically filled down for you. Here’s how it works:</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24" name="Step" descr="Select the cell under Total"/>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endParaRPr lang="en-US" sz="1100">
              <a:latin typeface="Segoe UI" panose="020B0502040204020203" pitchFamily="34" charset="0"/>
              <a:cs typeface="Segoe UI" panose="020B0502040204020203" pitchFamily="34" charset="0"/>
            </a:endParaRPr>
          </a:p>
        </xdr:txBody>
      </xdr:sp>
      <xdr:sp>
        <xdr:nvSpPr>
          <xdr:cNvPr id="125" name="Oval 124" descr="1"/>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26" name="Step" descr="Press Enter key"/>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endParaRPr lang="en-US" sz="1100">
              <a:latin typeface="Segoe UI" panose="020B0502040204020203" pitchFamily="34" charset="0"/>
              <a:cs typeface="Segoe UI" panose="020B0502040204020203" pitchFamily="34" charset="0"/>
            </a:endParaRPr>
          </a:p>
          <a:p>
            <a:endParaRPr lang="en-US" sz="1100">
              <a:latin typeface="Segoe UI" panose="020B0502040204020203" pitchFamily="34" charset="0"/>
              <a:cs typeface="Segoe UI" panose="020B0502040204020203" pitchFamily="34" charset="0"/>
            </a:endParaRPr>
          </a:p>
        </xdr:txBody>
      </xdr:sp>
      <xdr:sp>
        <xdr:nvSpPr>
          <xdr:cNvPr id="127" name="Oval 126" descr="3"/>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28" name="Step" descr="The SUM formula gets filled down for you so that you don’t have to do it yourself"/>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endParaRPr lang="en-US" sz="1100">
              <a:latin typeface="Segoe UI" panose="020B0502040204020203" pitchFamily="34" charset="0"/>
              <a:cs typeface="Segoe UI" panose="020B0502040204020203" pitchFamily="34" charset="0"/>
            </a:endParaRPr>
          </a:p>
        </xdr:txBody>
      </xdr:sp>
      <xdr:sp>
        <xdr:nvSpPr>
          <xdr:cNvPr id="129" name="Oval 128" descr="4"/>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130" name="Step" descr="Press Alt and Equals key"/>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endParaRPr lang="en-US" sz="1100">
              <a:latin typeface="Segoe UI" panose="020B0502040204020203" pitchFamily="34" charset="0"/>
              <a:cs typeface="Segoe UI" panose="020B0502040204020203" pitchFamily="34" charset="0"/>
            </a:endParaRPr>
          </a:p>
          <a:p>
            <a:endParaRPr lang="en-US" sz="1100">
              <a:latin typeface="Segoe UI" panose="020B0502040204020203" pitchFamily="34" charset="0"/>
              <a:cs typeface="Segoe UI" panose="020B0502040204020203" pitchFamily="34" charset="0"/>
            </a:endParaRPr>
          </a:p>
        </xdr:txBody>
      </xdr:sp>
      <xdr:sp>
        <xdr:nvSpPr>
          <xdr:cNvPr id="131" name="Oval 130" descr="2"/>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16" name="Rectangle: Rounded Corners 115" descr="Enter key"/>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endParaRPr lang="en-US" sz="900">
              <a:solidFill>
                <a:schemeClr val="tx1"/>
              </a:solidFill>
              <a:latin typeface="Segoe UI" panose="020B0502040204020203" pitchFamily="34" charset="0"/>
              <a:cs typeface="Segoe UI" panose="020B0502040204020203" pitchFamily="34" charset="0"/>
            </a:endParaRPr>
          </a:p>
        </xdr:txBody>
      </xdr:sp>
      <xdr:sp>
        <xdr:nvSpPr>
          <xdr:cNvPr id="117" name="Rectangle: Rounded Corners 116" descr="Alt key"/>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xdr:nvSpPr>
          <xdr:cNvPr id="118" name="Rectangle: Rounded Corners 117" descr="Equals key"/>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endParaRPr lang="en-US" sz="900">
              <a:solidFill>
                <a:schemeClr val="tx1"/>
              </a:solidFill>
              <a:latin typeface="Segoe UI" panose="020B0502040204020203" pitchFamily="34" charset="0"/>
              <a:cs typeface="Segoe UI" panose="020B0502040204020203" pitchFamily="34" charset="0"/>
            </a:endParaRP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xdr:cNvGrpSpPr/>
      </xdr:nvGrpSpPr>
      <xdr:grpSpPr>
        <a:xfrm>
          <a:off x="9236710" y="11515725"/>
          <a:ext cx="2261235" cy="1276350"/>
          <a:chOff x="8753475" y="11934825"/>
          <a:chExt cx="2162175" cy="1276350"/>
        </a:xfrm>
      </xdr:grpSpPr>
      <xdr:sp>
        <xdr:nvSpPr>
          <xdr:cNvPr id="132" name="Step" descr="GOOD TO KNOW&#10;There's a shortcut for showing and hiding the total row. Click inside the table, and then press CTRL+SHIFT+T"/>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anose="020B0502040204020203" pitchFamily="34" charset="0"/>
                <a:cs typeface="Segoe UI Light" panose="020B0502040204020203" pitchFamily="34" charset="0"/>
              </a:rPr>
              <a:t> CTRL+SHIFT+T.</a:t>
            </a:r>
            <a:endParaRPr lang="en-US" sz="1100">
              <a:solidFill>
                <a:schemeClr val="bg2">
                  <a:lumMod val="25000"/>
                </a:schemeClr>
              </a:solidFill>
              <a:ea typeface="Segoe UI" panose="020B0502040204020203" pitchFamily="34" charset="0"/>
              <a:cs typeface="Segoe UI Light" panose="020B0502040204020203" pitchFamily="34" charset="0"/>
            </a:endParaRPr>
          </a:p>
        </xdr:txBody>
      </xdr:sp>
      <xdr:pic>
        <xdr:nvPicPr>
          <xdr:cNvPr id="133" name="Graphic 147" descr="Glasses"/>
          <xdr:cNvPicPr>
            <a:picLocks noChangeAspect="1"/>
          </xdr:cNvPicPr>
        </xdr:nvPicPr>
        <xdr:blipFill>
          <a:blip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xdr:cNvGrpSpPr/>
      </xdr:nvGrpSpPr>
      <xdr:grpSpPr>
        <a:xfrm>
          <a:off x="7997190" y="3542665"/>
          <a:ext cx="2686050" cy="1228725"/>
          <a:chOff x="7648575" y="3790949"/>
          <a:chExt cx="2486024" cy="1362075"/>
        </a:xfrm>
      </xdr:grpSpPr>
      <xdr:sp>
        <xdr:nvSpPr>
          <xdr:cNvPr id="136" name="Step" descr="EXTRA CREDIT&#10;Try changing the table style. First click inside the table, and the Table Tools Design tab will appear at the top of Excel. Click that tab, and then pick a style you like"/>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anose="020B0502040204020203" pitchFamily="34" charset="0"/>
                <a:cs typeface="Segoe UI Light" panose="020B0502040204020203" pitchFamily="34" charset="0"/>
              </a:rPr>
              <a:t> and the </a:t>
            </a:r>
            <a:r>
              <a:rPr lang="en-US" sz="1100" b="1" kern="0" baseline="0">
                <a:solidFill>
                  <a:schemeClr val="bg2">
                    <a:lumMod val="25000"/>
                  </a:schemeClr>
                </a:solidFill>
                <a:ea typeface="Segoe UI" panose="020B0502040204020203" pitchFamily="34" charset="0"/>
                <a:cs typeface="Segoe UI Light" panose="020B0502040204020203" pitchFamily="34" charset="0"/>
              </a:rPr>
              <a:t>Table Tools Design </a:t>
            </a:r>
            <a:r>
              <a:rPr lang="en-US" sz="1100" kern="0" baseline="0">
                <a:solidFill>
                  <a:schemeClr val="bg2">
                    <a:lumMod val="25000"/>
                  </a:schemeClr>
                </a:solidFill>
                <a:ea typeface="Segoe UI" panose="020B0502040204020203"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pic>
        <xdr:nvPicPr>
          <xdr:cNvPr id="137" name="Graphic 263" descr="Ribbon"/>
          <xdr:cNvPicPr>
            <a:picLocks noChangeAspect="1"/>
          </xdr:cNvPicPr>
        </xdr:nvPicPr>
        <xdr:blipFill>
          <a:blip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xdr:cNvGrpSpPr/>
      </xdr:nvGrpSpPr>
      <xdr:grpSpPr>
        <a:xfrm>
          <a:off x="7103110" y="8486775"/>
          <a:ext cx="4213860" cy="948055"/>
          <a:chOff x="6800850" y="8905875"/>
          <a:chExt cx="4000500" cy="948102"/>
        </a:xfrm>
      </xdr:grpSpPr>
      <xdr:pic>
        <xdr:nvPicPr>
          <xdr:cNvPr id="138" name="Graphic 96" descr="Flask"/>
          <xdr:cNvPicPr>
            <a:picLocks noChangeAspect="1"/>
          </xdr:cNvPicPr>
        </xdr:nvPicPr>
        <xdr:blipFill>
          <a:blip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xdr:nvSpPr>
          <xdr:cNvPr id="139" name="Step" descr="EXPERIMENT&#10;After putting in the calculated column, try typing over one of the cells in the column. What happens? If you see a green triangle, click it and then click the exclamation mark. You'll see that Excel's watchin' out for ya..."/>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After</a:t>
            </a:r>
            <a:r>
              <a:rPr lang="en-US" sz="1100" kern="0" baseline="0">
                <a:solidFill>
                  <a:schemeClr val="bg2">
                    <a:lumMod val="25000"/>
                  </a:schemeClr>
                </a:solidFill>
                <a:ea typeface="Segoe UI" panose="020B0502040204020203"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anose="020B0502040204020203"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xdr:cNvGrpSpPr/>
      </xdr:nvGrpSpPr>
      <xdr:grpSpPr>
        <a:xfrm>
          <a:off x="390525" y="9305925"/>
          <a:ext cx="5732780" cy="4619625"/>
          <a:chOff x="390525" y="9801226"/>
          <a:chExt cx="5695950" cy="4591050"/>
        </a:xfrm>
      </xdr:grpSpPr>
      <xdr:sp>
        <xdr:nvSpPr>
          <xdr:cNvPr id="141" name="Rectangle 140" descr="Background"/>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42" name="Step" descr="Total rows in tables"/>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43" name="Straight Connector 142" descr="Decorative line"/>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44" name="Step" descr="Another convenience in tables are total rows. Instead of typing a SUM formula, Excel can make that total for you with a flip of a switch. And the same goes for the AVERAGE formula, and many others. Here’s how it works:"/>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Instead of typing a SUM formula, Excel can make that total for you with a flip of a switch. And the same goes for the AVERAGE formula, and many others. Here’s how it works:</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45" name="Step" descr="Select any cell within the table on the right"/>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endParaRPr lang="en-US" sz="1050">
              <a:latin typeface="Segoe UI" panose="020B0502040204020203" pitchFamily="34" charset="0"/>
              <a:cs typeface="Segoe UI" panose="020B0502040204020203" pitchFamily="34" charset="0"/>
            </a:endParaRPr>
          </a:p>
        </xdr:txBody>
      </xdr:sp>
      <xdr:sp>
        <xdr:nvSpPr>
          <xdr:cNvPr id="146" name="Oval 145" descr="1"/>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47" name="Step" descr="On that tab, click Total Row"/>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endParaRPr lang="en-US" sz="1100">
              <a:latin typeface="Segoe UI" panose="020B0502040204020203" pitchFamily="34" charset="0"/>
              <a:cs typeface="Segoe UI" panose="020B0502040204020203" pitchFamily="34" charset="0"/>
            </a:endParaRPr>
          </a:p>
          <a:p>
            <a:endParaRPr lang="en-US" sz="1100">
              <a:latin typeface="Segoe UI" panose="020B0502040204020203" pitchFamily="34" charset="0"/>
              <a:cs typeface="Segoe UI" panose="020B0502040204020203" pitchFamily="34" charset="0"/>
            </a:endParaRPr>
          </a:p>
        </xdr:txBody>
      </xdr:sp>
      <xdr:sp>
        <xdr:nvSpPr>
          <xdr:cNvPr id="148" name="Oval 147" descr="3"/>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49" name="Step" descr="The total of $24,000 is added to the bottom of the table"/>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endParaRPr lang="en-US" sz="1050">
              <a:latin typeface="Segoe UI" panose="020B0502040204020203" pitchFamily="34" charset="0"/>
              <a:cs typeface="Segoe UI" panose="020B0502040204020203" pitchFamily="34" charset="0"/>
            </a:endParaRPr>
          </a:p>
        </xdr:txBody>
      </xdr:sp>
      <xdr:sp>
        <xdr:nvSpPr>
          <xdr:cNvPr id="150" name="Oval 149" descr="4"/>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151" name="Step" descr="At the top of the Excel window, the Table Tools Design tab will appea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endParaRPr lang="en-US" sz="1050">
              <a:latin typeface="Segoe UI" panose="020B0502040204020203" pitchFamily="34" charset="0"/>
              <a:cs typeface="Segoe UI" panose="020B0502040204020203" pitchFamily="34" charset="0"/>
            </a:endParaRPr>
          </a:p>
          <a:p>
            <a:endParaRPr lang="en-US" sz="1050">
              <a:latin typeface="Segoe UI" panose="020B0502040204020203" pitchFamily="34" charset="0"/>
              <a:cs typeface="Segoe UI" panose="020B0502040204020203" pitchFamily="34" charset="0"/>
            </a:endParaRPr>
          </a:p>
        </xdr:txBody>
      </xdr:sp>
      <xdr:sp>
        <xdr:nvSpPr>
          <xdr:cNvPr id="152" name="Oval 151" descr="2"/>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53" name="Step" descr="But what if you wanted to know the average? Click the cell with $24,000"/>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endParaRPr lang="en-US" sz="1050">
              <a:latin typeface="Segoe UI" panose="020B0502040204020203" pitchFamily="34" charset="0"/>
              <a:cs typeface="Segoe UI" panose="020B0502040204020203" pitchFamily="34" charset="0"/>
            </a:endParaRPr>
          </a:p>
        </xdr:txBody>
      </xdr:sp>
      <xdr:sp>
        <xdr:nvSpPr>
          <xdr:cNvPr id="154" name="Oval 153" descr="5"/>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sp>
        <xdr:nvSpPr>
          <xdr:cNvPr id="155" name="Step" descr="Click the down arrow and then click Average. The average amount of $3,000 appears"/>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endParaRPr lang="en-US" sz="1050">
              <a:latin typeface="Segoe UI" panose="020B0502040204020203" pitchFamily="34" charset="0"/>
              <a:cs typeface="Segoe UI" panose="020B0502040204020203" pitchFamily="34" charset="0"/>
            </a:endParaRPr>
          </a:p>
        </xdr:txBody>
      </xdr:sp>
      <xdr:sp>
        <xdr:nvSpPr>
          <xdr:cNvPr id="156" name="Oval 155" descr="6"/>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endParaRPr lang="en-US" sz="1600">
              <a:latin typeface="Segoe UI Semibold" panose="020B0702040204020203" pitchFamily="34" charset="0"/>
              <a:cs typeface="Segoe UI Semibold" panose="020B0702040204020203" pitchFamily="34" charset="0"/>
            </a:endParaRPr>
          </a:p>
        </xdr:txBody>
      </xdr:sp>
      <xdr:cxnSp>
        <xdr:nvCxnSpPr>
          <xdr:cNvPr id="157" name="Straight Connector 156" descr="Decorative line"/>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xdr:cNvPicPr>
            <a:picLocks noChangeAspect="1"/>
          </xdr:cNvPicPr>
        </xdr:nvPicPr>
        <xdr:blipFill>
          <a:blip r:embed="rId10"/>
          <a:srcRect l="50577" t="24115" r="25368" b="21977"/>
          <a:stretch>
            <a:fillRect/>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xdr:cNvGrpSpPr/>
      </xdr:nvGrpSpPr>
      <xdr:grpSpPr>
        <a:xfrm>
          <a:off x="385445" y="14087475"/>
          <a:ext cx="5732780" cy="3346450"/>
          <a:chOff x="385765" y="14586347"/>
          <a:chExt cx="5695950" cy="3267075"/>
        </a:xfrm>
      </xdr:grpSpPr>
      <xdr:sp>
        <xdr:nvSpPr>
          <xdr:cNvPr id="160" name="Rectangle 159" descr="Background"/>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61" name="Step" descr="More information on the web"/>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62" name="Straight Connector 161" descr="Decorative line"/>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63" name="Next Button" descr="Back to top, hyperlinked to cell A1">
            <a:hlinkClick xmlns:r="http://schemas.openxmlformats.org/officeDocument/2006/relationships" r:id="rId11"/>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Back to top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164" name="Straight Connector 163" descr="Decorative line"/>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65" name="Next Button" descr="Next step button, hyperlinked to next sheet">
            <a:hlinkClick xmlns:r="http://schemas.openxmlformats.org/officeDocument/2006/relationships" r:id="rId2"/>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66" name="Step" descr="Overview of Excel tables, hyperlinked to web">
            <a:hlinkClick xmlns:r="http://schemas.openxmlformats.org/officeDocument/2006/relationships" r:id="rId12"/>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Overview of Excel tables</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67" name="Graphic 22" descr="Arrow">
            <a:hlinkClick xmlns:r="http://schemas.openxmlformats.org/officeDocument/2006/relationships" r:id="rId12"/>
          </xdr:cNvPr>
          <xdr:cNvPicPr>
            <a:picLocks noChangeAspect="1"/>
          </xdr:cNvPicPr>
        </xdr:nvPicPr>
        <xdr:blipFill>
          <a:blip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xdr:nvSpPr>
          <xdr:cNvPr id="168" name="Step" descr="Total the data in an Excel table, hyperlinked to web">
            <a:hlinkClick xmlns:r="http://schemas.openxmlformats.org/officeDocument/2006/relationships" r:id="rId15"/>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Total the data in an Excel table</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69" name="Graphic 22" descr="Arrow">
            <a:hlinkClick xmlns:r="http://schemas.openxmlformats.org/officeDocument/2006/relationships" r:id="rId15"/>
          </xdr:cNvPr>
          <xdr:cNvPicPr>
            <a:picLocks noChangeAspect="1"/>
          </xdr:cNvPicPr>
        </xdr:nvPicPr>
        <xdr:blipFill>
          <a:blip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xdr:nvSpPr>
          <xdr:cNvPr id="170" name="Step" descr="Use calculated columns in an Excel table, hyperlinked to web">
            <a:hlinkClick xmlns:r="http://schemas.openxmlformats.org/officeDocument/2006/relationships" r:id="rId16"/>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Use calculated columns in an Excel table</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71" name="Graphic 22" descr="Arrow">
            <a:hlinkClick xmlns:r="http://schemas.openxmlformats.org/officeDocument/2006/relationships" r:id="rId16"/>
          </xdr:cNvPr>
          <xdr:cNvPicPr>
            <a:picLocks noChangeAspect="1"/>
          </xdr:cNvPicPr>
        </xdr:nvPicPr>
        <xdr:blipFill>
          <a:blip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xdr:cNvGrpSpPr/>
      </xdr:nvGrpSpPr>
      <xdr:grpSpPr>
        <a:xfrm>
          <a:off x="333375" y="276225"/>
          <a:ext cx="5732780" cy="4562475"/>
          <a:chOff x="333375" y="276225"/>
          <a:chExt cx="5693569" cy="4636294"/>
        </a:xfrm>
      </xdr:grpSpPr>
      <xdr:sp>
        <xdr:nvSpPr>
          <xdr:cNvPr id="89" name="Rectangle 88" descr="Background"/>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90" name="Step" descr="Insert a drop-down list"/>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91" name="Straight Connector 90" descr="Decorative line"/>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92" name="Next Button" descr="Dive down for more detail">
            <a:hlinkClick xmlns:r="http://schemas.openxmlformats.org/officeDocument/2006/relationships" r:id="rId1"/>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Dive down for more detail</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93" name="Straight Connector 92" descr="Decorative line"/>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94" name="Next Button" descr="Next step button, hyperlinked to next sheet">
            <a:hlinkClick xmlns:r="http://schemas.openxmlformats.org/officeDocument/2006/relationships" r:id="rId2"/>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95" name="Step" descr="Drop-down lists make data entry easier for people. Here's how to do one:"/>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Drop-down lists make data entry easier for people. Here's how to do one: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96" name="Step" descr="We want only three department names to be valid entries for each of the foods on the right. Those departments are Produce, Meat and Bakery"/>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We want only three department names to be valid entries for each of the foods on the right. Those departments are Produce, Meat and Bakery.</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97" name="Oval 96" descr="1"/>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98" name="Step" descr="Click and drag to select the yellow cells under Department"/>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99" name="Oval 98" descr="2"/>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00" name="Step" descr="On the Data tab, click Data Validation. Under Allow, click List"/>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1" name="Oval 100" descr="3"/>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02" name="Step" descr="In the Source box, type Produce, Meat, Bakery. Make sure to put commas in between them. Click OK when you’re done"/>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when you’re done.</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3" name="Oval 102" descr="4"/>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104" name="Step" descr="Now click the yellow cell next to Apples, and you'll see a drop-down menu"/>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and you'll see a drop-down menu.</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5" name="Oval 104" descr="5"/>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xdr:cNvGrpSpPr/>
      </xdr:nvGrpSpPr>
      <xdr:grpSpPr>
        <a:xfrm>
          <a:off x="390525" y="5524500"/>
          <a:ext cx="5732780" cy="6096000"/>
          <a:chOff x="390525" y="6036469"/>
          <a:chExt cx="5693569" cy="6096000"/>
        </a:xfrm>
      </xdr:grpSpPr>
      <xdr:sp>
        <xdr:nvSpPr>
          <xdr:cNvPr id="118" name="Rectangle 117" descr="Background"/>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19" name="Step" descr="Best practice for drop-downs: Use a table"/>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lang="en-US" sz="2200" b="0" kern="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20" name="Straight Connector 119" descr="Decorative line"/>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22" name="Step" descr="In column G, click a cell with a department. For example, click Meat"/>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endParaRPr lang="en-US" sz="1100">
              <a:latin typeface="Segoe UI" panose="020B0502040204020203" pitchFamily="34" charset="0"/>
              <a:cs typeface="Segoe UI" panose="020B0502040204020203" pitchFamily="34" charset="0"/>
            </a:endParaRPr>
          </a:p>
        </xdr:txBody>
      </xdr:sp>
      <xdr:sp>
        <xdr:nvSpPr>
          <xdr:cNvPr id="123" name="Oval 122" descr="1"/>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24" name="Step" descr="Now click the drop-down arrow. There are only three departments: Produce, Meat and Bakery. But if you add a new department in column F under Bakery, it will get updated with the new department"/>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endParaRPr lang="en-US" sz="1100">
              <a:latin typeface="Segoe UI" panose="020B0502040204020203" pitchFamily="34" charset="0"/>
              <a:cs typeface="Segoe UI" panose="020B0502040204020203" pitchFamily="34" charset="0"/>
            </a:endParaRPr>
          </a:p>
          <a:p>
            <a:endParaRPr lang="en-US" sz="1100">
              <a:latin typeface="Segoe UI" panose="020B0502040204020203" pitchFamily="34" charset="0"/>
              <a:cs typeface="Segoe UI" panose="020B0502040204020203" pitchFamily="34" charset="0"/>
            </a:endParaRPr>
          </a:p>
        </xdr:txBody>
      </xdr:sp>
      <xdr:sp>
        <xdr:nvSpPr>
          <xdr:cNvPr id="125" name="Oval 124" descr="8"/>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endParaRPr lang="en-US" sz="1600">
              <a:latin typeface="Segoe UI Semibold" panose="020B0702040204020203" pitchFamily="34" charset="0"/>
              <a:cs typeface="Segoe UI Semibold" panose="020B0702040204020203" pitchFamily="34" charset="0"/>
            </a:endParaRPr>
          </a:p>
        </xdr:txBody>
      </xdr:sp>
      <xdr:sp>
        <xdr:nvSpPr>
          <xdr:cNvPr id="126" name="Step" descr="Create a table by pressing Ctrl and T Key and then OK"/>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endParaRPr lang="en-US" sz="1100">
              <a:latin typeface="Segoe UI" panose="020B0502040204020203" pitchFamily="34" charset="0"/>
              <a:cs typeface="Segoe UI" panose="020B0502040204020203" pitchFamily="34" charset="0"/>
            </a:endParaRPr>
          </a:p>
        </xdr:txBody>
      </xdr:sp>
      <xdr:sp>
        <xdr:nvSpPr>
          <xdr:cNvPr id="127" name="Oval 126" descr="2"/>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28" name="Step" descr="Now you’ll set up the data validation again. In column D, select all of the blank cells under Department"/>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xdr:nvSpPr>
          <xdr:cNvPr id="129" name="Oval 128" descr="3"/>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cxnSp>
        <xdr:nvCxnSpPr>
          <xdr:cNvPr id="130" name="Straight Connector 129" descr="Decorative line"/>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08" name="Step" descr="On the Data tab, click Data Validation. Under Allow, click List"/>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9" name="Oval 108" descr="4"/>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110" name="Step" descr="Click inside the Source box, then click the up arrow button"/>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box, then click the up arrow button</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1" name="Oval 110" descr="5"/>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sp>
        <xdr:nvSpPr>
          <xdr:cNvPr id="112" name="Step" descr="Click and drag to select just the Produce, Meat and Bakery cells in column F. Then click the down arrow button "/>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cells in column F. Then click the down arrow button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3" name="Oval 112" descr="6"/>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endParaRPr lang="en-US" sz="1600">
              <a:latin typeface="Segoe UI Semibold" panose="020B0702040204020203" pitchFamily="34" charset="0"/>
              <a:cs typeface="Segoe UI Semibold" panose="020B0702040204020203" pitchFamily="34" charset="0"/>
            </a:endParaRPr>
          </a:p>
        </xdr:txBody>
      </xdr:sp>
      <xdr:sp>
        <xdr:nvSpPr>
          <xdr:cNvPr id="114" name="Step" descr="You should see this in the Source box: =$F$32:$F$34. (If you don’t see that you can type it in.) Click OK"/>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5" name="Oval 114" descr="7"/>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endParaRPr lang="en-US" sz="1600">
              <a:latin typeface="Segoe UI Semibold" panose="020B0702040204020203" pitchFamily="34" charset="0"/>
              <a:cs typeface="Segoe UI Semibold" panose="020B0702040204020203" pitchFamily="34" charset="0"/>
            </a:endParaRPr>
          </a:p>
        </xdr:txBody>
      </xdr:sp>
      <xdr:sp>
        <xdr:nvSpPr>
          <xdr:cNvPr id="116" name="Rectangle: Rounded Corners 115" descr="Ctrl key"/>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xdr:nvSpPr>
          <xdr:cNvPr id="117" name="Rectangle: Rounded Corners 116" descr="T key"/>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endParaRPr lang="en-US" sz="900">
              <a:solidFill>
                <a:schemeClr val="tx1"/>
              </a:solidFill>
              <a:latin typeface="Segoe UI" panose="020B0502040204020203" pitchFamily="34" charset="0"/>
              <a:cs typeface="Segoe UI" panose="020B0502040204020203" pitchFamily="34" charset="0"/>
            </a:endParaRPr>
          </a:p>
        </xdr:txBody>
      </xdr:sp>
      <xdr:pic>
        <xdr:nvPicPr>
          <xdr:cNvPr id="4" name="Picture 3" descr="Edit reference button"/>
          <xdr:cNvPicPr>
            <a:picLocks noChangeAspect="1"/>
          </xdr:cNvPicPr>
        </xdr:nvPicPr>
        <xdr:blipFill>
          <a:blip r:embed="rId3"/>
          <a:srcRect l="14712" t="24591" r="18206" b="23984"/>
          <a:stretch>
            <a:fillRect/>
          </a:stretch>
        </xdr:blipFill>
        <xdr:spPr>
          <a:xfrm>
            <a:off x="4814947" y="9713463"/>
            <a:ext cx="204439" cy="181207"/>
          </a:xfrm>
          <a:prstGeom prst="rect">
            <a:avLst/>
          </a:prstGeom>
        </xdr:spPr>
      </xdr:pic>
      <xdr:pic>
        <xdr:nvPicPr>
          <xdr:cNvPr id="5" name="Picture 4" descr="Close reference edit"/>
          <xdr:cNvPicPr>
            <a:picLocks noChangeAspect="1"/>
          </xdr:cNvPicPr>
        </xdr:nvPicPr>
        <xdr:blipFill>
          <a:blip r:embed="rId4"/>
          <a:srcRect l="20783" t="7697" r="13466" b="19960"/>
          <a:stretch>
            <a:fillRect/>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xdr:cNvGrpSpPr/>
      </xdr:nvGrpSpPr>
      <xdr:grpSpPr>
        <a:xfrm>
          <a:off x="8961120" y="6951345"/>
          <a:ext cx="2600960" cy="1859280"/>
          <a:chOff x="8591550" y="7370839"/>
          <a:chExt cx="2447924" cy="1858886"/>
        </a:xfrm>
      </xdr:grpSpPr>
      <xdr:sp>
        <xdr:nvSpPr>
          <xdr:cNvPr id="134" name="Arc 133" descr="Arrow"/>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xdr:cNvPicPr>
            <a:picLocks noChangeAspect="1"/>
          </xdr:cNvPicPr>
        </xdr:nvPicPr>
        <xdr:blipFill>
          <a:blip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xdr:nvSpPr>
          <xdr:cNvPr id="137" name="Step" descr="EXPERT TIP&#10;Often people put their validation lists like this out of the way on another sheet. That way others won't be tempted to change the list"/>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anose="020B0502040204020203"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xdr:cNvGrpSpPr/>
      </xdr:nvGrpSpPr>
      <xdr:grpSpPr>
        <a:xfrm>
          <a:off x="8942070" y="847725"/>
          <a:ext cx="2792095" cy="2686050"/>
          <a:chOff x="8572500" y="847725"/>
          <a:chExt cx="2495550" cy="2933700"/>
        </a:xfrm>
      </xdr:grpSpPr>
      <xdr:sp>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anose="020B0502040204020203" pitchFamily="34" charset="0"/>
                <a:cs typeface="Segoe UI Light" panose="020B0502040204020203" pitchFamily="34" charset="0"/>
              </a:rPr>
              <a:t> </a:t>
            </a:r>
            <a:r>
              <a:rPr lang="en-US" sz="1100" kern="0">
                <a:solidFill>
                  <a:schemeClr val="bg2">
                    <a:lumMod val="25000"/>
                  </a:schemeClr>
                </a:solidFill>
                <a:ea typeface="Segoe UI" panose="020B0502040204020203"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anose="020B0502040204020203" pitchFamily="34" charset="0"/>
                <a:cs typeface="Segoe UI Light" panose="020B0502040204020203" pitchFamily="34" charset="0"/>
              </a:rPr>
              <a:t>data validation</a:t>
            </a:r>
            <a:r>
              <a:rPr lang="en-US" sz="1100" kern="0">
                <a:solidFill>
                  <a:schemeClr val="bg2">
                    <a:lumMod val="25000"/>
                  </a:schemeClr>
                </a:solidFill>
                <a:ea typeface="Segoe UI" panose="020B0502040204020203" pitchFamily="34" charset="0"/>
                <a:cs typeface="Segoe UI Light" panose="020B0502040204020203" pitchFamily="34" charset="0"/>
              </a:rPr>
              <a:t>. </a:t>
            </a:r>
            <a:endParaRPr lang="en-US" sz="1100" kern="0">
              <a:solidFill>
                <a:schemeClr val="bg2">
                  <a:lumMod val="25000"/>
                </a:schemeClr>
              </a:solidFill>
              <a:ea typeface="Segoe UI" panose="020B0502040204020203" pitchFamily="34" charset="0"/>
              <a:cs typeface="Segoe UI Light" panose="020B0502040204020203" pitchFamily="34" charset="0"/>
            </a:endParaRPr>
          </a:p>
          <a:p>
            <a:pPr lvl="0">
              <a:defRPr/>
            </a:pPr>
            <a:endParaRPr lang="en-US" sz="1100" kern="0">
              <a:solidFill>
                <a:schemeClr val="bg2">
                  <a:lumMod val="25000"/>
                </a:schemeClr>
              </a:solidFill>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anose="020B0502040204020203" pitchFamily="34" charset="0"/>
                <a:cs typeface="Segoe UI Light" panose="020B0502040204020203" pitchFamily="34" charset="0"/>
              </a:rPr>
              <a:t>. For example, you can </a:t>
            </a:r>
            <a:r>
              <a:rPr lang="en-US" sz="1100" kern="0">
                <a:solidFill>
                  <a:schemeClr val="bg2">
                    <a:lumMod val="25000"/>
                  </a:schemeClr>
                </a:solidFill>
                <a:ea typeface="Segoe UI" panose="020B0502040204020203" pitchFamily="34" charset="0"/>
                <a:cs typeface="Segoe UI Light" panose="020B0502040204020203" pitchFamily="34" charset="0"/>
              </a:rPr>
              <a:t>restrict</a:t>
            </a:r>
            <a:r>
              <a:rPr lang="en-US" sz="1100" kern="0" baseline="0">
                <a:solidFill>
                  <a:schemeClr val="bg2">
                    <a:lumMod val="25000"/>
                  </a:schemeClr>
                </a:solidFill>
                <a:ea typeface="Segoe UI" panose="020B0502040204020203"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anose="020B0502040204020203" pitchFamily="34" charset="0"/>
              <a:cs typeface="Segoe UI Light" panose="020B0502040204020203" pitchFamily="34" charset="0"/>
            </a:endParaRPr>
          </a:p>
        </xdr:txBody>
      </xdr:sp>
      <xdr:pic>
        <xdr:nvPicPr>
          <xdr:cNvPr id="143" name="Graphic 147" descr="Glasses"/>
          <xdr:cNvPicPr>
            <a:picLocks noChangeAspect="1"/>
          </xdr:cNvPicPr>
        </xdr:nvPicPr>
        <xdr:blipFill>
          <a:blip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xdr:cNvGrpSpPr/>
      </xdr:nvGrpSpPr>
      <xdr:grpSpPr>
        <a:xfrm>
          <a:off x="390525" y="11820525"/>
          <a:ext cx="5732780" cy="3005455"/>
          <a:chOff x="390525" y="12239625"/>
          <a:chExt cx="5695950" cy="3005750"/>
        </a:xfrm>
      </xdr:grpSpPr>
      <xdr:sp>
        <xdr:nvSpPr>
          <xdr:cNvPr id="145" name="Rectangle 144" descr="Background"/>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46" name="Step" descr="More information on the web"/>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47" name="Straight Connector 146" descr="Decorative line"/>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48" name="Next Button" descr="Back to top, hyperlinked to cell A1">
            <a:hlinkClick xmlns:r="http://schemas.openxmlformats.org/officeDocument/2006/relationships" r:id="rId9"/>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Back to top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149" name="Straight Connector 148" descr="Decorative line"/>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50" name="Next Button" descr="Next step button, hyperlinked to next sheet">
            <a:hlinkClick xmlns:r="http://schemas.openxmlformats.org/officeDocument/2006/relationships" r:id="rId2"/>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51" name="Step" descr="Apply data validation to cells, hyperlinked to web">
            <a:hlinkClick xmlns:r="http://schemas.openxmlformats.org/officeDocument/2006/relationships" r:id="rId10"/>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Apply data validation to cells</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52" name="Graphic 22" descr="Arrow">
            <a:hlinkClick xmlns:r="http://schemas.openxmlformats.org/officeDocument/2006/relationships" r:id="rId10"/>
          </xdr:cNvPr>
          <xdr:cNvPicPr>
            <a:picLocks noChangeAspect="1"/>
          </xdr:cNvPicPr>
        </xdr:nvPicPr>
        <xdr:blipFill>
          <a:blip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xdr:nvSpPr>
          <xdr:cNvPr id="153" name="Step" descr="Create a drop-down list, hyperlinked to web">
            <a:hlinkClick xmlns:r="http://schemas.openxmlformats.org/officeDocument/2006/relationships" r:id="rId13"/>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Create a drop-down list</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54" name="Graphic 22" descr="Arrow">
            <a:hlinkClick xmlns:r="http://schemas.openxmlformats.org/officeDocument/2006/relationships" r:id="rId13"/>
          </xdr:cNvPr>
          <xdr:cNvPicPr>
            <a:picLocks noChangeAspect="1"/>
          </xdr:cNvPicPr>
        </xdr:nvPicPr>
        <xdr:blipFill>
          <a:blip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xdr:cNvGrpSpPr/>
      </xdr:nvGrpSpPr>
      <xdr:grpSpPr>
        <a:xfrm>
          <a:off x="390525" y="5524500"/>
          <a:ext cx="5732780" cy="3638550"/>
          <a:chOff x="390525" y="5943600"/>
          <a:chExt cx="5695950" cy="3698874"/>
        </a:xfrm>
      </xdr:grpSpPr>
      <xdr:sp>
        <xdr:nvSpPr>
          <xdr:cNvPr id="102" name="Rectangle 101" descr="Background"/>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03" name="Step" descr="Quickly make a chart"/>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04" name="Straight Connector 103" descr="Decorative line"/>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05" name="Straight Connector 104" descr="Decorative line"/>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06" name="Step" descr="You can always use the Insert tab and create a chart. But here is another way to make a chart, using the Quick Analysis button. This time though, we'll use the keyboard shortcut:"/>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7" name="Oval 106" descr="1"/>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08" name="Step" descr="Click the first Clustered… button"/>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endParaRPr lang="en-US" sz="1050">
              <a:latin typeface="Segoe UI" panose="020B0502040204020203" pitchFamily="34" charset="0"/>
              <a:cs typeface="Segoe UI" panose="020B0502040204020203" pitchFamily="34" charset="0"/>
            </a:endParaRPr>
          </a:p>
          <a:p>
            <a:endParaRPr lang="en-US" sz="1050">
              <a:latin typeface="Segoe UI" panose="020B0502040204020203" pitchFamily="34" charset="0"/>
              <a:cs typeface="Segoe UI" panose="020B0502040204020203" pitchFamily="34" charset="0"/>
            </a:endParaRPr>
          </a:p>
        </xdr:txBody>
      </xdr:sp>
      <xdr:sp>
        <xdr:nvSpPr>
          <xdr:cNvPr id="109" name="Oval 108" descr="3"/>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10" name="Step" descr="A new clustered column chart appears. Move it anywhere you’d like. Notice that each product has three columns, one for each month of sales"/>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endParaRPr lang="en-US" sz="1050">
              <a:latin typeface="Segoe UI" panose="020B0502040204020203" pitchFamily="34" charset="0"/>
              <a:cs typeface="Segoe UI" panose="020B0502040204020203" pitchFamily="34" charset="0"/>
            </a:endParaRPr>
          </a:p>
        </xdr:txBody>
      </xdr:sp>
      <xdr:sp>
        <xdr:nvSpPr>
          <xdr:cNvPr id="111" name="Oval 110" descr="4"/>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112" name="Step" descr="On the panel that appears, click Charts"/>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endParaRPr lang="en-US" sz="1050">
              <a:latin typeface="Segoe UI" panose="020B0502040204020203" pitchFamily="34" charset="0"/>
              <a:cs typeface="Segoe UI" panose="020B0502040204020203" pitchFamily="34" charset="0"/>
            </a:endParaRPr>
          </a:p>
          <a:p>
            <a:endParaRPr lang="en-US" sz="1050">
              <a:latin typeface="Segoe UI" panose="020B0502040204020203" pitchFamily="34" charset="0"/>
              <a:cs typeface="Segoe UI" panose="020B0502040204020203" pitchFamily="34" charset="0"/>
            </a:endParaRPr>
          </a:p>
        </xdr:txBody>
      </xdr:sp>
      <xdr:sp>
        <xdr:nvSpPr>
          <xdr:cNvPr id="113" name="Oval 112" descr="2"/>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97" name="Step" descr="Click a cell inside the data to the right, and then press Ctrl and Q key"/>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a cell inside the data to the right, and then press</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98" name="Oval 97" descr="1"/>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00" name="Rectangle: Rounded Corners 99" descr="Ctrl key"/>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xdr:nvSpPr>
          <xdr:cNvPr id="101" name="Rectangle: Rounded Corners 100" descr="Q key"/>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endParaRPr lang="en-US" sz="900">
              <a:solidFill>
                <a:schemeClr val="tx1"/>
              </a:solidFill>
              <a:latin typeface="Segoe UI" panose="020B0502040204020203" pitchFamily="34" charset="0"/>
              <a:cs typeface="Segoe UI" panose="020B0502040204020203" pitchFamily="34" charset="0"/>
            </a:endParaRP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xdr:cNvGrpSpPr/>
      </xdr:nvGrpSpPr>
      <xdr:grpSpPr>
        <a:xfrm>
          <a:off x="390525" y="9315450"/>
          <a:ext cx="5732780" cy="3857625"/>
          <a:chOff x="390525" y="9801225"/>
          <a:chExt cx="5695950" cy="3790949"/>
        </a:xfrm>
      </xdr:grpSpPr>
      <xdr:sp>
        <xdr:nvSpPr>
          <xdr:cNvPr id="121" name="Rectangle 120" descr="Background"/>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22" name="Step" descr="Quickly make sparklines"/>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23" name="Straight Connector 122" descr="Decorative line"/>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24" name="Straight Connector 123" descr="Decorative line"/>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25" name="Step" descr="Let's say you want little trend lines to the right of this data to show how the amounts go up or down during the three months. You don't have to make 8 little line charts. You can make sparklines instead"/>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26" name="Step" descr="Sparklines appear to the right of the Dec column. Each line represents the data for that row, and shows whether the amounts go up or down"/>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endParaRPr lang="en-US" sz="1050">
              <a:latin typeface="Segoe UI" panose="020B0502040204020203" pitchFamily="34" charset="0"/>
              <a:cs typeface="Segoe UI" panose="020B0502040204020203" pitchFamily="34" charset="0"/>
            </a:endParaRPr>
          </a:p>
          <a:p>
            <a:endParaRPr lang="en-US" sz="1050">
              <a:latin typeface="Segoe UI" panose="020B0502040204020203" pitchFamily="34" charset="0"/>
              <a:cs typeface="Segoe UI" panose="020B0502040204020203" pitchFamily="34" charset="0"/>
            </a:endParaRPr>
          </a:p>
        </xdr:txBody>
      </xdr:sp>
      <xdr:sp>
        <xdr:nvSpPr>
          <xdr:cNvPr id="127" name="Oval 126" descr="3"/>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28" name="Step" descr="To clear the sparklines, click and drag to select them. The Sparkline Tools Design tab will appear at the top of the window. Go to that tab, and then click the Clear button"/>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endParaRPr lang="en-US" sz="1050">
              <a:latin typeface="Segoe UI" panose="020B0502040204020203" pitchFamily="34" charset="0"/>
              <a:cs typeface="Segoe UI" panose="020B0502040204020203" pitchFamily="34" charset="0"/>
            </a:endParaRPr>
          </a:p>
        </xdr:txBody>
      </xdr:sp>
      <xdr:sp>
        <xdr:nvSpPr>
          <xdr:cNvPr id="129" name="Oval 128" descr="4"/>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130" name="Step" descr="On the panel that appears, click Sparklines, and then click the Line button"/>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endParaRPr lang="en-US" sz="1050">
              <a:latin typeface="Segoe UI" panose="020B0502040204020203" pitchFamily="34" charset="0"/>
              <a:cs typeface="Segoe UI" panose="020B0502040204020203" pitchFamily="34" charset="0"/>
            </a:endParaRPr>
          </a:p>
          <a:p>
            <a:endParaRPr lang="en-US" sz="1050">
              <a:latin typeface="Segoe UI" panose="020B0502040204020203" pitchFamily="34" charset="0"/>
              <a:cs typeface="Segoe UI" panose="020B0502040204020203" pitchFamily="34" charset="0"/>
            </a:endParaRPr>
          </a:p>
        </xdr:txBody>
      </xdr:sp>
      <xdr:sp>
        <xdr:nvSpPr>
          <xdr:cNvPr id="131" name="Oval 130" descr="2"/>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16" name="Step" descr="Click a cell inside the data to the right, and then press Ctrl and Q"/>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a cell inside the data to the right, and then press</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7" name="Oval 116" descr="1"/>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19" name="Rectangle: Rounded Corners 118" descr="Ctrl key"/>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xdr:nvSpPr>
          <xdr:cNvPr id="120" name="Rectangle: Rounded Corners 119" descr="Q key"/>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endParaRPr lang="en-US" sz="900">
              <a:solidFill>
                <a:schemeClr val="tx1"/>
              </a:solidFill>
              <a:latin typeface="Segoe UI" panose="020B0502040204020203" pitchFamily="34" charset="0"/>
              <a:cs typeface="Segoe UI" panose="020B0502040204020203" pitchFamily="34" charset="0"/>
            </a:endParaRP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xdr:cNvGrpSpPr/>
      </xdr:nvGrpSpPr>
      <xdr:grpSpPr>
        <a:xfrm>
          <a:off x="390525" y="13335000"/>
          <a:ext cx="5732780" cy="2863850"/>
          <a:chOff x="0" y="1"/>
          <a:chExt cx="5695950" cy="2806700"/>
        </a:xfrm>
      </xdr:grpSpPr>
      <xdr:sp>
        <xdr:nvSpPr>
          <xdr:cNvPr id="133" name="Rectangle 132" descr="Background"/>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34" name="Step" descr="More information on the web"/>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35" name="Straight Connector 134" descr="Decorative line"/>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36" name="Next Button" descr="Back to top, hyperlinked to cell A1">
            <a:hlinkClick xmlns:r="http://schemas.openxmlformats.org/officeDocument/2006/relationships" r:id="rId2"/>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Back to top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137" name="Straight Connector 136" descr="Decorative line"/>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38" name="Next Button" descr="Next step button, hyperlinked to next sheet">
            <a:hlinkClick xmlns:r="http://schemas.openxmlformats.org/officeDocument/2006/relationships" r:id="rId3"/>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39" name="Step" descr="Analyze your data instantly, hyperlinked to web">
            <a:hlinkClick xmlns:r="http://schemas.openxmlformats.org/officeDocument/2006/relationships" r:id="rId4"/>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Analyze your data instantly</a:t>
            </a:r>
            <a:endParaRPr lang="en-US" sz="105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40" name="Graphic 22" descr="Arrow">
            <a:hlinkClick xmlns:r="http://schemas.openxmlformats.org/officeDocument/2006/relationships" r:id="rId4"/>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211503" y="699572"/>
            <a:ext cx="454554" cy="448472"/>
          </a:xfrm>
          <a:prstGeom prst="rect">
            <a:avLst/>
          </a:prstGeom>
        </xdr:spPr>
      </xdr:pic>
      <xdr:sp>
        <xdr:nvSpPr>
          <xdr:cNvPr id="141" name="Step" descr="Analyze trends in data using sparklines, hyperlinked to web">
            <a:hlinkClick xmlns:r="http://schemas.openxmlformats.org/officeDocument/2006/relationships" r:id="rId7"/>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Analyze trends in data using sparklines</a:t>
            </a:r>
            <a:endParaRPr lang="en-US" sz="105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42" name="Graphic 22" descr="Arrow">
            <a:hlinkClick xmlns:r="http://schemas.openxmlformats.org/officeDocument/2006/relationships" r:id="rId7"/>
          </xdr:cNvPr>
          <xdr:cNvPicPr>
            <a:picLocks noChangeAspect="1"/>
          </xdr:cNvPicPr>
        </xdr:nvPicPr>
        <xdr:blipFill>
          <a:blip r:embed="rId5">
            <a:extLst>
              <a:ext uri="{96DAC541-7B7A-43D3-8B79-37D633B846F1}">
                <asvg:svgBlip xmlns:asvg="http://schemas.microsoft.com/office/drawing/2016/SVG/main" r:embed="rId6"/>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xdr:cNvGrpSpPr/>
      </xdr:nvGrpSpPr>
      <xdr:grpSpPr>
        <a:xfrm>
          <a:off x="333375" y="266700"/>
          <a:ext cx="5732780" cy="4114800"/>
          <a:chOff x="333375" y="266700"/>
          <a:chExt cx="5695950" cy="4114800"/>
        </a:xfrm>
      </xdr:grpSpPr>
      <xdr:sp>
        <xdr:nvSpPr>
          <xdr:cNvPr id="77" name="Rectangle 76" descr="Background"/>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78" name="Step" descr="Analyze data quickly"/>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anose="020B0502040204020203"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79" name="Straight Connector 78" descr="Decorative line"/>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80" name="Next Button" descr="Dive down for more detail">
            <a:hlinkClick xmlns:r="http://schemas.openxmlformats.org/officeDocument/2006/relationships" r:id="rId8"/>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Dive down for more detail</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81" name="Straight Connector 80" descr="Decorative line"/>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82" name="Next Button" descr="Next step button, hyperlinked to next sheet">
            <a:hlinkClick xmlns:r="http://schemas.openxmlformats.org/officeDocument/2006/relationships" r:id="rId3"/>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3" name="Step" descr="Here’s how to analyze data so that you can spot patterns and trends quickly:"/>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rPr>
              <a:t>Here’s how to analyze data so that you can spot patterns and trends quickly:</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sp>
        <xdr:nvSpPr>
          <xdr:cNvPr id="84" name="Step" descr="Click and drag to select all cells on the right, and then click this button in the lower-right corne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5" name="Oval 84" descr="1"/>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86" name="Step" descr="On the panel that appears, click Data Bars. The cells under Oct, Nov, and Dec columns get special data bars that visualize their amounts"/>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The cells under Oct, Nov, and Dec columns get special data bars that visualize their amounts.</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7" name="Oval 86" descr="2"/>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88" name="Step" descr="Now let's say you want to get rid of the bars. Click this button again:"/>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again:</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9" name="Oval 88" descr="3"/>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90" name="Step" descr="On the panel that appears, click the Clear Format button on the right"/>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button on the right.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91" name="Oval 90" descr="4"/>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pic>
        <xdr:nvPicPr>
          <xdr:cNvPr id="144" name="Picture 143" descr="Quick Analysis button"/>
          <xdr:cNvPicPr>
            <a:picLocks noChangeAspect="1"/>
          </xdr:cNvPicPr>
        </xdr:nvPicPr>
        <xdr:blipFill>
          <a:blip r:embed="rId9"/>
          <a:srcRect l="29498" t="32404" r="36228" b="19590"/>
          <a:stretch>
            <a:fillRect/>
          </a:stretch>
        </xdr:blipFill>
        <xdr:spPr>
          <a:xfrm>
            <a:off x="2251988" y="1546622"/>
            <a:ext cx="243562" cy="241511"/>
          </a:xfrm>
          <a:prstGeom prst="rect">
            <a:avLst/>
          </a:prstGeom>
        </xdr:spPr>
      </xdr:pic>
      <xdr:pic>
        <xdr:nvPicPr>
          <xdr:cNvPr id="151" name="Picture 150" descr="Quick Analysis button"/>
          <xdr:cNvPicPr>
            <a:picLocks noChangeAspect="1"/>
          </xdr:cNvPicPr>
        </xdr:nvPicPr>
        <xdr:blipFill>
          <a:blip r:embed="rId9"/>
          <a:srcRect l="29498" t="32404" r="36228" b="19590"/>
          <a:stretch>
            <a:fillRect/>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xdr:cNvGrpSpPr/>
      </xdr:nvGrpSpPr>
      <xdr:grpSpPr>
        <a:xfrm>
          <a:off x="7401560" y="3154680"/>
          <a:ext cx="3336290" cy="1178560"/>
          <a:chOff x="7099696" y="3364706"/>
          <a:chExt cx="3025379" cy="1072754"/>
        </a:xfrm>
      </xdr:grpSpPr>
      <xdr:sp>
        <xdr:nvSpPr>
          <xdr:cNvPr id="40" name="Step" descr="GOOD TO KNOW&#10;When you select cells, this button appears: It's called the Quick Analysis button. Aptly named, don't you think? If you ever have a question about the data, click this button and see if it gives you some answers"/>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anose="020B0502040204020203" pitchFamily="34" charset="0"/>
                <a:cs typeface="Segoe UI Light" panose="020B0502040204020203" pitchFamily="34" charset="0"/>
              </a:rPr>
              <a:t>            </a:t>
            </a:r>
            <a:r>
              <a:rPr lang="en-US" sz="1100" kern="0">
                <a:solidFill>
                  <a:schemeClr val="bg2">
                    <a:lumMod val="25000"/>
                  </a:schemeClr>
                </a:solidFill>
                <a:ea typeface="Segoe UI" panose="020B0502040204020203" pitchFamily="34" charset="0"/>
                <a:cs typeface="Segoe UI Light" panose="020B0502040204020203" pitchFamily="34" charset="0"/>
              </a:rPr>
              <a:t>It's called the </a:t>
            </a:r>
            <a:r>
              <a:rPr lang="en-US" sz="1100" b="1" kern="0">
                <a:solidFill>
                  <a:schemeClr val="bg2">
                    <a:lumMod val="25000"/>
                  </a:schemeClr>
                </a:solidFill>
                <a:ea typeface="Segoe UI" panose="020B0502040204020203" pitchFamily="34" charset="0"/>
                <a:cs typeface="Segoe UI Light" panose="020B0502040204020203" pitchFamily="34" charset="0"/>
              </a:rPr>
              <a:t>Quick Analysis </a:t>
            </a:r>
            <a:r>
              <a:rPr lang="en-US" sz="1100" kern="0">
                <a:solidFill>
                  <a:schemeClr val="bg2">
                    <a:lumMod val="25000"/>
                  </a:schemeClr>
                </a:solidFill>
                <a:ea typeface="Segoe UI" panose="020B0502040204020203" pitchFamily="34" charset="0"/>
                <a:cs typeface="Segoe UI Light" panose="020B0502040204020203" pitchFamily="34" charset="0"/>
              </a:rPr>
              <a:t>button. Aptly</a:t>
            </a:r>
            <a:r>
              <a:rPr lang="en-US" sz="1100" kern="0" baseline="0">
                <a:solidFill>
                  <a:schemeClr val="bg2">
                    <a:lumMod val="25000"/>
                  </a:schemeClr>
                </a:solidFill>
                <a:ea typeface="Segoe UI" panose="020B0502040204020203"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pic>
        <xdr:nvPicPr>
          <xdr:cNvPr id="147" name="Graphic 147" descr="Glasses"/>
          <xdr:cNvPicPr>
            <a:picLocks noChangeAspect="1"/>
          </xdr:cNvPicPr>
        </xdr:nvPicPr>
        <xdr:blipFill>
          <a:blip r:embed="rId10">
            <a:extLst>
              <a:ext uri="{96DAC541-7B7A-43D3-8B79-37D633B846F1}">
                <asvg:svgBlip xmlns:asvg="http://schemas.microsoft.com/office/drawing/2016/SVG/main" r:embed="rId11"/>
              </a:ext>
            </a:extLst>
          </a:blip>
          <a:stretch>
            <a:fillRect/>
          </a:stretch>
        </xdr:blipFill>
        <xdr:spPr>
          <a:xfrm>
            <a:off x="7099696" y="3364706"/>
            <a:ext cx="324537" cy="367371"/>
          </a:xfrm>
          <a:prstGeom prst="rect">
            <a:avLst/>
          </a:prstGeom>
        </xdr:spPr>
      </xdr:pic>
      <xdr:pic>
        <xdr:nvPicPr>
          <xdr:cNvPr id="152" name="Picture 151" descr="Quick Analysis button"/>
          <xdr:cNvPicPr>
            <a:picLocks noChangeAspect="1"/>
          </xdr:cNvPicPr>
        </xdr:nvPicPr>
        <xdr:blipFill>
          <a:blip r:embed="rId9"/>
          <a:srcRect l="29498" t="32404" r="36228" b="19590"/>
          <a:stretch>
            <a:fillRect/>
          </a:stretch>
        </xdr:blipFill>
        <xdr:spPr>
          <a:xfrm>
            <a:off x="9881513" y="3480197"/>
            <a:ext cx="243562" cy="241511"/>
          </a:xfrm>
          <a:prstGeom prst="rect">
            <a:avLst/>
          </a:prstGeom>
        </xdr:spPr>
      </xdr:pic>
    </xdr:grpSp>
    <xdr:clientData/>
  </xdr:twoCellAnchor>
  <xdr:twoCellAnchor>
    <xdr:from>
      <xdr:col>7</xdr:col>
      <xdr:colOff>221615</xdr:colOff>
      <xdr:row>0</xdr:row>
      <xdr:rowOff>419735</xdr:rowOff>
    </xdr:from>
    <xdr:to>
      <xdr:col>16</xdr:col>
      <xdr:colOff>107950</xdr:colOff>
      <xdr:row>17</xdr:row>
      <xdr:rowOff>189865</xdr:rowOff>
    </xdr:to>
    <xdr:graphicFrame>
      <xdr:nvGraphicFramePr>
        <xdr:cNvPr id="6" name="Chart 5"/>
        <xdr:cNvGraphicFramePr/>
      </xdr:nvGraphicFramePr>
      <xdr:xfrm>
        <a:off x="11056620" y="419735"/>
        <a:ext cx="5475605" cy="358013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xdr:cNvGrpSpPr/>
      </xdr:nvGrpSpPr>
      <xdr:grpSpPr>
        <a:xfrm>
          <a:off x="7398385" y="3209925"/>
          <a:ext cx="2887345" cy="1257300"/>
          <a:chOff x="7096125" y="3419475"/>
          <a:chExt cx="2762250" cy="1047750"/>
        </a:xfrm>
      </xdr:grpSpPr>
      <xdr:sp>
        <xdr:nvSpPr>
          <xdr:cNvPr id="40" name="Step" descr="EXTRA CREDIT&#10;Want a data table directly under the chart? Click the chart. On the Chart Tools tab, click Design. Then click Add Chart Element &gt; Data Table &gt; With Legend Keys"/>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Want a data table directly under</a:t>
            </a:r>
            <a:r>
              <a:rPr lang="en-US" sz="1100" kern="0" baseline="0">
                <a:solidFill>
                  <a:schemeClr val="bg2">
                    <a:lumMod val="25000"/>
                  </a:schemeClr>
                </a:solidFill>
                <a:ea typeface="Segoe UI" panose="020B0502040204020203"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anose="020B0502040204020203" pitchFamily="34" charset="0"/>
                <a:cs typeface="Segoe UI Light" panose="020B0502040204020203" pitchFamily="34" charset="0"/>
              </a:rPr>
              <a:t>Chart Tools </a:t>
            </a:r>
            <a:r>
              <a:rPr lang="en-US" sz="1100" kern="0" baseline="0">
                <a:solidFill>
                  <a:schemeClr val="bg2">
                    <a:lumMod val="25000"/>
                  </a:schemeClr>
                </a:solidFill>
                <a:ea typeface="Segoe UI" panose="020B0502040204020203" pitchFamily="34" charset="0"/>
                <a:cs typeface="Segoe UI Light" panose="020B0502040204020203" pitchFamily="34" charset="0"/>
              </a:rPr>
              <a:t>tab, click </a:t>
            </a:r>
            <a:r>
              <a:rPr lang="en-US" sz="1100" b="1" kern="0" baseline="0">
                <a:solidFill>
                  <a:schemeClr val="bg2">
                    <a:lumMod val="25000"/>
                  </a:schemeClr>
                </a:solidFill>
                <a:ea typeface="Segoe UI" panose="020B0502040204020203" pitchFamily="34" charset="0"/>
                <a:cs typeface="Segoe UI Light" panose="020B0502040204020203" pitchFamily="34" charset="0"/>
              </a:rPr>
              <a:t>Design</a:t>
            </a:r>
            <a:r>
              <a:rPr lang="en-US" sz="1100" kern="0" baseline="0">
                <a:solidFill>
                  <a:schemeClr val="bg2">
                    <a:lumMod val="25000"/>
                  </a:schemeClr>
                </a:solidFill>
                <a:ea typeface="Segoe UI" panose="020B0502040204020203" pitchFamily="34" charset="0"/>
                <a:cs typeface="Segoe UI Light" panose="020B0502040204020203" pitchFamily="34" charset="0"/>
              </a:rPr>
              <a:t>. Then click </a:t>
            </a:r>
            <a:r>
              <a:rPr lang="en-US" sz="1100" b="1" kern="0" baseline="0">
                <a:solidFill>
                  <a:schemeClr val="bg2">
                    <a:lumMod val="25000"/>
                  </a:schemeClr>
                </a:solidFill>
                <a:ea typeface="Segoe UI" panose="020B0502040204020203" pitchFamily="34" charset="0"/>
                <a:cs typeface="Segoe UI Light" panose="020B0502040204020203" pitchFamily="34" charset="0"/>
              </a:rPr>
              <a:t>Add Chart Element</a:t>
            </a:r>
            <a:r>
              <a:rPr lang="en-US" sz="1100" kern="0" baseline="0">
                <a:solidFill>
                  <a:schemeClr val="bg2">
                    <a:lumMod val="25000"/>
                  </a:schemeClr>
                </a:solidFill>
                <a:ea typeface="Segoe UI" panose="020B0502040204020203" pitchFamily="34" charset="0"/>
                <a:cs typeface="Segoe UI Light" panose="020B0502040204020203" pitchFamily="34" charset="0"/>
              </a:rPr>
              <a:t> &gt; </a:t>
            </a:r>
            <a:r>
              <a:rPr lang="en-US" sz="1100" b="1" kern="0" baseline="0">
                <a:solidFill>
                  <a:schemeClr val="bg2">
                    <a:lumMod val="25000"/>
                  </a:schemeClr>
                </a:solidFill>
                <a:ea typeface="Segoe UI" panose="020B0502040204020203" pitchFamily="34" charset="0"/>
                <a:cs typeface="Segoe UI Light" panose="020B0502040204020203" pitchFamily="34" charset="0"/>
              </a:rPr>
              <a:t>Data</a:t>
            </a:r>
            <a:r>
              <a:rPr lang="en-US" sz="1100" kern="0" baseline="0">
                <a:solidFill>
                  <a:schemeClr val="bg2">
                    <a:lumMod val="25000"/>
                  </a:schemeClr>
                </a:solidFill>
                <a:ea typeface="Segoe UI" panose="020B0502040204020203" pitchFamily="34" charset="0"/>
                <a:cs typeface="Segoe UI Light" panose="020B0502040204020203" pitchFamily="34" charset="0"/>
              </a:rPr>
              <a:t> </a:t>
            </a:r>
            <a:r>
              <a:rPr lang="en-US" sz="1100" b="1" kern="0" baseline="0">
                <a:solidFill>
                  <a:schemeClr val="bg2">
                    <a:lumMod val="25000"/>
                  </a:schemeClr>
                </a:solidFill>
                <a:ea typeface="Segoe UI" panose="020B0502040204020203" pitchFamily="34" charset="0"/>
                <a:cs typeface="Segoe UI Light" panose="020B0502040204020203" pitchFamily="34" charset="0"/>
              </a:rPr>
              <a:t>Table</a:t>
            </a:r>
            <a:r>
              <a:rPr lang="en-US" sz="1100" kern="0" baseline="0">
                <a:solidFill>
                  <a:schemeClr val="bg2">
                    <a:lumMod val="25000"/>
                  </a:schemeClr>
                </a:solidFill>
                <a:ea typeface="Segoe UI" panose="020B0502040204020203" pitchFamily="34" charset="0"/>
                <a:cs typeface="Segoe UI Light" panose="020B0502040204020203" pitchFamily="34" charset="0"/>
              </a:rPr>
              <a:t> &gt; </a:t>
            </a:r>
            <a:r>
              <a:rPr lang="en-US" sz="1100" b="1" kern="0" baseline="0">
                <a:solidFill>
                  <a:schemeClr val="bg2">
                    <a:lumMod val="25000"/>
                  </a:schemeClr>
                </a:solidFill>
                <a:ea typeface="Segoe UI" panose="020B0502040204020203" pitchFamily="34" charset="0"/>
                <a:cs typeface="Segoe UI Light" panose="020B0502040204020203" pitchFamily="34" charset="0"/>
              </a:rPr>
              <a:t>With</a:t>
            </a:r>
            <a:r>
              <a:rPr lang="en-US" sz="1100" kern="0" baseline="0">
                <a:solidFill>
                  <a:schemeClr val="bg2">
                    <a:lumMod val="25000"/>
                  </a:schemeClr>
                </a:solidFill>
                <a:ea typeface="Segoe UI" panose="020B0502040204020203" pitchFamily="34" charset="0"/>
                <a:cs typeface="Segoe UI Light" panose="020B0502040204020203" pitchFamily="34" charset="0"/>
              </a:rPr>
              <a:t> </a:t>
            </a:r>
            <a:r>
              <a:rPr lang="en-US" sz="1100" b="1" kern="0" baseline="0">
                <a:solidFill>
                  <a:schemeClr val="bg2">
                    <a:lumMod val="25000"/>
                  </a:schemeClr>
                </a:solidFill>
                <a:ea typeface="Segoe UI" panose="020B0502040204020203" pitchFamily="34" charset="0"/>
                <a:cs typeface="Segoe UI Light" panose="020B0502040204020203" pitchFamily="34" charset="0"/>
              </a:rPr>
              <a:t>Legend</a:t>
            </a:r>
            <a:r>
              <a:rPr lang="en-US" sz="1100" kern="0" baseline="0">
                <a:solidFill>
                  <a:schemeClr val="bg2">
                    <a:lumMod val="25000"/>
                  </a:schemeClr>
                </a:solidFill>
                <a:ea typeface="Segoe UI" panose="020B0502040204020203" pitchFamily="34" charset="0"/>
                <a:cs typeface="Segoe UI Light" panose="020B0502040204020203" pitchFamily="34" charset="0"/>
              </a:rPr>
              <a:t> </a:t>
            </a:r>
            <a:r>
              <a:rPr lang="en-US" sz="1100" b="1" kern="0" baseline="0">
                <a:solidFill>
                  <a:schemeClr val="bg2">
                    <a:lumMod val="25000"/>
                  </a:schemeClr>
                </a:solidFill>
                <a:ea typeface="Segoe UI" panose="020B0502040204020203" pitchFamily="34" charset="0"/>
                <a:cs typeface="Segoe UI Light" panose="020B0502040204020203" pitchFamily="34" charset="0"/>
              </a:rPr>
              <a:t>Keys</a:t>
            </a:r>
            <a:r>
              <a:rPr lang="en-US" sz="1100" kern="0" baseline="0">
                <a:solidFill>
                  <a:schemeClr val="bg2">
                    <a:lumMod val="25000"/>
                  </a:schemeClr>
                </a:solidFill>
                <a:ea typeface="Segoe UI" panose="020B0502040204020203" pitchFamily="34" charset="0"/>
                <a:cs typeface="Segoe UI Light" panose="020B0502040204020203" pitchFamily="34" charset="0"/>
              </a:rPr>
              <a:t>.</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pic>
        <xdr:nvPicPr>
          <xdr:cNvPr id="41" name="Graphic 263" descr="Ribbon"/>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xdr:cNvGrpSpPr/>
      </xdr:nvGrpSpPr>
      <xdr:grpSpPr>
        <a:xfrm>
          <a:off x="333375" y="266700"/>
          <a:ext cx="5732780" cy="4619625"/>
          <a:chOff x="0" y="0"/>
          <a:chExt cx="5695950" cy="4619625"/>
        </a:xfrm>
      </xdr:grpSpPr>
      <xdr:sp>
        <xdr:nvSpPr>
          <xdr:cNvPr id="78" name="Rectangle 77" descr="Background"/>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79" name="Step" descr="Great charts recommended for you"/>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anose="020B0502040204020203"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80" name="Straight Connector 79" descr="Decorative line"/>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81" name="Next Button" descr="Dive down for more detail">
            <a:hlinkClick xmlns:r="http://schemas.openxmlformats.org/officeDocument/2006/relationships" r:id="rId5"/>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Dive down for more detail</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82" name="Straight Connector 81" descr="Decorative line"/>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83" name="Next Button" descr="Next step button, hyperlinked to next sheet">
            <a:hlinkClick xmlns:r="http://schemas.openxmlformats.org/officeDocument/2006/relationships" r:id="rId6"/>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4" name="Step" descr="Click anywhere in the data to the right, and then click Insert &gt; Recommended Charts"/>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5" name="Oval 84" descr="1"/>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86" name="Step" descr="You'll see several recommendations. Click the second one on the left called Clustered Columns. Then click OK"/>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7" name="Oval 86" descr="2"/>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88" name="Step" descr="A column chart appears showing total number of conference attendees per year. Feel free to move it anywhere you'd like"/>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 column chart appears showing total number of conference attendees per year. Feel free to move it anywhere you'd like.</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89" name="Oval 88" descr="3"/>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90" name="Step" descr="Now you'll add a trendline. Select the chart, and the Chart Tools tab will appear at the top of the Excel window"/>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tab will appear at the top of the Excel window.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91" name="Oval 90" descr="4"/>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92" name="Step" descr="On the Chart Tools tab, click Design. Then click Add chart element &gt; Trendline &gt; Linear. Now you have a trendline that shows the general direction of the units sold over time"/>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Now you have a trendline that shows the general direction of the units sold over time.</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93" name="Oval 92" descr="5"/>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xdr:cNvGrpSpPr/>
      </xdr:nvGrpSpPr>
      <xdr:grpSpPr>
        <a:xfrm>
          <a:off x="390525" y="5524500"/>
          <a:ext cx="5732780" cy="4619625"/>
          <a:chOff x="390525" y="5943600"/>
          <a:chExt cx="5695950" cy="4619625"/>
        </a:xfrm>
      </xdr:grpSpPr>
      <xdr:sp>
        <xdr:nvSpPr>
          <xdr:cNvPr id="100" name="Rectangle 99" descr="Background"/>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xdr:nvCxnSpPr>
          <xdr:cNvPr id="101" name="Straight Connector 100" descr="Decorative line"/>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02" name="Straight Connector 101" descr="Decorative line"/>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99" name="Step" descr="Horizontal and vertical axes"/>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sp>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In school you might have learned that there is an x-axis and a y-axis. Excel has these two axes as well, but it calls them something different.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In Excel this is what they are called:</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Each axis can either be a value axis or a category axis.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represents numerical values. For example, a value axis can represent dollars, hours, duration, temperature, and so on.  The vertical axis on the right is a value axis.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so this is a category axis.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xdr:cNvGrpSpPr/>
      </xdr:nvGrpSpPr>
      <xdr:grpSpPr>
        <a:xfrm>
          <a:off x="7663815" y="10420350"/>
          <a:ext cx="5709285" cy="2514600"/>
          <a:chOff x="7315200" y="10839450"/>
          <a:chExt cx="5443586" cy="2514600"/>
        </a:xfrm>
      </xdr:grpSpPr>
      <xdr:sp>
        <xdr:nvSpPr>
          <xdr:cNvPr id="131" name="Freeform: Shape 130" descr="Bracket line"/>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Lst>
            <a:ahLst/>
            <a:cxnLst>
              <a:cxn ang="0">
                <a:pos x="connsiteX0-1" y="connsiteY0-2"/>
              </a:cxn>
              <a:cxn ang="0">
                <a:pos x="connsiteX1-3" y="connsiteY1-4"/>
              </a:cxn>
              <a:cxn ang="0">
                <a:pos x="connsiteX2-5" y="connsiteY2-6"/>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32" name="Freeform: Shape 131" descr="Bracket line"/>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 name="connsiteX0-15" fmla="*/ 0 w 169722"/>
              <a:gd name="connsiteY0-16" fmla="*/ 334 h 219894"/>
              <a:gd name="connsiteX1-17" fmla="*/ 157369 w 169722"/>
              <a:gd name="connsiteY1-18" fmla="*/ 33464 h 219894"/>
              <a:gd name="connsiteX2-19" fmla="*/ 169722 w 169722"/>
              <a:gd name="connsiteY2-20" fmla="*/ 219894 h 219894"/>
            </a:gdLst>
            <a:ahLst/>
            <a:cxnLst>
              <a:cxn ang="0">
                <a:pos x="connsiteX0-1" y="connsiteY0-2"/>
              </a:cxn>
              <a:cxn ang="0">
                <a:pos x="connsiteX1-3" y="connsiteY1-4"/>
              </a:cxn>
              <a:cxn ang="0">
                <a:pos x="connsiteX2-5" y="connsiteY2-6"/>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33" name="Arc 132" descr="Bracket line"/>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34" name="Arc 133" descr="Bracket line"/>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40" name="Step" descr="Secondary axis"/>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Secondary</a:t>
            </a:r>
            <a:endPar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axis</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graphicFrame>
        <xdr:nvGraphicFramePr>
          <xdr:cNvPr id="129" name="Chart 128" descr="Combo Chart"/>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xdr:cNvGrpSpPr/>
      </xdr:nvGrpSpPr>
      <xdr:grpSpPr>
        <a:xfrm>
          <a:off x="390525" y="10287000"/>
          <a:ext cx="5732780" cy="2781300"/>
          <a:chOff x="390525" y="10810875"/>
          <a:chExt cx="5695950" cy="2676525"/>
        </a:xfrm>
      </xdr:grpSpPr>
      <xdr:sp>
        <xdr:nvSpPr>
          <xdr:cNvPr id="122" name="Rectangle 121" descr="Background"/>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xdr:nvCxnSpPr>
          <xdr:cNvPr id="123" name="Straight Connector 122" descr="Decorative line"/>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24" name="Straight Connector 123" descr="Decorative line"/>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21" name="Step" descr="Secondary axis"/>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sp>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in a chart. A secondary axis is an additional value axis that can show different values than the other value axis. </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in Excel. If you’re interested in this kind of chart, click the link at the bottom of this sheet.</a:t>
            </a: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anose="020B0502040204020203"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xdr:cNvGrpSpPr/>
      </xdr:nvGrpSpPr>
      <xdr:grpSpPr>
        <a:xfrm>
          <a:off x="6085205" y="6181725"/>
          <a:ext cx="5888355" cy="3213735"/>
          <a:chOff x="6048375" y="6600825"/>
          <a:chExt cx="5419725" cy="3213895"/>
        </a:xfrm>
      </xdr:grpSpPr>
      <xdr:sp>
        <xdr:nvSpPr>
          <xdr:cNvPr id="116" name="Step" descr="Category axis"/>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graphicFrame>
        <xdr:nvGraphicFramePr>
          <xdr:cNvPr id="94" name="Chart 93" descr="Chart"/>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2"/>
          </a:graphicData>
        </a:graphic>
      </xdr:graphicFrame>
      <xdr:sp>
        <xdr:nvSpPr>
          <xdr:cNvPr id="136" name="Freeform: Shape 135" descr="Bracket line"/>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Lst>
            <a:ahLst/>
            <a:cxnLst>
              <a:cxn ang="0">
                <a:pos x="connsiteX0-1" y="connsiteY0-2"/>
              </a:cxn>
              <a:cxn ang="0">
                <a:pos x="connsiteX1-3" y="connsiteY1-4"/>
              </a:cxn>
              <a:cxn ang="0">
                <a:pos x="connsiteX2-5" y="connsiteY2-6"/>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37" name="Freeform: Shape 136" descr="Bracket line"/>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 name="connsiteX0-15" fmla="*/ 0 w 169722"/>
              <a:gd name="connsiteY0-16" fmla="*/ 334 h 219894"/>
              <a:gd name="connsiteX1-17" fmla="*/ 157369 w 169722"/>
              <a:gd name="connsiteY1-18" fmla="*/ 33464 h 219894"/>
              <a:gd name="connsiteX2-19" fmla="*/ 169722 w 169722"/>
              <a:gd name="connsiteY2-20" fmla="*/ 219894 h 219894"/>
            </a:gdLst>
            <a:ahLst/>
            <a:cxnLst>
              <a:cxn ang="0">
                <a:pos x="connsiteX0-1" y="connsiteY0-2"/>
              </a:cxn>
              <a:cxn ang="0">
                <a:pos x="connsiteX1-3" y="connsiteY1-4"/>
              </a:cxn>
              <a:cxn ang="0">
                <a:pos x="connsiteX2-5" y="connsiteY2-6"/>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38" name="Arc 137" descr="Bracket line"/>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39" name="Arc 138" descr="Bracket line"/>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11" name="Step" descr="Horizontal axis"/>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sp>
        <xdr:nvSpPr>
          <xdr:cNvPr id="110" name="Step" descr="Vertical axis"/>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Vertical axis</a:t>
            </a:r>
            <a:endPar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endParaRPr>
          </a:p>
        </xdr:txBody>
      </xdr:sp>
      <xdr:sp>
        <xdr:nvSpPr>
          <xdr:cNvPr id="115" name="Step" descr="Value axis"/>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(Value axis)</a:t>
            </a:r>
            <a:endPar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endParaRPr>
          </a:p>
        </xdr:txBody>
      </xdr:sp>
      <xdr:sp>
        <xdr:nvSpPr>
          <xdr:cNvPr id="142" name="Freeform: Shape 141" descr="Bracket line"/>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Lst>
            <a:ahLst/>
            <a:cxnLst>
              <a:cxn ang="0">
                <a:pos x="connsiteX0-1" y="connsiteY0-2"/>
              </a:cxn>
              <a:cxn ang="0">
                <a:pos x="connsiteX1-3" y="connsiteY1-4"/>
              </a:cxn>
              <a:cxn ang="0">
                <a:pos x="connsiteX2-5" y="connsiteY2-6"/>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43" name="Freeform: Shape 142" descr="Bracket line"/>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 name="connsiteX0-15" fmla="*/ 0 w 169722"/>
              <a:gd name="connsiteY0-16" fmla="*/ 334 h 219894"/>
              <a:gd name="connsiteX1-17" fmla="*/ 157369 w 169722"/>
              <a:gd name="connsiteY1-18" fmla="*/ 33464 h 219894"/>
              <a:gd name="connsiteX2-19" fmla="*/ 169722 w 169722"/>
              <a:gd name="connsiteY2-20" fmla="*/ 219894 h 219894"/>
            </a:gdLst>
            <a:ahLst/>
            <a:cxnLst>
              <a:cxn ang="0">
                <a:pos x="connsiteX0-1" y="connsiteY0-2"/>
              </a:cxn>
              <a:cxn ang="0">
                <a:pos x="connsiteX1-3" y="connsiteY1-4"/>
              </a:cxn>
              <a:cxn ang="0">
                <a:pos x="connsiteX2-5" y="connsiteY2-6"/>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44" name="Arc 143" descr="Bracket line"/>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45" name="Arc 144" descr="Bracket line"/>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xdr:cNvGrpSpPr/>
      </xdr:nvGrpSpPr>
      <xdr:grpSpPr>
        <a:xfrm>
          <a:off x="390525" y="13315950"/>
          <a:ext cx="5732780" cy="3267075"/>
          <a:chOff x="0" y="0"/>
          <a:chExt cx="5695950" cy="3267075"/>
        </a:xfrm>
      </xdr:grpSpPr>
      <xdr:sp>
        <xdr:nvSpPr>
          <xdr:cNvPr id="147" name="Rectangle 146" descr="Background"/>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48" name="Step" descr="More information on the web"/>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49" name="Straight Connector 148" descr="Decorative line"/>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50" name="Next Button" descr="Back to top, hyperlinked to cell A1">
            <a:hlinkClick xmlns:r="http://schemas.openxmlformats.org/officeDocument/2006/relationships" r:id="rId7"/>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Back to top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151" name="Straight Connector 150" descr="Decorative line"/>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52" name="Next Button" descr="Next step button, hyperlinked to next sheet">
            <a:hlinkClick xmlns:r="http://schemas.openxmlformats.org/officeDocument/2006/relationships" r:id="rId6"/>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53" name="Step" descr="Create a chart from start to finish, hyperlinked to web">
            <a:hlinkClick xmlns:r="http://schemas.openxmlformats.org/officeDocument/2006/relationships" r:id="rId8"/>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Create a chart from start to finish</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54" name="Graphic 22" descr="Arrow">
            <a:hlinkClick xmlns:r="http://schemas.openxmlformats.org/officeDocument/2006/relationships" r:id="rId8"/>
          </xdr:cNvPr>
          <xdr:cNvPicPr>
            <a:picLocks noChangeAspect="1"/>
          </xdr:cNvPicPr>
        </xdr:nvPicPr>
        <xdr:blipFill>
          <a:blip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xdr:nvSpPr>
          <xdr:cNvPr id="155" name="Step" descr="Create a combo chart with a secondary axis, hyperlinked to web">
            <a:hlinkClick xmlns:r="http://schemas.openxmlformats.org/officeDocument/2006/relationships" r:id="rId11"/>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Create a combo chart with a secondary axis</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56" name="Graphic 22" descr="Arrow">
            <a:hlinkClick xmlns:r="http://schemas.openxmlformats.org/officeDocument/2006/relationships" r:id="rId11"/>
          </xdr:cNvPr>
          <xdr:cNvPicPr>
            <a:picLocks noChangeAspect="1"/>
          </xdr:cNvPicPr>
        </xdr:nvPicPr>
        <xdr:blipFill>
          <a:blip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xdr:nvSpPr>
          <xdr:cNvPr id="157" name="Step" descr="Available chart types in Office, hyperlinked to web">
            <a:hlinkClick xmlns:r="http://schemas.openxmlformats.org/officeDocument/2006/relationships" r:id="rId12"/>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Available chart types in Office</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58" name="Graphic 22" descr="Arrow">
            <a:hlinkClick xmlns:r="http://schemas.openxmlformats.org/officeDocument/2006/relationships" r:id="rId12"/>
          </xdr:cNvPr>
          <xdr:cNvPicPr>
            <a:picLocks noChangeAspect="1"/>
          </xdr:cNvPicPr>
        </xdr:nvPicPr>
        <xdr:blipFill>
          <a:blip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xdr:cNvGrpSpPr/>
      </xdr:nvGrpSpPr>
      <xdr:grpSpPr>
        <a:xfrm>
          <a:off x="12212320" y="13391515"/>
          <a:ext cx="1508760" cy="1143635"/>
          <a:chOff x="11627124" y="13830299"/>
          <a:chExt cx="1447800" cy="1143001"/>
        </a:xfrm>
      </xdr:grpSpPr>
      <xdr:sp>
        <xdr:nvSpPr>
          <xdr:cNvPr id="160" name="Freeform: Shape 159" descr="Bracket line"/>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Lst>
            <a:ahLst/>
            <a:cxnLst>
              <a:cxn ang="0">
                <a:pos x="connsiteX0-1" y="connsiteY0-2"/>
              </a:cxn>
              <a:cxn ang="0">
                <a:pos x="connsiteX1-3" y="connsiteY1-4"/>
              </a:cxn>
              <a:cxn ang="0">
                <a:pos x="connsiteX2-5" y="connsiteY2-6"/>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61" name="Freeform: Shape 160" descr="Bracket line"/>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1" fmla="*/ 0 w 273326"/>
              <a:gd name="connsiteY0-2" fmla="*/ 193 h 217696"/>
              <a:gd name="connsiteX1-3" fmla="*/ 157369 w 273326"/>
              <a:gd name="connsiteY1-4" fmla="*/ 33323 h 217696"/>
              <a:gd name="connsiteX2-5" fmla="*/ 165652 w 273326"/>
              <a:gd name="connsiteY2-6" fmla="*/ 207258 h 217696"/>
              <a:gd name="connsiteX3-7" fmla="*/ 273326 w 273326"/>
              <a:gd name="connsiteY3-8" fmla="*/ 198976 h 217696"/>
              <a:gd name="connsiteX0-9" fmla="*/ 0 w 167704"/>
              <a:gd name="connsiteY0-10" fmla="*/ 193 h 207258"/>
              <a:gd name="connsiteX1-11" fmla="*/ 157369 w 167704"/>
              <a:gd name="connsiteY1-12" fmla="*/ 33323 h 207258"/>
              <a:gd name="connsiteX2-13" fmla="*/ 165652 w 167704"/>
              <a:gd name="connsiteY2-14" fmla="*/ 207258 h 207258"/>
              <a:gd name="connsiteX0-15" fmla="*/ 0 w 169722"/>
              <a:gd name="connsiteY0-16" fmla="*/ 334 h 219894"/>
              <a:gd name="connsiteX1-17" fmla="*/ 157369 w 169722"/>
              <a:gd name="connsiteY1-18" fmla="*/ 33464 h 219894"/>
              <a:gd name="connsiteX2-19" fmla="*/ 169722 w 169722"/>
              <a:gd name="connsiteY2-20" fmla="*/ 219894 h 219894"/>
            </a:gdLst>
            <a:ahLst/>
            <a:cxnLst>
              <a:cxn ang="0">
                <a:pos x="connsiteX0-1" y="connsiteY0-2"/>
              </a:cxn>
              <a:cxn ang="0">
                <a:pos x="connsiteX1-3" y="connsiteY1-4"/>
              </a:cxn>
              <a:cxn ang="0">
                <a:pos x="connsiteX2-5" y="connsiteY2-6"/>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62" name="Arc 161" descr="Bracket line"/>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63" name="Arc 162" descr="Bracket line"/>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xdr:nvSpPr>
          <xdr:cNvPr id="164" name="Step" descr="Data that supports the secondary axis above"/>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xdr:cNvGrpSpPr/>
      </xdr:nvGrpSpPr>
      <xdr:grpSpPr>
        <a:xfrm>
          <a:off x="7399020" y="14668500"/>
          <a:ext cx="3124200" cy="1219200"/>
          <a:chOff x="7096125" y="15201900"/>
          <a:chExt cx="3000375" cy="1219200"/>
        </a:xfrm>
      </xdr:grpSpPr>
      <xdr:sp>
        <xdr:nvSpPr>
          <xdr:cNvPr id="165" name="Step" descr="EXTRA CREDIT&#10;Try making a combo chart. Select the data above, and then click Insert &gt; Recommended Charts. At the top, click the All Charts tab, and then click Combo at the bottom. On the right, click the Secondary Axis checkbox for Food sales"/>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anose="020B0502040204020203"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anose="020B0502040204020203" pitchFamily="34" charset="0"/>
              <a:cs typeface="Segoe UI Light" panose="020B0502040204020203" pitchFamily="34" charset="0"/>
            </a:endParaRPr>
          </a:p>
          <a:p>
            <a:pPr lvl="0">
              <a:defRPr/>
            </a:pPr>
            <a:r>
              <a:rPr lang="en-US" sz="1100" kern="0">
                <a:solidFill>
                  <a:schemeClr val="bg2">
                    <a:lumMod val="25000"/>
                  </a:schemeClr>
                </a:solidFill>
                <a:ea typeface="Segoe UI" panose="020B0502040204020203" pitchFamily="34" charset="0"/>
                <a:cs typeface="Segoe UI Light" panose="020B0502040204020203" pitchFamily="34" charset="0"/>
              </a:rPr>
              <a:t>Try making a combo</a:t>
            </a:r>
            <a:r>
              <a:rPr lang="en-US" sz="1100" kern="0" baseline="0">
                <a:solidFill>
                  <a:schemeClr val="bg2">
                    <a:lumMod val="25000"/>
                  </a:schemeClr>
                </a:solidFill>
                <a:ea typeface="Segoe UI" panose="020B0502040204020203"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anose="020B0502040204020203" pitchFamily="34" charset="0"/>
                <a:cs typeface="Segoe UI Light" panose="020B0502040204020203" pitchFamily="34" charset="0"/>
              </a:rPr>
              <a:t>Insert</a:t>
            </a:r>
            <a:r>
              <a:rPr lang="en-US" sz="1100" kern="0" baseline="0">
                <a:solidFill>
                  <a:schemeClr val="bg2">
                    <a:lumMod val="25000"/>
                  </a:schemeClr>
                </a:solidFill>
                <a:ea typeface="Segoe UI" panose="020B0502040204020203" pitchFamily="34" charset="0"/>
                <a:cs typeface="Segoe UI Light" panose="020B0502040204020203" pitchFamily="34" charset="0"/>
              </a:rPr>
              <a:t> &gt; </a:t>
            </a:r>
            <a:r>
              <a:rPr lang="en-US" sz="1100" b="1" kern="0" baseline="0">
                <a:solidFill>
                  <a:schemeClr val="bg2">
                    <a:lumMod val="25000"/>
                  </a:schemeClr>
                </a:solidFill>
                <a:ea typeface="Segoe UI" panose="020B0502040204020203" pitchFamily="34" charset="0"/>
                <a:cs typeface="Segoe UI Light" panose="020B0502040204020203" pitchFamily="34" charset="0"/>
              </a:rPr>
              <a:t>Recommended Charts</a:t>
            </a:r>
            <a:r>
              <a:rPr lang="en-US" sz="1100" kern="0" baseline="0">
                <a:solidFill>
                  <a:schemeClr val="bg2">
                    <a:lumMod val="25000"/>
                  </a:schemeClr>
                </a:solidFill>
                <a:ea typeface="Segoe UI" panose="020B0502040204020203" pitchFamily="34" charset="0"/>
                <a:cs typeface="Segoe UI Light" panose="020B0502040204020203" pitchFamily="34" charset="0"/>
              </a:rPr>
              <a:t>. At the top, click the </a:t>
            </a:r>
            <a:r>
              <a:rPr lang="en-US" sz="1100" b="1" kern="0" baseline="0">
                <a:solidFill>
                  <a:schemeClr val="bg2">
                    <a:lumMod val="25000"/>
                  </a:schemeClr>
                </a:solidFill>
                <a:ea typeface="Segoe UI" panose="020B0502040204020203" pitchFamily="34" charset="0"/>
                <a:cs typeface="Segoe UI Light" panose="020B0502040204020203" pitchFamily="34" charset="0"/>
              </a:rPr>
              <a:t>All Charts </a:t>
            </a:r>
            <a:r>
              <a:rPr lang="en-US" sz="1100" kern="0" baseline="0">
                <a:solidFill>
                  <a:schemeClr val="bg2">
                    <a:lumMod val="25000"/>
                  </a:schemeClr>
                </a:solidFill>
                <a:ea typeface="Segoe UI" panose="020B0502040204020203" pitchFamily="34" charset="0"/>
                <a:cs typeface="Segoe UI Light" panose="020B0502040204020203" pitchFamily="34" charset="0"/>
              </a:rPr>
              <a:t>tab, and then click </a:t>
            </a:r>
            <a:r>
              <a:rPr lang="en-US" sz="1100" b="1" kern="0" baseline="0">
                <a:solidFill>
                  <a:schemeClr val="bg2">
                    <a:lumMod val="25000"/>
                  </a:schemeClr>
                </a:solidFill>
                <a:ea typeface="Segoe UI" panose="020B0502040204020203" pitchFamily="34" charset="0"/>
                <a:cs typeface="Segoe UI Light" panose="020B0502040204020203" pitchFamily="34" charset="0"/>
              </a:rPr>
              <a:t>Combo</a:t>
            </a:r>
            <a:r>
              <a:rPr lang="en-US" sz="1100" kern="0" baseline="0">
                <a:solidFill>
                  <a:schemeClr val="bg2">
                    <a:lumMod val="25000"/>
                  </a:schemeClr>
                </a:solidFill>
                <a:ea typeface="Segoe UI" panose="020B0502040204020203"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anose="020B0502040204020203" pitchFamily="34" charset="0"/>
                <a:cs typeface="Segoe UI Light" panose="020B0502040204020203" pitchFamily="34" charset="0"/>
              </a:rPr>
              <a:t>Food sales</a:t>
            </a:r>
            <a:r>
              <a:rPr lang="en-US" sz="1100" b="0" kern="0" baseline="0">
                <a:solidFill>
                  <a:schemeClr val="bg2">
                    <a:lumMod val="25000"/>
                  </a:schemeClr>
                </a:solidFill>
                <a:ea typeface="Segoe UI" panose="020B0502040204020203" pitchFamily="34" charset="0"/>
                <a:cs typeface="Segoe UI Light" panose="020B0502040204020203" pitchFamily="34" charset="0"/>
              </a:rPr>
              <a:t>.</a:t>
            </a:r>
            <a:endParaRPr lang="en-US" sz="1100" b="0" i="0">
              <a:solidFill>
                <a:schemeClr val="bg2">
                  <a:lumMod val="25000"/>
                </a:schemeClr>
              </a:solidFill>
              <a:effectLst/>
              <a:latin typeface="+mn-lt"/>
              <a:ea typeface="Segoe UI" panose="020B0502040204020203" pitchFamily="34" charset="0"/>
              <a:cs typeface="Segoe UI Light" panose="020B0502040204020203" pitchFamily="34" charset="0"/>
            </a:endParaRPr>
          </a:p>
        </xdr:txBody>
      </xdr:sp>
      <xdr:pic>
        <xdr:nvPicPr>
          <xdr:cNvPr id="166" name="Graphic 263" descr="Ribbon"/>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xdr:cNvGrpSpPr/>
      </xdr:nvGrpSpPr>
      <xdr:grpSpPr>
        <a:xfrm>
          <a:off x="333375" y="266700"/>
          <a:ext cx="5732780" cy="4619625"/>
          <a:chOff x="0" y="52174"/>
          <a:chExt cx="5695950" cy="4619625"/>
        </a:xfrm>
      </xdr:grpSpPr>
      <xdr:sp>
        <xdr:nvSpPr>
          <xdr:cNvPr id="98" name="Rectangle 97" descr="Background"/>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99" name="Step" descr="Summarize data with PivotTables"/>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anose="020B0502040204020203"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00" name="Straight Connector 99" descr="Decorative line"/>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01" name="Next Button" descr="Dive down for more detail">
            <a:hlinkClick xmlns:r="http://schemas.openxmlformats.org/officeDocument/2006/relationships" r:id="rId1"/>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Dive down for more detail</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102" name="Straight Connector 101" descr="Decorative line"/>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03" name="Next Button" descr="Next step button, hyperlinked to next sheet">
            <a:hlinkClick xmlns:r="http://schemas.openxmlformats.org/officeDocument/2006/relationships" r:id="rId2"/>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4" name="Step" descr="Look at the Date, Salesperson, Product and Amount columns. Can you quickly identify which product is the most profitable? Or which salesperson is the leading seller? That’s where the PivotTable below can help"/>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5" name="Oval 104" descr="1"/>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06" name="Step" descr="When we created the PivotTable, we clicked a few buttons so that the data could be summarized. Now we know which product is the most profitable"/>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When we created the PivotTable, we clicked a few buttons so that the data could be summarized. Now we know which product is the most profitable.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7" name="Oval 106" descr="2"/>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08" name="Step" descr="Now you’ll pivot the data so that you can find out which salesperson is the leading seller.  Click any cell inside the PivotTable, and then click Show Field List"/>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09" name="Oval 108" descr="3"/>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10" name="Step" descr="The PivotTable Fields pane appears. At the bottom of the pane, under Rows, click Product and then click Remove Field"/>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1" name="Oval 110" descr="4"/>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112" name="Step" descr="At the top of the pane, click the checkbox for Salesperson. Now you can see who’s the leading salesperson"/>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Now you can see who’s the leading salesperson.</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3" name="Oval 112" descr="5"/>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xdr:cNvGrpSpPr/>
      </xdr:nvGrpSpPr>
      <xdr:grpSpPr>
        <a:xfrm>
          <a:off x="390525" y="5524500"/>
          <a:ext cx="5732780" cy="5736590"/>
          <a:chOff x="390525" y="5943600"/>
          <a:chExt cx="5695950" cy="5647502"/>
        </a:xfrm>
      </xdr:grpSpPr>
      <xdr:sp>
        <xdr:nvSpPr>
          <xdr:cNvPr id="124" name="Rectangle 123" descr="Background"/>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25" name="Step" descr="Create a PivotTable"/>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lang="en-US" sz="2200" b="0" kern="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26" name="Straight Connector 125" descr="Decorative line"/>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xdr:nvCxnSpPr>
          <xdr:cNvPr id="134" name="Straight Connector 133" descr="Decorative line"/>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27" name="Step" descr="Now you’ll create the PivotTable yourself so that you know how to make one when you need to summarize data"/>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Now you’ll create the PivotTable yourself so that you know how to make one when you need to summarize data.</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28" name="Step" descr="Click a cell inside the data on the right, and then on the Insert menu, click PivotTable"/>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endParaRPr lang="en-US" sz="1100">
              <a:latin typeface="Segoe UI" panose="020B0502040204020203" pitchFamily="34" charset="0"/>
              <a:cs typeface="Segoe UI" panose="020B0502040204020203" pitchFamily="34" charset="0"/>
            </a:endParaRPr>
          </a:p>
        </xdr:txBody>
      </xdr:sp>
      <xdr:sp>
        <xdr:nvSpPr>
          <xdr:cNvPr id="129" name="Oval 128" descr="1"/>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endParaRPr lang="en-US" sz="1600">
              <a:latin typeface="Segoe UI Semibold" panose="020B0702040204020203" pitchFamily="34" charset="0"/>
              <a:cs typeface="Segoe UI Semibold" panose="020B0702040204020203" pitchFamily="34" charset="0"/>
            </a:endParaRPr>
          </a:p>
        </xdr:txBody>
      </xdr:sp>
      <xdr:sp>
        <xdr:nvSpPr>
          <xdr:cNvPr id="130" name="Step" descr="In the dialog that appears, click Existing Worksheet, and then type C42 in the Location box. Click OK"/>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endParaRPr lang="en-US" sz="1100">
              <a:latin typeface="Segoe UI" panose="020B0502040204020203" pitchFamily="34" charset="0"/>
              <a:cs typeface="Segoe UI" panose="020B0502040204020203" pitchFamily="34" charset="0"/>
            </a:endParaRPr>
          </a:p>
        </xdr:txBody>
      </xdr:sp>
      <xdr:sp>
        <xdr:nvSpPr>
          <xdr:cNvPr id="131" name="Oval 130" descr="2"/>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endParaRPr lang="en-US" sz="1600">
              <a:latin typeface="Segoe UI Semibold" panose="020B0702040204020203" pitchFamily="34" charset="0"/>
              <a:cs typeface="Segoe UI Semibold" panose="020B0702040204020203" pitchFamily="34" charset="0"/>
            </a:endParaRPr>
          </a:p>
        </xdr:txBody>
      </xdr:sp>
      <xdr:sp>
        <xdr:nvSpPr>
          <xdr:cNvPr id="132" name="Step" descr="The PivotTable Fields pane appears on the right"/>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xdr:nvSpPr>
          <xdr:cNvPr id="133" name="Oval 132" descr="3"/>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endParaRPr lang="en-US" sz="1600">
              <a:latin typeface="Segoe UI Semibold" panose="020B0702040204020203" pitchFamily="34" charset="0"/>
              <a:cs typeface="Segoe UI Semibold" panose="020B0702040204020203" pitchFamily="34" charset="0"/>
            </a:endParaRPr>
          </a:p>
        </xdr:txBody>
      </xdr:sp>
      <xdr:sp>
        <xdr:nvSpPr>
          <xdr:cNvPr id="116" name="Step" descr="At the top of the pane, click the checkbox for Product. &#10;When you do that, the Product field gets added to the Rows area at the bottom of the pane. And, the product data appears as Row labels in the new PivotTable"/>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in the new PivotTable.</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7" name="Oval 116" descr="4"/>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endParaRPr lang="en-US" sz="1600">
              <a:latin typeface="Segoe UI Semibold" panose="020B0702040204020203" pitchFamily="34" charset="0"/>
              <a:cs typeface="Segoe UI Semibold" panose="020B0702040204020203" pitchFamily="34" charset="0"/>
            </a:endParaRPr>
          </a:p>
        </xdr:txBody>
      </xdr:sp>
      <xdr:sp>
        <xdr:nvSpPr>
          <xdr:cNvPr id="118" name="Step" descr="At the top of the pane, click the checkbox for Amount.&#10;When you do that, the Amount field will get added to the Values area at the bottom of the pane. And, at the same time the amounts are totaled for each product in the PivotTable"/>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19" name="Oval 118" descr="5"/>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endParaRPr lang="en-US" sz="1600">
              <a:latin typeface="Segoe UI Semibold" panose="020B0702040204020203" pitchFamily="34" charset="0"/>
              <a:cs typeface="Segoe UI Semibold" panose="020B0702040204020203" pitchFamily="34" charset="0"/>
            </a:endParaRPr>
          </a:p>
        </xdr:txBody>
      </xdr:sp>
      <xdr:sp>
        <xdr:nvSpPr>
          <xdr:cNvPr id="120" name="Step" descr="Congratulations, you made a PivotTable. But there is a lot more you can do. So click the link at the bottom of this sheet if you want to learn more"/>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lick the link at the bottom of this sheet if you want to learn more.</a:t>
            </a:r>
            <a:endParaRPr lang="en-US" sz="1100"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21" name="Oval 120" descr="6"/>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endParaRPr lang="en-US" sz="1600">
              <a:latin typeface="Segoe UI Semibold" panose="020B0702040204020203" pitchFamily="34" charset="0"/>
              <a:cs typeface="Segoe UI Semibold" panose="020B0702040204020203" pitchFamily="34" charset="0"/>
            </a:endParaRPr>
          </a:p>
        </xdr:txBody>
      </xdr:sp>
      <xdr:pic>
        <xdr:nvPicPr>
          <xdr:cNvPr id="122" name="Picture 121" descr="Product checkbox"/>
          <xdr:cNvPicPr>
            <a:picLocks noChangeAspect="1"/>
          </xdr:cNvPicPr>
        </xdr:nvPicPr>
        <xdr:blipFill>
          <a:blip r:embed="rId3"/>
          <a:srcRect l="32297" t="41954" r="34689" b="37356"/>
          <a:stretch>
            <a:fillRect/>
          </a:stretch>
        </xdr:blipFill>
        <xdr:spPr>
          <a:xfrm>
            <a:off x="4586287" y="8747096"/>
            <a:ext cx="657225" cy="171450"/>
          </a:xfrm>
          <a:prstGeom prst="rect">
            <a:avLst/>
          </a:prstGeom>
        </xdr:spPr>
      </xdr:pic>
      <xdr:pic>
        <xdr:nvPicPr>
          <xdr:cNvPr id="123" name="Picture 122" descr="Amount checkbox"/>
          <xdr:cNvPicPr>
            <a:picLocks noChangeAspect="1"/>
          </xdr:cNvPicPr>
        </xdr:nvPicPr>
        <xdr:blipFill>
          <a:blip r:embed="rId3"/>
          <a:srcRect l="32297" t="63848" r="34689" b="15462"/>
          <a:stretch>
            <a:fillRect/>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xdr:cNvGrpSpPr/>
      </xdr:nvGrpSpPr>
      <xdr:grpSpPr>
        <a:xfrm>
          <a:off x="394335" y="11407775"/>
          <a:ext cx="5732780" cy="2971800"/>
          <a:chOff x="0" y="1"/>
          <a:chExt cx="5695950" cy="3005750"/>
        </a:xfrm>
      </xdr:grpSpPr>
      <xdr:sp>
        <xdr:nvSpPr>
          <xdr:cNvPr id="136" name="Rectangle 135" descr="Background"/>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xdr:nvSpPr>
          <xdr:cNvPr id="137" name="Step" descr="More information on the web"/>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anose="020B0502040204020203"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138" name="Straight Connector 137" descr="Decorative line"/>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39" name="Next Button" descr="Back to top, hyperlinked to cell A1">
            <a:hlinkClick xmlns:r="http://schemas.openxmlformats.org/officeDocument/2006/relationships" r:id="rId4"/>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Back to top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cxnSp>
        <xdr:nvCxnSpPr>
          <xdr:cNvPr id="140" name="Straight Connector 139" descr="Decorative line"/>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xdr:nvSpPr>
          <xdr:cNvPr id="141" name="Next Button" descr="Next step button, hyperlinked to next sheet">
            <a:hlinkClick xmlns:r="http://schemas.openxmlformats.org/officeDocument/2006/relationships" r:id="rId2"/>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anose="020B0502040204020203" pitchFamily="34" charset="0"/>
                <a:ea typeface="Segoe UI" panose="020B0502040204020203" pitchFamily="34" charset="0"/>
                <a:cs typeface="Segoe UI" panose="020B0502040204020203" pitchFamily="34" charset="0"/>
              </a:rPr>
              <a:t>Next step</a:t>
            </a:r>
            <a:endParaRPr lang="en-US" sz="1200">
              <a:solidFill>
                <a:srgbClr val="0B744D"/>
              </a:solidFill>
              <a:latin typeface="Segoe UI" panose="020B0502040204020203" pitchFamily="34" charset="0"/>
              <a:ea typeface="Segoe UI" panose="020B0502040204020203" pitchFamily="34" charset="0"/>
              <a:cs typeface="Segoe UI" panose="020B0502040204020203" pitchFamily="34" charset="0"/>
            </a:endParaRPr>
          </a:p>
        </xdr:txBody>
      </xdr:sp>
      <xdr:sp>
        <xdr:nvSpPr>
          <xdr:cNvPr id="142" name="Step" descr="Create a PivotTable to analyze worksheet data, hyperlinked to web">
            <a:hlinkClick xmlns:r="http://schemas.openxmlformats.org/officeDocument/2006/relationships" r:id="rId5"/>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Create a PivotTable to analyze worksheet data</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43" name="Graphic 22" descr="Arrow">
            <a:hlinkClick xmlns:r="http://schemas.openxmlformats.org/officeDocument/2006/relationships" r:id="rId5"/>
          </xdr:cNvPr>
          <xdr:cNvPicPr>
            <a:picLocks noChangeAspect="1"/>
          </xdr:cNvPicPr>
        </xdr:nvPicPr>
        <xdr:blipFill>
          <a:blip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xdr:nvSpPr>
          <xdr:cNvPr id="144" name="Step" descr="Use the Field List to arrange fields in a PivotTable, hyperlinked to web">
            <a:hlinkClick xmlns:r="http://schemas.openxmlformats.org/officeDocument/2006/relationships" r:id="rId8"/>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rPr>
              <a:t>Use the Field List to arrange fields in a PivotTable</a:t>
            </a:r>
            <a:endParaRPr lang="en-US" sz="1100" u="sng" kern="0">
              <a:solidFill>
                <a:schemeClr val="tx1">
                  <a:lumMod val="75000"/>
                  <a:lumOff val="25000"/>
                </a:schemeClr>
              </a:solidFill>
              <a:latin typeface="Segoe UI" panose="020B0502040204020203" pitchFamily="34" charset="0"/>
              <a:ea typeface="Segoe UI" panose="020B0502040204020203" pitchFamily="34" charset="0"/>
              <a:cs typeface="Segoe UI" panose="020B0502040204020203" pitchFamily="34" charset="0"/>
            </a:endParaRPr>
          </a:p>
        </xdr:txBody>
      </xdr:sp>
      <xdr:pic>
        <xdr:nvPicPr>
          <xdr:cNvPr id="145" name="Graphic 22" descr="Arrow">
            <a:hlinkClick xmlns:r="http://schemas.openxmlformats.org/officeDocument/2006/relationships" r:id="rId8"/>
          </xdr:cNvPr>
          <xdr:cNvPicPr>
            <a:picLocks noChangeAspect="1"/>
          </xdr:cNvPicPr>
        </xdr:nvPicPr>
        <xdr:blipFill>
          <a:blip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PivotTable Arrow" descr="Arrow pointing towards Pivot Table"/>
        <xdr:cNvGrpSpPr/>
      </xdr:nvGrpSpPr>
      <xdr:grpSpPr>
        <a:xfrm>
          <a:off x="6950710" y="2451100"/>
          <a:ext cx="1445260" cy="669290"/>
          <a:chOff x="6810375" y="2584916"/>
          <a:chExt cx="1404987" cy="669195"/>
        </a:xfrm>
      </xdr:grpSpPr>
      <xdr:sp>
        <xdr:nvSpPr>
          <xdr:cNvPr id="69" name="Arc 68" descr="Arrow"/>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xdr:nvSpPr>
          <xdr:cNvPr id="70" name="Step" descr="PivotTable"/>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defRPr/>
            </a:pPr>
            <a:r>
              <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rPr>
              <a:t>PivotTable</a:t>
            </a:r>
            <a:endParaRPr kumimoji="0" lang="en-US" sz="1100" b="0" i="0" u="none" strike="noStrike" kern="0" cap="none" spc="0" normalizeH="0" baseline="0" noProof="0">
              <a:ln>
                <a:noFill/>
              </a:ln>
              <a:solidFill>
                <a:schemeClr val="bg2">
                  <a:lumMod val="25000"/>
                </a:schemeClr>
              </a:solidFill>
              <a:effectLst/>
              <a:uLnTx/>
              <a:uFillTx/>
              <a:latin typeface="+mn-lt"/>
              <a:ea typeface="Segoe UI" panose="020B0502040204020203" pitchFamily="34" charset="0"/>
              <a:cs typeface="Segoe UI Light" panose="020B0502040204020203" pitchFamily="34" charset="0"/>
            </a:endParaRPr>
          </a:p>
        </xdr:txBody>
      </xdr:sp>
    </xdr:grp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202165</xdr:colOff>
      <xdr:row>14</xdr:row>
      <xdr:rowOff>83872</xdr:rowOff>
    </xdr:from>
    <xdr:to>
      <xdr:col>6</xdr:col>
      <xdr:colOff>50651</xdr:colOff>
      <xdr:row>14</xdr:row>
      <xdr:rowOff>83872</xdr:rowOff>
    </xdr:to>
    <xdr:cxnSp>
      <xdr:nvCxnSpPr>
        <xdr:cNvPr id="44" name="Straight Connector 43" descr="Decorative line"/>
        <xdr:cNvCxnSpPr/>
      </xdr:nvCxnSpPr>
      <xdr:spPr>
        <a:xfrm>
          <a:off x="822960" y="3322320"/>
          <a:ext cx="8975725"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xdr:cNvGrpSpPr/>
      </xdr:nvGrpSpPr>
      <xdr:grpSpPr>
        <a:xfrm>
          <a:off x="171450" y="285750"/>
          <a:ext cx="9761220" cy="5730240"/>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xdr:cNvGrpSpPr/>
        </xdr:nvGrpSpPr>
        <xdr:grpSpPr>
          <a:xfrm>
            <a:off x="171451" y="285750"/>
            <a:ext cx="9309411" cy="5730553"/>
            <a:chOff x="171451" y="285750"/>
            <a:chExt cx="9309411" cy="5730553"/>
          </a:xfrm>
        </xdr:grpSpPr>
        <xdr:grpSp>
          <xdr:nvGrpSpPr>
            <xdr:cNvPr id="3" name="Group 2"/>
            <xdr:cNvGrpSpPr/>
          </xdr:nvGrpSpPr>
          <xdr:grpSpPr>
            <a:xfrm>
              <a:off x="171451" y="285750"/>
              <a:ext cx="9309411" cy="5730553"/>
              <a:chOff x="171451" y="285750"/>
              <a:chExt cx="9309411" cy="5730553"/>
            </a:xfrm>
          </xdr:grpSpPr>
          <xdr:sp>
            <xdr:nvSpPr>
              <xdr:cNvPr id="27" name="Rectangle 26" descr="Background"/>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xdr:nvSpPr>
              <xdr:cNvPr id="28" name="Rectangle 27" descr="Background"/>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xdr:nvSpPr>
            <xdr:cNvPr id="31" name="Welcome Message" descr="Keep going. There are lots more ways to simplify your work:"/>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anose="020B0502040204020203"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anose="020B0502040204020203" pitchFamily="34" charset="0"/>
                <a:cs typeface="Segoe UI Light" panose="020B0502040204020203" pitchFamily="34" charset="0"/>
              </a:endParaRPr>
            </a:p>
          </xdr:txBody>
        </xdr:sp>
        <xdr:sp>
          <xdr:nvSpPr>
            <xdr:cNvPr id="32" name="Welcome Message" descr="More questions about Excel?"/>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anose="020B0502040204020203" pitchFamily="34" charset="0"/>
                  <a:ea typeface="Segoe UI" panose="020B0502040204020203" pitchFamily="34" charset="0"/>
                  <a:cs typeface="Segoe UI" panose="020B0502040204020203" pitchFamily="34" charset="0"/>
                </a:rPr>
                <a:t>More questions about Excel?</a:t>
              </a:r>
              <a:endParaRPr lang="en-US" sz="2600" b="0">
                <a:latin typeface="Segoe UI Light" panose="020B0502040204020203" pitchFamily="34" charset="0"/>
                <a:ea typeface="Segoe UI" panose="020B0502040204020203" pitchFamily="34" charset="0"/>
                <a:cs typeface="Segoe UI" panose="020B0502040204020203" pitchFamily="34" charset="0"/>
              </a:endParaRPr>
            </a:p>
          </xdr:txBody>
        </xdr:sp>
        <xdr:pic>
          <xdr:nvPicPr>
            <xdr:cNvPr id="41" name="Picture 40"/>
            <xdr:cNvPicPr>
              <a:picLocks noChangeAspect="1"/>
            </xdr:cNvPicPr>
          </xdr:nvPicPr>
          <xdr:blipFill>
            <a:blip r:embed="rId1"/>
            <a:srcRect/>
            <a:stretch>
              <a:fillRect/>
            </a:stretch>
          </xdr:blipFill>
          <xdr:spPr>
            <a:xfrm>
              <a:off x="2219858" y="1573643"/>
              <a:ext cx="685267" cy="789547"/>
            </a:xfrm>
            <a:prstGeom prst="rect">
              <a:avLst/>
            </a:prstGeom>
          </xdr:spPr>
        </xdr:pic>
        <xdr:sp>
          <xdr:nvSpPr>
            <xdr:cNvPr id="42" name="Welcome Message" descr="Click the Tell Me button and type what you want to know"/>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anose="020B0502040204020203"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anose="020B0502040204020203"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anose="020B0502040204020203" pitchFamily="34" charset="0"/>
                  <a:cs typeface="Segoe UI Light" panose="020B0502040204020203" pitchFamily="34" charset="0"/>
                </a:rPr>
                <a:t>button to find out more about Excel.</a:t>
              </a:r>
              <a:endParaRPr lang="en-US" sz="1600" b="0" i="0" baseline="0">
                <a:solidFill>
                  <a:schemeClr val="tx1">
                    <a:lumMod val="75000"/>
                    <a:lumOff val="25000"/>
                  </a:schemeClr>
                </a:solidFill>
                <a:effectLst/>
                <a:latin typeface="Segoe UI Light" panose="020B0502040204020203" pitchFamily="34" charset="0"/>
                <a:ea typeface="Segoe UI" panose="020B0502040204020203" pitchFamily="34" charset="0"/>
                <a:cs typeface="Segoe UI Light" panose="020B0502040204020203" pitchFamily="34" charset="0"/>
              </a:endParaRPr>
            </a:p>
          </xdr:txBody>
        </xdr:sp>
        <xdr:cxnSp>
          <xdr:nvCxnSpPr>
            <xdr:cNvPr id="45" name="Straight Connector 44" descr="Decorative line"/>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xdr:nvSpPr>
            <xdr:cNvPr id="38" name="TextBox 37" descr="Learn more">
              <a:hlinkClick xmlns:r="http://schemas.openxmlformats.org/officeDocument/2006/relationships" r:id="rId2"/>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xdr:nvSpPr>
            <xdr:cNvPr id="39" name="TextBox 38" descr="Learn more">
              <a:hlinkClick xmlns:r="http://schemas.openxmlformats.org/officeDocument/2006/relationships" r:id="rId3"/>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xdr:nvSpPr>
            <xdr:cNvPr id="40" name="TextBox 39" descr="Learn more">
              <a:hlinkClick xmlns:r="http://schemas.openxmlformats.org/officeDocument/2006/relationships" r:id="rId4"/>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xdr:nvSpPr>
            <xdr:cNvPr id="48" name="TextBox 47" descr="Community&#10;Ask questions and connect with other Excel fans"/>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endParaRPr lang="en-US" sz="1400" baseline="0">
                <a:solidFill>
                  <a:srgbClr val="217346"/>
                </a:solidFill>
                <a:effectLst/>
                <a:latin typeface="Segoe UI Light" panose="020B0502040204020203" pitchFamily="34" charset="0"/>
                <a:ea typeface="+mn-ea"/>
                <a:cs typeface="Segoe UI Light" panose="020B0502040204020203" pitchFamily="34" charset="0"/>
              </a:endParaRP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endPar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endParaRPr>
            </a:p>
          </xdr:txBody>
        </xdr:sp>
        <xdr:sp>
          <xdr:nvSpPr>
            <xdr:cNvPr id="50" name="TextBox 49" descr="LinkedIn Learning&#10;Video courses for all levels—from beginner to advanced. Take at your own pace"/>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endParaRPr lang="en-US" sz="1400" baseline="0">
                <a:solidFill>
                  <a:srgbClr val="217346"/>
                </a:solidFill>
                <a:effectLst/>
                <a:latin typeface="Segoe UI Light" panose="020B0502040204020203" pitchFamily="34" charset="0"/>
                <a:ea typeface="+mn-ea"/>
                <a:cs typeface="Segoe UI Light" panose="020B0502040204020203" pitchFamily="34" charset="0"/>
              </a:endParaRP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endPar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endParaRPr>
            </a:p>
          </xdr:txBody>
        </xdr:sp>
        <xdr:pic>
          <xdr:nvPicPr>
            <xdr:cNvPr id="60" name="Picture 59" descr="Computer"/>
            <xdr:cNvPicPr>
              <a:picLocks noChangeAspect="1"/>
            </xdr:cNvPicPr>
          </xdr:nvPicPr>
          <xdr:blipFill>
            <a:blip r:embed="rId5">
              <a:extLst>
                <a:ext uri="{28A0092B-C50C-407E-A947-70E740481C1C}">
                  <a14:useLocalDpi xmlns:a14="http://schemas.microsoft.com/office/drawing/2010/main" val="0"/>
                </a:ext>
              </a:extLst>
            </a:blip>
            <a:srcRect/>
            <a:stretch>
              <a:fillRect/>
            </a:stretch>
          </xdr:blipFill>
          <xdr:spPr>
            <a:xfrm>
              <a:off x="1104901" y="3554479"/>
              <a:ext cx="895350" cy="600076"/>
            </a:xfrm>
            <a:prstGeom prst="rect">
              <a:avLst/>
            </a:prstGeom>
          </xdr:spPr>
        </xdr:pic>
        <xdr:sp>
          <xdr:nvSpPr>
            <xdr:cNvPr id="35" name="TextBox 34" descr="What else is new?&#10;Office 365 subscribers get continual updates and new features"/>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endParaRPr lang="en-US" sz="1400" baseline="0">
                <a:solidFill>
                  <a:srgbClr val="217346"/>
                </a:solidFill>
                <a:effectLst/>
                <a:latin typeface="Segoe UI Light" panose="020B0502040204020203" pitchFamily="34" charset="0"/>
                <a:ea typeface="+mn-ea"/>
                <a:cs typeface="Segoe UI Light" panose="020B0502040204020203" pitchFamily="34" charset="0"/>
              </a:endParaRP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xdr:cNvPicPr>
              <a:picLocks noChangeAspect="1"/>
            </xdr:cNvPicPr>
          </xdr:nvPicPr>
          <xdr:blipFill>
            <a:blip r:embed="rId6"/>
            <a:stretch>
              <a:fillRect/>
            </a:stretch>
          </xdr:blipFill>
          <xdr:spPr>
            <a:xfrm>
              <a:off x="3952875" y="3467216"/>
              <a:ext cx="926984" cy="774603"/>
            </a:xfrm>
            <a:prstGeom prst="rect">
              <a:avLst/>
            </a:prstGeom>
          </xdr:spPr>
        </xdr:pic>
      </xdr:grpSp>
      <xdr:grpSp>
        <xdr:nvGrpSpPr>
          <xdr:cNvPr id="57" name="Group 56" descr="What else is new?"/>
          <xdr:cNvGrpSpPr/>
        </xdr:nvGrpSpPr>
        <xdr:grpSpPr>
          <a:xfrm>
            <a:off x="6717588" y="3461037"/>
            <a:ext cx="974505" cy="786961"/>
            <a:chOff x="6717588" y="3592566"/>
            <a:chExt cx="974505" cy="786961"/>
          </a:xfrm>
        </xdr:grpSpPr>
        <xdr:pic>
          <xdr:nvPicPr>
            <xdr:cNvPr id="49" name="Graphic 48" descr="Newspaper"/>
            <xdr:cNvPicPr>
              <a:picLocks noChangeAspect="1"/>
            </xdr:cNvPicPr>
          </xdr:nvPicPr>
          <xdr:blipFill>
            <a:blip r:embed="rId7">
              <a:extLst>
                <a:ext uri="{96DAC541-7B7A-43D3-8B79-37D633B846F1}">
                  <asvg:svgBlip xmlns:asvg="http://schemas.microsoft.com/office/drawing/2016/SVG/main" r:embed="rId8"/>
                </a:ext>
              </a:extLst>
            </a:blip>
            <a:stretch>
              <a:fillRect/>
            </a:stretch>
          </xdr:blipFill>
          <xdr:spPr>
            <a:xfrm>
              <a:off x="6873201" y="3769928"/>
              <a:ext cx="669283" cy="609599"/>
            </a:xfrm>
            <a:prstGeom prst="rect">
              <a:avLst/>
            </a:prstGeom>
          </xdr:spPr>
        </xdr:pic>
        <xdr:grpSp>
          <xdr:nvGrpSpPr>
            <xdr:cNvPr id="56" name="Group 55" descr="Radiating lines"/>
            <xdr:cNvGrpSpPr/>
          </xdr:nvGrpSpPr>
          <xdr:grpSpPr>
            <a:xfrm>
              <a:off x="6717588" y="3592566"/>
              <a:ext cx="974505" cy="414995"/>
              <a:chOff x="6717588" y="3592566"/>
              <a:chExt cx="974505" cy="414995"/>
            </a:xfrm>
          </xdr:grpSpPr>
          <xdr:cxnSp>
            <xdr:nvCxnSpPr>
              <xdr:cNvPr id="51" name="Straight Connector 50" descr="Line"/>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xdr:nvCxnSpPr>
              <xdr:cNvPr id="52" name="Straight Connector 51" descr="Line"/>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xdr:nvCxnSpPr>
              <xdr:cNvPr id="53" name="Straight Connector 52" descr="Line"/>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xdr:nvCxnSpPr>
              <xdr:cNvPr id="54" name="Straight Connector 53" descr="Line"/>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xdr:nvCxnSpPr>
              <xdr:cNvPr id="55" name="Straight Connector 54" descr="Line"/>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6" refreshedVersion="8" minRefreshableVersion="3" refreshedDate="45842.5640997685" refreshedBy="Author" recordCount="6">
  <cacheSource type="worksheet">
    <worksheetSource name="PivotTableData"/>
  </cacheSource>
  <cacheFields count="4">
    <cacheField name="Date" numFmtId="180"/>
    <cacheField name="Salesperson" numFmtId="0"/>
    <cacheField name="Product" numFmtId="0">
      <sharedItems count="3">
        <s v="Beer"/>
        <s v="Wine"/>
        <s v="Soda"/>
      </sharedItems>
    </cacheField>
    <cacheField name="Amount" numFmtId="179"/>
  </cacheFields>
</pivotCacheDefinition>
</file>

<file path=xl/pivotCache/pivotCacheRecords1.xml><?xml version="1.0" encoding="utf-8"?>
<pivotCacheRecords xmlns="http://schemas.openxmlformats.org/spreadsheetml/2006/main" xmlns:r="http://schemas.openxmlformats.org/officeDocument/2006/relationships" count="6">
  <r>
    <d v="2025-05-08T00:00:00"/>
    <s v="Anne"/>
    <x v="0"/>
    <n v="1400"/>
  </r>
  <r>
    <d v="2025-05-13T00:00:00"/>
    <s v="Mark"/>
    <x v="1"/>
    <n v="1010"/>
  </r>
  <r>
    <d v="2025-05-30T00:00:00"/>
    <s v="Anne"/>
    <x v="0"/>
    <n v="750"/>
  </r>
  <r>
    <d v="2025-06-03T00:00:00"/>
    <s v="Mark"/>
    <x v="2"/>
    <n v="510"/>
  </r>
  <r>
    <d v="2025-06-23T00:00:00"/>
    <s v="Mariya"/>
    <x v="2"/>
    <n v="1600"/>
  </r>
  <r>
    <d v="2025-07-04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Sample" cacheId="0" autoFormatId="1" applyNumberFormats="0" applyBorderFormats="0" applyFontFormats="0" applyPatternFormats="0" applyAlignmentFormats="0" applyWidthHeightFormats="1" dataCaption="Values" updatedVersion="8" minRefreshableVersion="3" createdVersion="6" useAutoFormatting="1" indent="0" outline="1" outlineData="1" showDrill="1" multipleFieldFilters="0">
  <location ref="E11:F15" firstHeaderRow="1" firstDataRow="1" firstDataCol="1"/>
  <pivotFields count="4">
    <pivotField subtotalTop="0" numFmtId="180" showAll="0"/>
    <pivotField subtotalTop="0" showAll="0"/>
    <pivotField axis="axisRow" subtotalTop="0" showAll="0">
      <items count="4">
        <item x="0"/>
        <item x="2"/>
        <item x="1"/>
        <item t="default"/>
      </items>
    </pivotField>
    <pivotField dataField="1" subtotalTop="0" numFmtId="184" showAll="0"/>
  </pivotFields>
  <rowFields count="1">
    <field x="2"/>
  </rowFields>
  <rowItems count="4">
    <i>
      <x/>
    </i>
    <i>
      <x v="1"/>
    </i>
    <i>
      <x v="2"/>
    </i>
    <i t="grand">
      <x/>
    </i>
  </rowItems>
  <colItems count="1">
    <i/>
  </colItems>
  <dataFields count="1">
    <dataField name="Sum of Amount" fld="3" baseField="2" baseItem="1" numFmtId="177"/>
  </dataFields>
  <formats count="1">
    <format dxfId="0">
      <pivotArea outline="0" collapsedLevelsAreSubtotals="1" fieldPosition="0"/>
    </format>
  </formats>
  <pivotTableStyleInfo name="PivotTable Style 1"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2" name="Sort" displayName="Sort" ref="C31:F37">
  <autoFilter xmlns:etc="http://www.wps.cn/officeDocument/2017/etCustomData" ref="C31:F37" etc:filterBottomFollowUsedRange="0"/>
  <tableColumns count="4">
    <tableColumn id="1" name="Expense date" totalsRowLabel="Total"/>
    <tableColumn id="2" name="Employee"/>
    <tableColumn id="4" name="Food"/>
    <tableColumn id="5" name="Hotel" totalsRowFunction="sum"/>
  </tableColumns>
  <tableStyleInfo name="CustomTableStyle" showFirstColumn="0" showLastColumn="0" showRowStripes="1" showColumnStripes="0"/>
</table>
</file>

<file path=xl/tables/table2.xml><?xml version="1.0" encoding="utf-8"?>
<table xmlns="http://schemas.openxmlformats.org/spreadsheetml/2006/main" id="13" name="Filter" displayName="Filter" ref="C49:F55">
  <autoFilter xmlns:etc="http://www.wps.cn/officeDocument/2017/etCustomData" ref="C49:F55" etc:filterBottomFollowUsedRange="0">
    <filterColumn colId="2">
      <customFilters>
        <customFilter operator="greaterThan" val="25"/>
      </customFilters>
    </filterColumn>
    <filterColumn colId="3">
      <dynamicFilter type="aboveAverage" val="2701" maxVal="0"/>
    </filterColumn>
  </autoFilter>
  <tableColumns count="4">
    <tableColumn id="1" name="Expense date" totalsRowLabel="Total"/>
    <tableColumn id="2" name="Employee"/>
    <tableColumn id="4" name="Food"/>
    <tableColumn id="5" name="Hotel" totalsRowFunction="sum"/>
  </tableColumns>
  <tableStyleInfo name="CustomTableStyle" showFirstColumn="0" showLastColumn="0" showRowStripes="1" showColumnStripes="0"/>
</table>
</file>

<file path=xl/tables/table3.xml><?xml version="1.0" encoding="utf-8"?>
<table xmlns="http://schemas.openxmlformats.org/spreadsheetml/2006/main" id="9" name="Table9" displayName="Table9" ref="C5:G13" totalsRowShown="0">
  <autoFilter xmlns:etc="http://www.wps.cn/officeDocument/2017/etCustomData" ref="C5:G13" etc:filterBottomFollowUsedRange="0"/>
  <tableColumns count="5">
    <tableColumn id="1" name="Department"/>
    <tableColumn id="2" name="Category"/>
    <tableColumn id="3" name="Oct"/>
    <tableColumn id="4" name="Nov"/>
    <tableColumn id="5" name="Dec"/>
  </tableColumns>
  <tableStyleInfo name="TableStylePreset3_Accent1" showFirstColumn="0" showLastColumn="0" showRowStripes="1" showColumnStripes="0"/>
</table>
</file>

<file path=xl/tables/table4.xml><?xml version="1.0" encoding="utf-8"?>
<table xmlns="http://schemas.openxmlformats.org/spreadsheetml/2006/main" id="2" name="CalculatedColumns" displayName="CalculatedColumns" ref="C33:H41" totalsRowShown="0">
  <autoFilter xmlns:etc="http://www.wps.cn/officeDocument/2017/etCustomData" ref="C33:H41" etc:filterBottomFollowUsedRange="0"/>
  <tableColumns count="6">
    <tableColumn id="1" name="Department"/>
    <tableColumn id="2" name="Category"/>
    <tableColumn id="3" name="Oct"/>
    <tableColumn id="4" name="Nov"/>
    <tableColumn id="5" name="Dec"/>
    <tableColumn id="6" name="Total" dataDxfId="1">
      <calculatedColumnFormula>SUM(E34:G34)</calculatedColumnFormula>
    </tableColumn>
  </tableColumns>
  <tableStyleInfo name="CustomTableStyle" showFirstColumn="0" showLastColumn="0" showRowStripes="1" showColumnStripes="0"/>
</table>
</file>

<file path=xl/tables/table5.xml><?xml version="1.0" encoding="utf-8"?>
<table xmlns="http://schemas.openxmlformats.org/spreadsheetml/2006/main" id="3" name="TotalRows" displayName="TotalRows" ref="C53:E62" totalsRowCount="1">
  <autoFilter xmlns:etc="http://www.wps.cn/officeDocument/2017/etCustomData" ref="C53:E61" etc:filterBottomFollowUsedRange="0"/>
  <tableColumns count="3">
    <tableColumn id="1" name="Department" totalsRowLabel="Total"/>
    <tableColumn id="2" name="Category"/>
    <tableColumn id="6" name="Sales" totalsRowFunction="average"/>
  </tableColumns>
  <tableStyleInfo name="CustomTableStyle" showFirstColumn="0" showLastColumn="0" showRowStripes="1" showColumnStripes="0"/>
</table>
</file>

<file path=xl/tables/table6.xml><?xml version="1.0" encoding="utf-8"?>
<table xmlns="http://schemas.openxmlformats.org/spreadsheetml/2006/main" id="14" name="Table14" displayName="Table14" ref="C5:I13" totalsRowShown="0">
  <tableColumns count="7">
    <tableColumn id="1" name="Department"/>
    <tableColumn id="2" name="Category"/>
    <tableColumn id="3" name="Oct"/>
    <tableColumn id="4" name="Nov"/>
    <tableColumn id="5" name="Dec"/>
    <tableColumn id="6" name="Column1"/>
    <tableColumn id="7" name="Column2"/>
  </tableColumns>
  <tableStyleInfo name="CustomTableStyle" showFirstColumn="0" showLastColumn="0" showRowStripes="1" showColumnStripes="0"/>
</table>
</file>

<file path=xl/tables/table7.xml><?xml version="1.0" encoding="utf-8"?>
<table xmlns="http://schemas.openxmlformats.org/spreadsheetml/2006/main" id="15" name="Table15" displayName="Table15" ref="C31:D43" totalsRowShown="0">
  <autoFilter xmlns:etc="http://www.wps.cn/officeDocument/2017/etCustomData" ref="C31:D43" etc:filterBottomFollowUsedRange="0"/>
  <tableColumns count="2">
    <tableColumn id="1" name="Food" dataDxfId="2"/>
    <tableColumn id="2" name="Department" dataDxfId="3"/>
  </tableColumns>
  <tableStyleInfo name="CustomTableStyle" showFirstColumn="0" showLastColumn="0" showRowStripes="1" showColumnStripes="0"/>
</table>
</file>

<file path=xl/tables/table8.xml><?xml version="1.0" encoding="utf-8"?>
<table xmlns="http://schemas.openxmlformats.org/spreadsheetml/2006/main" id="18" name="Table18" displayName="Table18" ref="F31:F34" totalsRowShown="0">
  <autoFilter xmlns:etc="http://www.wps.cn/officeDocument/2017/etCustomData" ref="F31:F34" etc:filterBottomFollowUsedRange="0"/>
  <tableColumns count="1">
    <tableColumn id="1" name="Department"/>
  </tableColumns>
  <tableStyleInfo name="CustomTableStyle" showFirstColumn="0" showLastColumn="0" showRowStripes="1" showColumnStripes="0"/>
</table>
</file>

<file path=xl/tables/table9.xml><?xml version="1.0" encoding="utf-8"?>
<table xmlns="http://schemas.openxmlformats.org/spreadsheetml/2006/main" id="16" name="AnalyzeData" displayName="AnalyzeData" ref="C5:G13" totalsRowShown="0">
  <autoFilter xmlns:etc="http://www.wps.cn/officeDocument/2017/etCustomData" ref="C5:G13" etc:filterBottomFollowUsedRange="0"/>
  <sortState ref="C5:G13">
    <sortCondition ref="C6"/>
  </sortState>
  <tableColumns count="5">
    <tableColumn id="1" name="Department"/>
    <tableColumn id="2" name="Category"/>
    <tableColumn id="3" name="Oct"/>
    <tableColumn id="4" name="Nov"/>
    <tableColumn id="5" name="Dec"/>
  </tableColumns>
  <tableStyleInfo name="CustomTableStyle" showFirstColumn="0" showLastColumn="0" showRowStripes="1" showColumnStripes="0"/>
</table>
</file>

<file path=xl/tables/table10.xml><?xml version="1.0" encoding="utf-8"?>
<table xmlns="http://schemas.openxmlformats.org/spreadsheetml/2006/main" id="17" name="ChartData" displayName="ChartData" ref="C34:G42">
  <autoFilter xmlns:etc="http://www.wps.cn/officeDocument/2017/etCustomData" ref="C34:G42" etc:filterBottomFollowUsedRange="0"/>
  <tableColumns count="5">
    <tableColumn id="1" name="Department" totalsRowLabel="Total"/>
    <tableColumn id="2" name="Category"/>
    <tableColumn id="3" name="Oct"/>
    <tableColumn id="4" name="Nov"/>
    <tableColumn id="5" name="Dec" totalsRowFunction="sum"/>
  </tableColumns>
  <tableStyleInfo name="CustomTableStyle" showFirstColumn="0" showLastColumn="0" showRowStripes="1" showColumnStripes="0"/>
</table>
</file>

<file path=xl/tables/table11.xml><?xml version="1.0" encoding="utf-8"?>
<table xmlns="http://schemas.openxmlformats.org/spreadsheetml/2006/main" id="19" name="SparklineData" displayName="SparklineData" ref="C54:G62">
  <autoFilter xmlns:etc="http://www.wps.cn/officeDocument/2017/etCustomData" ref="C54:G62" etc:filterBottomFollowUsedRange="0"/>
  <tableColumns count="5">
    <tableColumn id="1" name="Department" totalsRowLabel="Total"/>
    <tableColumn id="2" name="Category"/>
    <tableColumn id="3" name="Oct"/>
    <tableColumn id="4" name="Nov"/>
    <tableColumn id="5" name="Dec" totalsRowFunction="sum"/>
  </tableColumns>
  <tableStyleInfo name="CustomTableStyle" showFirstColumn="0" showLastColumn="0" showRowStripes="1" showColumnStripes="0"/>
</table>
</file>

<file path=xl/tables/table12.xml><?xml version="1.0" encoding="utf-8"?>
<table xmlns="http://schemas.openxmlformats.org/spreadsheetml/2006/main" id="24" name="RecommendedChartData" displayName="RecommendedChartData" ref="C5:D11" totalsRowShown="0">
  <autoFilter xmlns:etc="http://www.wps.cn/officeDocument/2017/etCustomData" ref="C5:D11" etc:filterBottomFollowUsedRange="0"/>
  <tableColumns count="2">
    <tableColumn id="1" name="Year"/>
    <tableColumn id="2" name="Conference attendance"/>
  </tableColumns>
  <tableStyleInfo name="CustomTableStyle" showFirstColumn="0" showLastColumn="0" showRowStripes="1" showColumnStripes="0"/>
</table>
</file>

<file path=xl/tables/table13.xml><?xml version="1.0" encoding="utf-8"?>
<table xmlns="http://schemas.openxmlformats.org/spreadsheetml/2006/main" id="26" name="RecommendedChartData2" displayName="RecommendedChartData2" ref="D67:F73" totalsRowShown="0">
  <autoFilter xmlns:etc="http://www.wps.cn/officeDocument/2017/etCustomData" ref="D67:F73" etc:filterBottomFollowUsedRange="0"/>
  <tableColumns count="3">
    <tableColumn id="1" name="Date"/>
    <tableColumn id="2" name="Conference attendance"/>
    <tableColumn id="3" name="Food sales" dataDxfId="4"/>
  </tableColumns>
  <tableStyleInfo name="CustomTableStyle" showFirstColumn="0" showLastColumn="0" showRowStripes="1" showColumnStripes="0"/>
</table>
</file>

<file path=xl/tables/table14.xml><?xml version="1.0" encoding="utf-8"?>
<table xmlns="http://schemas.openxmlformats.org/spreadsheetml/2006/main" id="30" name="PivotTableData" displayName="PivotTableData" ref="C3:F9" totalsRowShown="0">
  <autoFilter xmlns:etc="http://www.wps.cn/officeDocument/2017/etCustomData" ref="C3:F9" etc:filterBottomFollowUsedRange="0"/>
  <tableColumns count="4">
    <tableColumn id="1" name="Date"/>
    <tableColumn id="2" name="Salesperson"/>
    <tableColumn id="3" name="Product"/>
    <tableColumn id="4" name="Amount" dataDxfId="5"/>
  </tableColumns>
  <tableStyleInfo name="CustomTableStyle" showFirstColumn="0" showLastColumn="0" showRowStripes="1" showColumnStripes="0"/>
</table>
</file>

<file path=xl/tables/table15.xml><?xml version="1.0" encoding="utf-8"?>
<table xmlns="http://schemas.openxmlformats.org/spreadsheetml/2006/main" id="5" name="PivotTableData2" displayName="PivotTableData2" ref="C34:F40" totalsRowShown="0">
  <autoFilter xmlns:etc="http://www.wps.cn/officeDocument/2017/etCustomData" ref="C34:F40" etc:filterBottomFollowUsedRange="0"/>
  <tableColumns count="4">
    <tableColumn id="1" name="Date" dataDxfId="6"/>
    <tableColumn id="2" name="Salesperson"/>
    <tableColumn id="3" name="Product"/>
    <tableColumn id="4" name="Amount" dataDxfId="7"/>
  </tableColumns>
  <tableStyleInfo name="Custom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5" Type="http://schemas.openxmlformats.org/officeDocument/2006/relationships/hyperlink" Target="https://go.microsoft.com/fwlink/?linkid=844737" TargetMode="External"/><Relationship Id="rId4" Type="http://schemas.openxmlformats.org/officeDocument/2006/relationships/hyperlink" Target="https://go.microsoft.com/fwlink/?linkid=844732" TargetMode="External"/><Relationship Id="rId3" Type="http://schemas.openxmlformats.org/officeDocument/2006/relationships/hyperlink" Target="https://go.microsoft.com/fwlink/?linkid=844727" TargetMode="External"/><Relationship Id="rId2" Type="http://schemas.openxmlformats.org/officeDocument/2006/relationships/hyperlink" Target="https://go.microsoft.com/fwlink/?linkid=844719"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go.microsoft.com/fwlink/?linkid=844745" TargetMode="External"/><Relationship Id="rId2" Type="http://schemas.openxmlformats.org/officeDocument/2006/relationships/hyperlink" Target="https://go.microsoft.com/fwlink/?linkid=844741" TargetMode="Externa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hyperlink" Target="mailto:Nancy.Smith@contoso.com" TargetMode="External"/><Relationship Id="rId7" Type="http://schemas.openxmlformats.org/officeDocument/2006/relationships/hyperlink" Target="https://go.microsoft.com/fwlink/?linkid=844740" TargetMode="External"/><Relationship Id="rId6" Type="http://schemas.openxmlformats.org/officeDocument/2006/relationships/hyperlink" Target="https://go.microsoft.com/fwlink/?linkid=844736" TargetMode="External"/><Relationship Id="rId5" Type="http://schemas.openxmlformats.org/officeDocument/2006/relationships/hyperlink" Target="https://go.microsoft.com/fwlink/?linkid=844733" TargetMode="External"/><Relationship Id="rId4" Type="http://schemas.openxmlformats.org/officeDocument/2006/relationships/hyperlink" Target="https://go.microsoft.com/fwlink/?linkid=844729" TargetMode="External"/><Relationship Id="rId3" Type="http://schemas.openxmlformats.org/officeDocument/2006/relationships/hyperlink" Target="https://go.microsoft.com/fwlink/?linkid=844751" TargetMode="External"/><Relationship Id="rId2" Type="http://schemas.openxmlformats.org/officeDocument/2006/relationships/hyperlink" Target="https://go.microsoft.com/fwlink/?linkid=844748" TargetMode="Externa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 Type="http://schemas.openxmlformats.org/officeDocument/2006/relationships/hyperlink" Target="https://go.microsoft.com/fwlink/?linkid=844743" TargetMode="External"/><Relationship Id="rId3" Type="http://schemas.openxmlformats.org/officeDocument/2006/relationships/hyperlink" Target="https://go.microsoft.com/fwlink/?linkid=844747" TargetMode="External"/><Relationship Id="rId2" Type="http://schemas.openxmlformats.org/officeDocument/2006/relationships/hyperlink" Target="https://go.microsoft.com/fwlink/?linkid=844752" TargetMode="Externa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6" Type="http://schemas.openxmlformats.org/officeDocument/2006/relationships/hyperlink" Target="https://go.microsoft.com/fwlink/?linkid=844746" TargetMode="External"/><Relationship Id="rId5" Type="http://schemas.openxmlformats.org/officeDocument/2006/relationships/hyperlink" Target="https://go.microsoft.com/fwlink/?linkid=844750" TargetMode="External"/><Relationship Id="rId4" Type="http://schemas.openxmlformats.org/officeDocument/2006/relationships/table" Target="../tables/table3.xml"/><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7" Type="http://schemas.openxmlformats.org/officeDocument/2006/relationships/hyperlink" Target="https://go.microsoft.com/fwlink/?linkid=844726" TargetMode="External"/><Relationship Id="rId6" Type="http://schemas.openxmlformats.org/officeDocument/2006/relationships/hyperlink" Target="https://go.microsoft.com/fwlink/?linkid=844728" TargetMode="External"/><Relationship Id="rId5" Type="http://schemas.openxmlformats.org/officeDocument/2006/relationships/hyperlink" Target="https://go.microsoft.com/fwlink/?linkid=844731" TargetMode="External"/><Relationship Id="rId4" Type="http://schemas.openxmlformats.org/officeDocument/2006/relationships/table" Target="../tables/table6.xml"/><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5" Type="http://schemas.openxmlformats.org/officeDocument/2006/relationships/hyperlink" Target="https://go.microsoft.com/fwlink/?linkid=844735" TargetMode="External"/><Relationship Id="rId4" Type="http://schemas.openxmlformats.org/officeDocument/2006/relationships/hyperlink" Target="https://go.microsoft.com/fwlink/?linkid=844742" TargetMode="External"/><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6" Type="http://schemas.openxmlformats.org/officeDocument/2006/relationships/hyperlink" Target="https://go.microsoft.com/fwlink/?linkid=844730" TargetMode="External"/><Relationship Id="rId5" Type="http://schemas.openxmlformats.org/officeDocument/2006/relationships/hyperlink" Target="https://go.microsoft.com/fwlink/?linkid=844725" TargetMode="External"/><Relationship Id="rId4" Type="http://schemas.openxmlformats.org/officeDocument/2006/relationships/table" Target="../tables/table11.xml"/><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6" Type="http://schemas.openxmlformats.org/officeDocument/2006/relationships/hyperlink" Target="https://go.microsoft.com/fwlink/?linkid=844734" TargetMode="External"/><Relationship Id="rId5" Type="http://schemas.openxmlformats.org/officeDocument/2006/relationships/hyperlink" Target="https://go.microsoft.com/fwlink/?linkid=844738" TargetMode="External"/><Relationship Id="rId4" Type="http://schemas.openxmlformats.org/officeDocument/2006/relationships/hyperlink" Target="https://go.microsoft.com/fwlink/?linkid=844739" TargetMode="External"/><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6" Type="http://schemas.openxmlformats.org/officeDocument/2006/relationships/hyperlink" Target="https://go.microsoft.com/fwlink/?linkid=844744" TargetMode="External"/><Relationship Id="rId5" Type="http://schemas.openxmlformats.org/officeDocument/2006/relationships/hyperlink" Target="https://go.microsoft.com/fwlink/?linkid=844749" TargetMode="External"/><Relationship Id="rId4" Type="http://schemas.openxmlformats.org/officeDocument/2006/relationships/table" Target="../tables/table15.xml"/><Relationship Id="rId3" Type="http://schemas.openxmlformats.org/officeDocument/2006/relationships/table" Target="../tables/table14.xml"/><Relationship Id="rId2" Type="http://schemas.openxmlformats.org/officeDocument/2006/relationships/drawing" Target="../drawings/drawing11.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4" Type="http://schemas.openxmlformats.org/officeDocument/2006/relationships/hyperlink" Target="http://go.microsoft.com/fwlink/?LinkId=846286" TargetMode="External"/><Relationship Id="rId3" Type="http://schemas.openxmlformats.org/officeDocument/2006/relationships/hyperlink" Target="http://go.microsoft.com/fwlink/?LinkId=844969" TargetMode="External"/><Relationship Id="rId2" Type="http://schemas.openxmlformats.org/officeDocument/2006/relationships/hyperlink" Target="http://go.microsoft.com/fwlink/?LinkId=846285" TargetMode="Externa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autoPageBreaks="0"/>
  </sheetPr>
  <dimension ref="A1:A5"/>
  <sheetViews>
    <sheetView showGridLines="0" topLeftCell="A4" workbookViewId="0">
      <selection activeCell="A1" sqref="A1"/>
    </sheetView>
  </sheetViews>
  <sheetFormatPr defaultColWidth="11.1090909090909" defaultRowHeight="20.25" customHeight="1" outlineLevelRow="4"/>
  <cols>
    <col min="1" max="1" width="129.663636363636" customWidth="1"/>
    <col min="2" max="2" width="3.55454545454545" customWidth="1"/>
  </cols>
  <sheetData>
    <row r="1" ht="15" customHeight="1" spans="1:1">
      <c r="A1" s="51" t="s">
        <v>0</v>
      </c>
    </row>
    <row r="2" ht="101" spans="1:1">
      <c r="A2" s="52" t="s">
        <v>1</v>
      </c>
    </row>
    <row r="3" ht="44" spans="1:1">
      <c r="A3" s="53" t="s">
        <v>2</v>
      </c>
    </row>
    <row r="4" ht="264" customHeight="1" spans="1:1">
      <c r="A4" s="54" t="s">
        <v>3</v>
      </c>
    </row>
    <row r="5" customHeight="1" spans="1:1">
      <c r="A5" s="53"/>
    </row>
  </sheetData>
  <pageMargins left="0.7" right="0.7" top="0.75" bottom="0.75" header="0.3" footer="0.3"/>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91"/>
  <sheetViews>
    <sheetView showGridLines="0" zoomScalePageLayoutView="125" topLeftCell="A78" workbookViewId="0">
      <selection activeCell="G78" sqref="G78"/>
    </sheetView>
  </sheetViews>
  <sheetFormatPr defaultColWidth="8.89090909090909" defaultRowHeight="15" customHeight="1" outlineLevelCol="6"/>
  <cols>
    <col min="1" max="1" width="12.6636363636364" style="4" customWidth="1"/>
    <col min="2" max="2" width="82.8909090909091" style="44" customWidth="1"/>
    <col min="3" max="16384" width="8.89090909090909" style="44"/>
  </cols>
  <sheetData>
    <row r="1" ht="60" customHeight="1" spans="1:7">
      <c r="A1" s="4" t="s">
        <v>4</v>
      </c>
      <c r="B1" s="47"/>
    </row>
    <row r="2" customHeight="1" spans="1:7">
      <c r="A2" s="4" t="s">
        <v>5</v>
      </c>
    </row>
    <row r="3" customHeight="1" spans="1:7">
      <c r="A3" s="4" t="s">
        <v>6</v>
      </c>
      <c r="B3" s="48"/>
      <c r="C3" s="15" t="s">
        <v>7</v>
      </c>
      <c r="D3" s="15" t="s">
        <v>8</v>
      </c>
      <c r="F3" s="15" t="s">
        <v>9</v>
      </c>
      <c r="G3" s="15" t="s">
        <v>8</v>
      </c>
    </row>
    <row r="4" customHeight="1" spans="1:7">
      <c r="A4" s="4" t="s">
        <v>10</v>
      </c>
      <c r="C4" s="16" t="s">
        <v>11</v>
      </c>
      <c r="D4" s="16">
        <v>50</v>
      </c>
      <c r="F4" s="16" t="s">
        <v>12</v>
      </c>
      <c r="G4" s="16">
        <v>50</v>
      </c>
    </row>
    <row r="5" s="43" customFormat="1" customHeight="1" spans="1:7">
      <c r="A5" s="4" t="s">
        <v>13</v>
      </c>
      <c r="C5" s="16" t="s">
        <v>14</v>
      </c>
      <c r="D5" s="16">
        <v>20</v>
      </c>
      <c r="F5" s="16" t="s">
        <v>15</v>
      </c>
      <c r="G5" s="16">
        <v>30</v>
      </c>
    </row>
    <row r="6" s="43" customFormat="1" customHeight="1" spans="1:7">
      <c r="A6" s="4" t="s">
        <v>16</v>
      </c>
      <c r="B6" s="49"/>
      <c r="C6" s="16" t="s">
        <v>17</v>
      </c>
      <c r="D6" s="16">
        <v>60</v>
      </c>
      <c r="F6" s="16" t="s">
        <v>18</v>
      </c>
      <c r="G6" s="16">
        <v>10</v>
      </c>
    </row>
    <row r="7" s="43" customFormat="1" customHeight="1" spans="1:7">
      <c r="A7" s="4" t="s">
        <v>19</v>
      </c>
      <c r="C7" s="16" t="s">
        <v>20</v>
      </c>
      <c r="D7" s="16">
        <v>40</v>
      </c>
      <c r="F7" s="16" t="s">
        <v>21</v>
      </c>
      <c r="G7" s="16">
        <v>50</v>
      </c>
    </row>
    <row r="8" s="43" customFormat="1" customHeight="1" spans="1:7">
      <c r="A8" s="4" t="s">
        <v>22</v>
      </c>
      <c r="D8" s="17">
        <f>SUM(D4:D7)</f>
        <v>170</v>
      </c>
      <c r="G8" s="17">
        <f>SUM(G4:G7)</f>
        <v>140</v>
      </c>
    </row>
    <row r="9" s="43" customFormat="1" customHeight="1" spans="1:7">
      <c r="A9" s="4" t="s">
        <v>23</v>
      </c>
    </row>
    <row r="10" s="43" customFormat="1" customHeight="1" spans="1:7">
      <c r="A10" s="4" t="s">
        <v>24</v>
      </c>
      <c r="C10" s="15" t="s">
        <v>25</v>
      </c>
      <c r="D10" s="15" t="s">
        <v>8</v>
      </c>
      <c r="F10" s="15" t="s">
        <v>25</v>
      </c>
      <c r="G10" s="15" t="s">
        <v>8</v>
      </c>
    </row>
    <row r="11" s="43" customFormat="1" customHeight="1" spans="1:7">
      <c r="A11" s="4" t="s">
        <v>26</v>
      </c>
      <c r="C11" s="16" t="s">
        <v>27</v>
      </c>
      <c r="D11" s="16">
        <v>50</v>
      </c>
      <c r="F11" s="16" t="s">
        <v>27</v>
      </c>
      <c r="G11" s="16">
        <v>50</v>
      </c>
    </row>
    <row r="12" s="43" customFormat="1" customHeight="1" spans="1:7">
      <c r="A12" s="4" t="s">
        <v>28</v>
      </c>
      <c r="C12" s="16" t="s">
        <v>29</v>
      </c>
      <c r="D12" s="16">
        <v>100</v>
      </c>
      <c r="F12" s="16" t="s">
        <v>29</v>
      </c>
      <c r="G12" s="16">
        <v>100</v>
      </c>
    </row>
    <row r="13" s="43" customFormat="1" customHeight="1" spans="1:7">
      <c r="A13" s="4" t="s">
        <v>30</v>
      </c>
      <c r="C13" s="16" t="s">
        <v>31</v>
      </c>
      <c r="D13" s="16">
        <v>40</v>
      </c>
      <c r="F13" s="16" t="s">
        <v>31</v>
      </c>
      <c r="G13" s="16">
        <v>40</v>
      </c>
    </row>
    <row r="14" s="43" customFormat="1" customHeight="1" spans="1:7">
      <c r="A14" s="4"/>
      <c r="C14" s="16" t="s">
        <v>32</v>
      </c>
      <c r="D14" s="16">
        <v>50</v>
      </c>
      <c r="F14" s="16" t="s">
        <v>32</v>
      </c>
      <c r="G14" s="16">
        <v>50</v>
      </c>
    </row>
    <row r="15" s="43" customFormat="1" customHeight="1" spans="1:7">
      <c r="A15" s="4"/>
      <c r="C15" s="16" t="s">
        <v>33</v>
      </c>
      <c r="D15" s="16">
        <v>20</v>
      </c>
      <c r="F15" s="16" t="s">
        <v>33</v>
      </c>
      <c r="G15" s="16">
        <v>20</v>
      </c>
    </row>
    <row r="16" s="43" customFormat="1" customHeight="1" spans="1:7">
      <c r="A16" s="4"/>
      <c r="D16" s="17">
        <f>SUMIF(D11:D15,"&gt;50")</f>
        <v>100</v>
      </c>
      <c r="G16" s="46">
        <f>SUM(G11,G13:G15)</f>
        <v>160</v>
      </c>
    </row>
    <row r="17" s="43" customFormat="1" customHeight="1" spans="1:1">
      <c r="A17" s="4"/>
    </row>
    <row r="18" s="43" customFormat="1" customHeight="1" spans="1:1">
      <c r="A18" s="4"/>
    </row>
    <row r="19" s="43" customFormat="1" customHeight="1" spans="1:1">
      <c r="A19" s="4"/>
    </row>
    <row r="20" s="43" customFormat="1" customHeight="1" spans="1:1">
      <c r="A20" s="4"/>
    </row>
    <row r="21" s="43" customFormat="1" customHeight="1" spans="1:1">
      <c r="A21" s="4"/>
    </row>
    <row r="22" s="43" customFormat="1" customHeight="1" spans="1:1">
      <c r="A22" s="4"/>
    </row>
    <row r="23" s="43" customFormat="1" customHeight="1" spans="1:1">
      <c r="A23" s="4"/>
    </row>
    <row r="24" s="43" customFormat="1" customHeight="1" spans="1:1">
      <c r="A24" s="4"/>
    </row>
    <row r="27" customHeight="1" spans="1:1">
      <c r="A27" s="4" t="s">
        <v>34</v>
      </c>
    </row>
    <row r="28" customHeight="1" spans="1:1">
      <c r="A28" s="4" t="s">
        <v>35</v>
      </c>
    </row>
    <row r="29" customHeight="1" spans="1:1">
      <c r="A29" s="4" t="s">
        <v>36</v>
      </c>
    </row>
    <row r="30" customHeight="1" spans="1:1">
      <c r="A30" s="4" t="s">
        <v>37</v>
      </c>
    </row>
    <row r="31" customHeight="1" spans="1:1">
      <c r="A31" s="4" t="s">
        <v>38</v>
      </c>
    </row>
    <row r="32" customHeight="1" spans="1:1">
      <c r="A32" s="4" t="s">
        <v>39</v>
      </c>
    </row>
    <row r="33" customHeight="1" spans="1:7">
      <c r="A33" s="4" t="s">
        <v>40</v>
      </c>
    </row>
    <row r="34" customHeight="1" spans="1:7">
      <c r="A34" s="4" t="s">
        <v>41</v>
      </c>
    </row>
    <row r="35" customHeight="1" spans="1:7">
      <c r="A35" s="4" t="s">
        <v>42</v>
      </c>
    </row>
    <row r="36" customHeight="1" spans="1:7">
      <c r="A36" s="4" t="s">
        <v>43</v>
      </c>
    </row>
    <row r="37" customHeight="1" spans="1:7">
      <c r="A37" s="4" t="s">
        <v>44</v>
      </c>
      <c r="C37" s="15" t="s">
        <v>7</v>
      </c>
      <c r="D37" s="15" t="s">
        <v>8</v>
      </c>
    </row>
    <row r="38" customHeight="1" spans="1:7">
      <c r="A38" s="4" t="s">
        <v>45</v>
      </c>
      <c r="C38" s="16" t="s">
        <v>11</v>
      </c>
      <c r="D38" s="16">
        <v>50</v>
      </c>
      <c r="E38" s="43"/>
    </row>
    <row r="39" customHeight="1" spans="1:7">
      <c r="A39" s="4" t="s">
        <v>46</v>
      </c>
      <c r="C39" s="16" t="s">
        <v>14</v>
      </c>
      <c r="D39" s="16">
        <v>20</v>
      </c>
      <c r="E39" s="43"/>
    </row>
    <row r="40" customHeight="1" spans="1:7">
      <c r="A40" s="4" t="s">
        <v>47</v>
      </c>
      <c r="C40" s="16" t="s">
        <v>17</v>
      </c>
      <c r="D40" s="16">
        <v>60</v>
      </c>
      <c r="E40" s="43"/>
    </row>
    <row r="41" customHeight="1" spans="1:7">
      <c r="A41" s="4" t="s">
        <v>48</v>
      </c>
      <c r="C41" s="16" t="s">
        <v>20</v>
      </c>
      <c r="D41" s="16">
        <v>40</v>
      </c>
      <c r="E41" s="43"/>
    </row>
    <row r="42" customHeight="1" spans="1:7">
      <c r="A42" s="4" t="s">
        <v>49</v>
      </c>
      <c r="C42" s="43"/>
      <c r="D42" s="17">
        <f>SUM(D38:D41)</f>
        <v>170</v>
      </c>
      <c r="E42" s="43"/>
      <c r="F42" s="43"/>
      <c r="G42" s="43"/>
    </row>
    <row r="43" customHeight="1" spans="1:7">
      <c r="A43" s="4" t="s">
        <v>50</v>
      </c>
    </row>
    <row r="47" customHeight="1" spans="1:7">
      <c r="C47" s="15" t="s">
        <v>25</v>
      </c>
      <c r="D47" s="15" t="s">
        <v>8</v>
      </c>
      <c r="E47" s="43"/>
      <c r="F47" s="15" t="s">
        <v>25</v>
      </c>
      <c r="G47" s="15" t="s">
        <v>8</v>
      </c>
    </row>
    <row r="48" customHeight="1" spans="1:7">
      <c r="C48" s="16" t="s">
        <v>51</v>
      </c>
      <c r="D48" s="16">
        <v>20</v>
      </c>
      <c r="E48" s="43"/>
      <c r="F48" s="16" t="s">
        <v>52</v>
      </c>
      <c r="G48" s="16">
        <v>20</v>
      </c>
    </row>
    <row r="49" customHeight="1" spans="3:7">
      <c r="C49" s="16"/>
      <c r="D49" s="16"/>
      <c r="E49" s="43"/>
      <c r="F49" s="16" t="s">
        <v>53</v>
      </c>
      <c r="G49" s="16">
        <v>10</v>
      </c>
    </row>
    <row r="50" customHeight="1" spans="3:7">
      <c r="C50" s="16"/>
      <c r="D50" s="16"/>
      <c r="E50" s="43"/>
      <c r="F50" s="16" t="s">
        <v>54</v>
      </c>
      <c r="G50" s="16">
        <v>10</v>
      </c>
    </row>
    <row r="51" customHeight="1" spans="3:7">
      <c r="C51" s="16"/>
      <c r="D51" s="16"/>
      <c r="E51" s="43"/>
      <c r="F51" s="16" t="s">
        <v>55</v>
      </c>
      <c r="G51" s="16">
        <v>40</v>
      </c>
    </row>
    <row r="53" customHeight="1" spans="3:7">
      <c r="E53" s="15" t="s">
        <v>56</v>
      </c>
    </row>
    <row r="54" customHeight="1" spans="3:7">
      <c r="E54" s="17">
        <f>SUM(D48,G48:G51,100)</f>
        <v>200</v>
      </c>
    </row>
    <row r="66" customHeight="1" spans="1:7">
      <c r="A66" s="4" t="s">
        <v>57</v>
      </c>
    </row>
    <row r="67" customHeight="1" spans="1:7">
      <c r="A67" s="4" t="s">
        <v>58</v>
      </c>
    </row>
    <row r="68" customHeight="1" spans="1:7">
      <c r="A68" s="4" t="s">
        <v>59</v>
      </c>
    </row>
    <row r="69" customHeight="1" spans="1:7">
      <c r="A69" s="4" t="s">
        <v>60</v>
      </c>
    </row>
    <row r="70" customHeight="1" spans="1:7">
      <c r="A70" s="4" t="s">
        <v>61</v>
      </c>
    </row>
    <row r="71" customHeight="1" spans="1:7">
      <c r="A71" s="4" t="s">
        <v>62</v>
      </c>
    </row>
    <row r="72" customHeight="1" spans="1:7">
      <c r="A72" s="4" t="s">
        <v>63</v>
      </c>
      <c r="C72" s="15" t="s">
        <v>25</v>
      </c>
      <c r="D72" s="15" t="s">
        <v>8</v>
      </c>
      <c r="F72" s="15" t="s">
        <v>25</v>
      </c>
      <c r="G72" s="15" t="s">
        <v>8</v>
      </c>
    </row>
    <row r="73" customHeight="1" spans="1:7">
      <c r="A73" s="5" t="s">
        <v>64</v>
      </c>
      <c r="C73" s="16" t="s">
        <v>27</v>
      </c>
      <c r="D73" s="16">
        <v>50</v>
      </c>
      <c r="F73" s="16" t="s">
        <v>27</v>
      </c>
      <c r="G73" s="16">
        <v>50</v>
      </c>
    </row>
    <row r="74" customHeight="1" spans="1:7">
      <c r="A74" s="4" t="s">
        <v>65</v>
      </c>
      <c r="C74" s="16" t="s">
        <v>29</v>
      </c>
      <c r="D74" s="16">
        <v>100</v>
      </c>
      <c r="F74" s="16" t="s">
        <v>29</v>
      </c>
      <c r="G74" s="16">
        <v>100</v>
      </c>
    </row>
    <row r="75" customHeight="1" spans="1:7">
      <c r="C75" s="16" t="s">
        <v>31</v>
      </c>
      <c r="D75" s="16">
        <v>40</v>
      </c>
      <c r="F75" s="16" t="s">
        <v>31</v>
      </c>
      <c r="G75" s="16">
        <v>40</v>
      </c>
    </row>
    <row r="76" customHeight="1" spans="1:7">
      <c r="C76" s="16" t="s">
        <v>32</v>
      </c>
      <c r="D76" s="16">
        <v>50</v>
      </c>
      <c r="F76" s="16" t="s">
        <v>32</v>
      </c>
      <c r="G76" s="16">
        <v>50</v>
      </c>
    </row>
    <row r="77" customHeight="1" spans="1:7">
      <c r="C77" s="16" t="s">
        <v>33</v>
      </c>
      <c r="D77" s="16">
        <v>20</v>
      </c>
      <c r="F77" s="16" t="s">
        <v>33</v>
      </c>
      <c r="G77" s="16">
        <v>20</v>
      </c>
    </row>
    <row r="78" customHeight="1" spans="1:7">
      <c r="D78" s="17">
        <f>SUMIF(D73:D77,"&gt;50")</f>
        <v>100</v>
      </c>
      <c r="F78" s="50"/>
      <c r="G78" s="46">
        <f>SUMIF(G73:G77,"&gt;=50")</f>
        <v>200</v>
      </c>
    </row>
    <row r="86" customHeight="1" spans="1:1">
      <c r="A86" s="4" t="s">
        <v>66</v>
      </c>
    </row>
    <row r="87" customHeight="1" spans="1:1">
      <c r="A87" s="4" t="s">
        <v>67</v>
      </c>
    </row>
    <row r="88" customHeight="1" spans="1:1">
      <c r="A88" s="4" t="s">
        <v>68</v>
      </c>
    </row>
    <row r="89" customHeight="1" spans="1:1">
      <c r="A89" s="4" t="s">
        <v>69</v>
      </c>
    </row>
    <row r="90" customHeight="1" spans="1:1">
      <c r="A90" s="4" t="s">
        <v>70</v>
      </c>
    </row>
    <row r="91" customHeight="1" spans="1:1">
      <c r="A91" s="4" t="s">
        <v>71</v>
      </c>
    </row>
  </sheetData>
  <hyperlinks>
    <hyperlink ref="A87" r:id="rId2" display="All about the SUM function" tooltip="Select to learn all about the SUM function from the web"/>
    <hyperlink ref="A88" r:id="rId3" display="All about the SUMIF function" tooltip="Select to learn all about the SUMIF function from the web"/>
    <hyperlink ref="A89" r:id="rId4" display="Use Excel as your calculator" tooltip="Select to learn how to use Excel as a calculator from the web"/>
    <hyperlink ref="A90" r:id="rId5" display="Free Excel training online" tooltip="Select to learn an overview of Free Excel training online from the web"/>
    <hyperlink ref="A71" location="'10. PivotTables'!A1" display="NOTE: If you find you are making a lot of SUMIF formulas, you might find that a PivotTable is a better solution. See the PivotTable worksheet for more information." tooltip="Select to go to PivotTable worksheet"/>
  </hyperlinks>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I67"/>
  <sheetViews>
    <sheetView showGridLines="0" zoomScalePageLayoutView="125" topLeftCell="A49" workbookViewId="0">
      <selection activeCell="B46" sqref="B46"/>
    </sheetView>
  </sheetViews>
  <sheetFormatPr defaultColWidth="8.89090909090909" defaultRowHeight="15" customHeight="1"/>
  <cols>
    <col min="1" max="1" width="12.6636363636364" style="4" customWidth="1"/>
    <col min="2" max="2" width="82.8909090909091" customWidth="1"/>
    <col min="3" max="16384" width="8.89090909090909" style="44"/>
  </cols>
  <sheetData>
    <row r="1" ht="60" customHeight="1" spans="1:9">
      <c r="A1" s="4" t="s">
        <v>72</v>
      </c>
    </row>
    <row r="2" customHeight="1" spans="1:9">
      <c r="A2" s="4" t="s">
        <v>73</v>
      </c>
    </row>
    <row r="3" customHeight="1" spans="1:9">
      <c r="A3" s="4" t="s">
        <v>74</v>
      </c>
      <c r="C3" s="15" t="s">
        <v>75</v>
      </c>
      <c r="D3" s="15" t="s">
        <v>76</v>
      </c>
      <c r="E3" s="15" t="s">
        <v>77</v>
      </c>
      <c r="F3" s="15" t="s">
        <v>76</v>
      </c>
      <c r="G3" s="15" t="s">
        <v>77</v>
      </c>
    </row>
    <row r="4" customHeight="1" spans="1:9">
      <c r="A4" s="4" t="s">
        <v>78</v>
      </c>
      <c r="C4" s="16">
        <v>50</v>
      </c>
      <c r="D4" s="16">
        <v>50</v>
      </c>
      <c r="E4" s="17">
        <f>SUM(C4:D4)</f>
        <v>100</v>
      </c>
      <c r="F4" s="16">
        <v>75</v>
      </c>
      <c r="G4" s="16">
        <f>SUM(E4:F4)</f>
        <v>175</v>
      </c>
    </row>
    <row r="5" s="43" customFormat="1" customHeight="1" spans="1:9">
      <c r="A5" s="4" t="s">
        <v>79</v>
      </c>
      <c r="B5"/>
      <c r="C5" s="16">
        <v>50</v>
      </c>
      <c r="D5" s="16">
        <v>60</v>
      </c>
      <c r="E5" s="17">
        <f>SUM(C5:D5)</f>
        <v>110</v>
      </c>
      <c r="F5" s="16">
        <v>75</v>
      </c>
      <c r="G5" s="16">
        <f>SUM(E5:F5)</f>
        <v>185</v>
      </c>
      <c r="H5" s="44"/>
      <c r="I5" s="44"/>
    </row>
    <row r="6" s="43" customFormat="1" customHeight="1" spans="1:9">
      <c r="A6" s="4" t="s">
        <v>80</v>
      </c>
      <c r="B6"/>
      <c r="C6" s="16">
        <v>50</v>
      </c>
      <c r="D6" s="16">
        <v>70</v>
      </c>
      <c r="E6" s="17">
        <f>SUM(C6:D6)</f>
        <v>120</v>
      </c>
      <c r="F6" s="16">
        <v>75</v>
      </c>
      <c r="G6" s="16">
        <f>SUM(E6:F6)</f>
        <v>195</v>
      </c>
      <c r="H6" s="44"/>
      <c r="I6" s="44"/>
    </row>
    <row r="7" s="43" customFormat="1" customHeight="1" spans="1:9">
      <c r="A7" s="4" t="s">
        <v>81</v>
      </c>
      <c r="B7"/>
      <c r="C7" s="16">
        <v>50</v>
      </c>
      <c r="D7" s="16">
        <v>80</v>
      </c>
      <c r="E7" s="17">
        <f>SUM(C7:D7)</f>
        <v>130</v>
      </c>
      <c r="F7" s="16">
        <v>75</v>
      </c>
      <c r="G7" s="16">
        <f>SUM(E7:F7)</f>
        <v>205</v>
      </c>
      <c r="H7" s="44"/>
      <c r="I7" s="44"/>
    </row>
    <row r="8" s="43" customFormat="1" customHeight="1" spans="1:9">
      <c r="A8" s="4" t="s">
        <v>82</v>
      </c>
      <c r="B8"/>
      <c r="C8" s="44"/>
      <c r="D8" s="44"/>
      <c r="E8" s="44"/>
      <c r="F8" s="44"/>
      <c r="G8" s="44"/>
      <c r="H8" s="44"/>
      <c r="I8" s="44"/>
    </row>
    <row r="9" s="43" customFormat="1" customHeight="1" spans="1:9">
      <c r="A9" s="4" t="s">
        <v>83</v>
      </c>
      <c r="B9"/>
      <c r="C9" s="44"/>
      <c r="D9" s="44"/>
      <c r="E9" s="44"/>
      <c r="F9" s="44"/>
      <c r="G9" s="44"/>
      <c r="H9" s="44"/>
      <c r="I9" s="44"/>
    </row>
    <row r="10" s="43" customFormat="1" customHeight="1" spans="1:9">
      <c r="A10" s="4"/>
      <c r="B10"/>
      <c r="C10" s="15" t="s">
        <v>75</v>
      </c>
      <c r="D10" s="15" t="s">
        <v>76</v>
      </c>
      <c r="E10" s="15" t="s">
        <v>77</v>
      </c>
      <c r="F10" s="15" t="s">
        <v>76</v>
      </c>
      <c r="G10" s="15" t="s">
        <v>77</v>
      </c>
      <c r="H10" s="44"/>
      <c r="I10" s="44"/>
    </row>
    <row r="11" s="43" customFormat="1" customHeight="1" spans="1:9">
      <c r="A11" s="4"/>
      <c r="B11"/>
      <c r="C11" s="16">
        <v>50</v>
      </c>
      <c r="D11" s="16">
        <v>50</v>
      </c>
      <c r="E11" s="16">
        <f>SUM(C11:D11)</f>
        <v>100</v>
      </c>
      <c r="F11" s="16">
        <v>75</v>
      </c>
      <c r="G11" s="16">
        <f>SUM(E11:F11)</f>
        <v>175</v>
      </c>
      <c r="H11" s="44"/>
      <c r="I11" s="44"/>
    </row>
    <row r="12" s="43" customFormat="1" customHeight="1" spans="1:9">
      <c r="A12" s="4"/>
      <c r="B12"/>
      <c r="C12" s="16">
        <v>50</v>
      </c>
      <c r="D12" s="16">
        <v>60</v>
      </c>
      <c r="E12" s="16">
        <f t="shared" ref="E12:E14" si="0">SUM(C12:D12)</f>
        <v>110</v>
      </c>
      <c r="F12" s="16">
        <v>75</v>
      </c>
      <c r="G12" s="16">
        <f t="shared" ref="G12:G14" si="1">SUM(E12:F12)</f>
        <v>185</v>
      </c>
      <c r="H12" s="44"/>
      <c r="I12" s="44"/>
    </row>
    <row r="13" s="43" customFormat="1" customHeight="1" spans="1:9">
      <c r="A13" s="4"/>
      <c r="B13"/>
      <c r="C13" s="16">
        <v>50</v>
      </c>
      <c r="D13" s="16">
        <v>70</v>
      </c>
      <c r="E13" s="16">
        <f t="shared" si="0"/>
        <v>120</v>
      </c>
      <c r="F13" s="16">
        <v>75</v>
      </c>
      <c r="G13" s="16">
        <f t="shared" si="1"/>
        <v>195</v>
      </c>
      <c r="H13" s="44"/>
      <c r="I13" s="44"/>
    </row>
    <row r="14" s="43" customFormat="1" customHeight="1" spans="1:9">
      <c r="A14" s="4"/>
      <c r="B14"/>
      <c r="C14" s="40">
        <v>50</v>
      </c>
      <c r="D14" s="40">
        <v>80</v>
      </c>
      <c r="E14" s="40">
        <f t="shared" si="0"/>
        <v>130</v>
      </c>
      <c r="F14" s="40">
        <v>75</v>
      </c>
      <c r="G14" s="40">
        <f t="shared" si="1"/>
        <v>205</v>
      </c>
      <c r="H14" s="44"/>
      <c r="I14" s="44"/>
    </row>
    <row r="15" s="43" customFormat="1" customHeight="1" spans="1:9">
      <c r="A15" s="4"/>
      <c r="B15"/>
      <c r="C15" s="17">
        <f>SUM(C11:C14)</f>
        <v>200</v>
      </c>
      <c r="D15" s="17">
        <f>SUM(D11:D14)</f>
        <v>260</v>
      </c>
      <c r="E15" s="17">
        <f>SUM(E11:E14)</f>
        <v>460</v>
      </c>
      <c r="F15" s="17">
        <f>SUM(F11:F14)</f>
        <v>300</v>
      </c>
      <c r="G15" s="17">
        <f>SUM(G11:G14)</f>
        <v>760</v>
      </c>
      <c r="H15" s="44"/>
      <c r="I15" s="44"/>
    </row>
    <row r="16" s="43" customFormat="1" customHeight="1" spans="1:9">
      <c r="A16" s="4"/>
      <c r="B16"/>
      <c r="H16" s="44"/>
      <c r="I16" s="44"/>
    </row>
    <row r="17" s="43" customFormat="1" customHeight="1" spans="1:9">
      <c r="A17" s="4"/>
      <c r="B17"/>
      <c r="H17" s="44"/>
      <c r="I17" s="44"/>
    </row>
    <row r="18" s="43" customFormat="1" customHeight="1" spans="1:9">
      <c r="A18" s="4"/>
      <c r="B18"/>
      <c r="C18" s="44"/>
      <c r="D18" s="44"/>
      <c r="E18" s="44"/>
      <c r="F18" s="44"/>
      <c r="G18" s="44"/>
      <c r="H18" s="44"/>
      <c r="I18" s="44"/>
    </row>
    <row r="19" s="43" customFormat="1" customHeight="1" spans="1:9">
      <c r="A19" s="4"/>
      <c r="B19"/>
      <c r="C19" s="44"/>
      <c r="D19" s="44"/>
      <c r="E19" s="44"/>
      <c r="F19" s="44"/>
      <c r="G19" s="44"/>
      <c r="H19" s="44"/>
      <c r="I19" s="44"/>
    </row>
    <row r="20" s="43" customFormat="1" customHeight="1" spans="1:9">
      <c r="A20" s="4"/>
      <c r="B20"/>
      <c r="C20" s="44"/>
      <c r="D20" s="44"/>
      <c r="E20" s="44"/>
      <c r="F20" s="44"/>
      <c r="G20" s="44"/>
      <c r="H20" s="44"/>
      <c r="I20" s="44"/>
    </row>
    <row r="21" s="43" customFormat="1" customHeight="1" spans="1:9">
      <c r="A21" s="4"/>
      <c r="B21"/>
      <c r="C21" s="44"/>
      <c r="D21" s="44"/>
      <c r="E21" s="44"/>
      <c r="F21" s="44"/>
      <c r="G21" s="44"/>
      <c r="H21" s="44"/>
      <c r="I21" s="44"/>
    </row>
    <row r="22" s="43" customFormat="1" customHeight="1" spans="1:9">
      <c r="A22" s="4"/>
      <c r="B22"/>
    </row>
    <row r="23" s="43" customFormat="1" customHeight="1" spans="1:9">
      <c r="A23" s="4"/>
      <c r="B23"/>
    </row>
    <row r="24" s="43" customFormat="1" customHeight="1" spans="1:9">
      <c r="A24" s="4"/>
      <c r="B24"/>
    </row>
    <row r="27" customHeight="1" spans="1:9">
      <c r="A27" s="4" t="s">
        <v>84</v>
      </c>
    </row>
    <row r="28" customHeight="1" spans="1:9">
      <c r="A28" s="4" t="s">
        <v>85</v>
      </c>
    </row>
    <row r="29" customHeight="1" spans="1:9">
      <c r="A29" s="4" t="s">
        <v>86</v>
      </c>
    </row>
    <row r="30" customHeight="1" spans="1:9">
      <c r="A30" s="4" t="s">
        <v>87</v>
      </c>
    </row>
    <row r="31" customHeight="1" spans="1:9">
      <c r="A31" s="4" t="s">
        <v>88</v>
      </c>
    </row>
    <row r="33" customHeight="1" spans="3:8">
      <c r="C33" s="15" t="s">
        <v>89</v>
      </c>
      <c r="D33" s="15" t="s">
        <v>90</v>
      </c>
      <c r="E33" s="15" t="s">
        <v>91</v>
      </c>
      <c r="F33" s="15" t="s">
        <v>92</v>
      </c>
    </row>
    <row r="34" customHeight="1" spans="3:8">
      <c r="C34" s="45" t="s">
        <v>93</v>
      </c>
      <c r="D34" s="45" t="s">
        <v>7</v>
      </c>
      <c r="E34" s="16" t="s">
        <v>94</v>
      </c>
      <c r="F34" s="16">
        <v>100</v>
      </c>
    </row>
    <row r="35" customHeight="1" spans="3:8">
      <c r="C35" s="45" t="s">
        <v>93</v>
      </c>
      <c r="D35" s="45" t="s">
        <v>7</v>
      </c>
      <c r="E35" s="16" t="s">
        <v>95</v>
      </c>
      <c r="F35" s="16">
        <v>200</v>
      </c>
    </row>
    <row r="36" customHeight="1" spans="3:8">
      <c r="C36" s="45" t="s">
        <v>93</v>
      </c>
      <c r="D36" s="45" t="s">
        <v>7</v>
      </c>
      <c r="E36" s="16" t="s">
        <v>96</v>
      </c>
      <c r="F36" s="16">
        <v>50</v>
      </c>
    </row>
    <row r="37" customHeight="1" spans="3:8">
      <c r="C37" s="45" t="s">
        <v>93</v>
      </c>
      <c r="D37" s="45" t="s">
        <v>7</v>
      </c>
      <c r="E37" s="16" t="s">
        <v>97</v>
      </c>
      <c r="F37" s="16">
        <v>100</v>
      </c>
    </row>
    <row r="46" customHeight="1" spans="3:8">
      <c r="C46" s="15"/>
      <c r="D46" s="15" t="s">
        <v>98</v>
      </c>
      <c r="E46" s="15" t="s">
        <v>99</v>
      </c>
      <c r="F46" s="15" t="s">
        <v>100</v>
      </c>
    </row>
    <row r="47" customHeight="1" spans="3:8">
      <c r="C47" s="45" t="s">
        <v>101</v>
      </c>
      <c r="D47" s="16">
        <v>35</v>
      </c>
      <c r="E47" s="16">
        <v>44</v>
      </c>
      <c r="F47" s="16">
        <v>79</v>
      </c>
      <c r="H47" s="46" t="s">
        <v>102</v>
      </c>
    </row>
    <row r="48" customHeight="1" spans="3:8">
      <c r="C48" s="45" t="s">
        <v>103</v>
      </c>
      <c r="D48" s="16">
        <v>74</v>
      </c>
      <c r="E48" s="16">
        <v>64</v>
      </c>
      <c r="F48" s="16">
        <v>56</v>
      </c>
      <c r="H48" s="16"/>
    </row>
    <row r="49" customHeight="1" spans="1:8">
      <c r="C49" s="45" t="s">
        <v>104</v>
      </c>
      <c r="D49" s="16">
        <v>82</v>
      </c>
      <c r="E49" s="16">
        <v>50</v>
      </c>
      <c r="F49" s="16">
        <v>83</v>
      </c>
      <c r="H49" s="16"/>
    </row>
    <row r="50" customHeight="1" spans="1:8">
      <c r="C50" s="45" t="s">
        <v>105</v>
      </c>
      <c r="D50" s="16">
        <v>90</v>
      </c>
      <c r="E50" s="16">
        <v>22</v>
      </c>
      <c r="F50" s="16">
        <v>89</v>
      </c>
      <c r="H50" s="16"/>
    </row>
    <row r="60" customHeight="1" spans="1:8">
      <c r="C60" s="15" t="s">
        <v>106</v>
      </c>
      <c r="D60" s="15"/>
      <c r="E60" s="15"/>
      <c r="F60" s="15"/>
      <c r="G60" s="15"/>
      <c r="H60" s="15"/>
    </row>
    <row r="61" customHeight="1" spans="1:8">
      <c r="C61" s="45">
        <v>15</v>
      </c>
      <c r="D61" s="45">
        <v>30</v>
      </c>
      <c r="E61" s="16"/>
      <c r="F61" s="16"/>
      <c r="G61" s="16"/>
      <c r="H61" s="16"/>
    </row>
    <row r="64" customHeight="1" spans="1:8">
      <c r="A64" s="4" t="s">
        <v>66</v>
      </c>
    </row>
    <row r="65" customHeight="1" spans="1:1">
      <c r="A65" s="4" t="s">
        <v>107</v>
      </c>
    </row>
    <row r="66" customHeight="1" spans="1:1">
      <c r="A66" s="4" t="s">
        <v>108</v>
      </c>
    </row>
    <row r="67" customHeight="1" spans="1:1">
      <c r="A67" s="4" t="s">
        <v>71</v>
      </c>
    </row>
  </sheetData>
  <hyperlinks>
    <hyperlink ref="A65" r:id="rId2" display="Fill data automatically in worksheet cells" tooltip="Select to learn about filling data automatically in worksheet cells from the web"/>
    <hyperlink ref="A66" r:id="rId3" display="Fill a formula down into adjacent cells" tooltip="Select to learn about filling a formula down into adjacent cells from the web"/>
  </hyperlink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H86"/>
  <sheetViews>
    <sheetView showGridLines="0" zoomScalePageLayoutView="125" topLeftCell="B89" workbookViewId="0">
      <selection activeCell="C56" sqref="C56"/>
    </sheetView>
  </sheetViews>
  <sheetFormatPr defaultColWidth="8.89090909090909" defaultRowHeight="15" customHeight="1" outlineLevelCol="7"/>
  <cols>
    <col min="1" max="1" width="12.6636363636364" style="4" customWidth="1"/>
    <col min="2" max="2" width="82.8909090909091" customWidth="1"/>
    <col min="3" max="3" width="33.8909090909091" customWidth="1"/>
    <col min="4" max="4" width="10.3363636363636" customWidth="1"/>
    <col min="5" max="5" width="9.89090909090909" customWidth="1"/>
    <col min="6" max="7" width="15.5545454545455" customWidth="1"/>
    <col min="8" max="8" width="9.89090909090909" customWidth="1"/>
  </cols>
  <sheetData>
    <row r="1" ht="60" customHeight="1" spans="1:8">
      <c r="A1" s="4" t="s">
        <v>109</v>
      </c>
    </row>
    <row r="2" customHeight="1" spans="1:8">
      <c r="A2" s="4" t="s">
        <v>110</v>
      </c>
    </row>
    <row r="3" customHeight="1" spans="1:8">
      <c r="A3" s="4" t="s">
        <v>111</v>
      </c>
    </row>
    <row r="4" customHeight="1" spans="1:8">
      <c r="A4" s="4" t="s">
        <v>112</v>
      </c>
      <c r="C4" s="15" t="s">
        <v>113</v>
      </c>
      <c r="D4" s="15" t="s">
        <v>114</v>
      </c>
      <c r="E4" s="15" t="s">
        <v>115</v>
      </c>
    </row>
    <row r="5" s="6" customFormat="1" customHeight="1" spans="1:8">
      <c r="A5" s="4" t="s">
        <v>116</v>
      </c>
      <c r="B5"/>
      <c r="C5" s="30" t="s">
        <v>117</v>
      </c>
      <c r="D5" s="31" t="s">
        <v>118</v>
      </c>
      <c r="E5" s="32" t="s">
        <v>119</v>
      </c>
      <c r="F5"/>
      <c r="G5"/>
      <c r="H5"/>
    </row>
    <row r="6" s="6" customFormat="1" customHeight="1" spans="1:8">
      <c r="A6" s="4" t="s">
        <v>120</v>
      </c>
      <c r="B6"/>
      <c r="C6" s="33" t="s">
        <v>121</v>
      </c>
      <c r="D6" s="34" t="s">
        <v>122</v>
      </c>
      <c r="E6" s="35" t="s">
        <v>123</v>
      </c>
      <c r="F6"/>
      <c r="G6"/>
      <c r="H6"/>
    </row>
    <row r="7" s="6" customFormat="1" customHeight="1" spans="1:8">
      <c r="A7" s="4" t="s">
        <v>83</v>
      </c>
      <c r="B7"/>
      <c r="C7" s="33" t="s">
        <v>124</v>
      </c>
      <c r="D7" s="34" t="s">
        <v>98</v>
      </c>
      <c r="E7" s="35" t="s">
        <v>125</v>
      </c>
      <c r="F7"/>
      <c r="G7"/>
      <c r="H7"/>
    </row>
    <row r="8" s="6" customFormat="1" customHeight="1" spans="1:8">
      <c r="A8" s="4"/>
      <c r="B8"/>
      <c r="C8" s="33" t="s">
        <v>126</v>
      </c>
      <c r="D8" s="34" t="s">
        <v>127</v>
      </c>
      <c r="E8" s="35" t="s">
        <v>128</v>
      </c>
      <c r="F8"/>
      <c r="G8"/>
      <c r="H8"/>
    </row>
    <row r="9" s="6" customFormat="1" customHeight="1" spans="1:8">
      <c r="A9" s="4"/>
      <c r="B9"/>
      <c r="C9" s="36" t="s">
        <v>129</v>
      </c>
      <c r="D9" s="37" t="s">
        <v>130</v>
      </c>
      <c r="E9" s="38" t="s">
        <v>131</v>
      </c>
      <c r="F9"/>
      <c r="G9"/>
      <c r="H9"/>
    </row>
    <row r="10" s="6" customFormat="1" customHeight="1" spans="1:8">
      <c r="A10" s="4"/>
      <c r="B10"/>
      <c r="C10"/>
      <c r="D10"/>
      <c r="E10"/>
      <c r="F10"/>
      <c r="G10"/>
      <c r="H10"/>
    </row>
    <row r="11" s="6" customFormat="1" customHeight="1" spans="1:8">
      <c r="A11" s="4"/>
      <c r="B11"/>
      <c r="C11"/>
      <c r="D11"/>
      <c r="E11"/>
      <c r="F11"/>
      <c r="G11"/>
      <c r="H11"/>
    </row>
    <row r="12" s="6" customFormat="1" customHeight="1" spans="1:8">
      <c r="A12" s="4"/>
      <c r="B12"/>
      <c r="C12"/>
      <c r="D12"/>
      <c r="E12"/>
      <c r="F12"/>
      <c r="G12"/>
      <c r="H12"/>
    </row>
    <row r="13" s="6" customFormat="1" customHeight="1" spans="1:8">
      <c r="A13" s="4"/>
      <c r="B13"/>
      <c r="C13"/>
      <c r="D13"/>
      <c r="E13"/>
      <c r="F13"/>
      <c r="G13"/>
      <c r="H13"/>
    </row>
    <row r="14" s="6" customFormat="1" customHeight="1" spans="1:8">
      <c r="A14" s="4"/>
      <c r="B14"/>
      <c r="C14"/>
      <c r="D14"/>
      <c r="E14"/>
      <c r="F14"/>
      <c r="G14"/>
      <c r="H14"/>
    </row>
    <row r="15" s="6" customFormat="1" customHeight="1" spans="1:8">
      <c r="A15" s="4"/>
      <c r="B15"/>
      <c r="C15"/>
      <c r="D15"/>
      <c r="E15"/>
      <c r="F15"/>
      <c r="G15"/>
      <c r="H15"/>
    </row>
    <row r="16" s="6" customFormat="1" customHeight="1" spans="1:8">
      <c r="A16" s="4"/>
      <c r="B16"/>
      <c r="C16"/>
      <c r="D16"/>
      <c r="E16"/>
      <c r="F16"/>
      <c r="G16"/>
      <c r="H16"/>
    </row>
    <row r="17" s="6" customFormat="1" customHeight="1" spans="1:8">
      <c r="A17" s="4"/>
      <c r="B17"/>
      <c r="C17"/>
      <c r="D17"/>
      <c r="E17"/>
      <c r="F17"/>
      <c r="G17"/>
      <c r="H17"/>
    </row>
    <row r="18" s="6" customFormat="1" customHeight="1" spans="1:8">
      <c r="A18" s="4"/>
      <c r="B18"/>
      <c r="C18"/>
      <c r="D18"/>
      <c r="E18"/>
      <c r="F18"/>
      <c r="G18"/>
      <c r="H18"/>
    </row>
    <row r="19" s="6" customFormat="1" customHeight="1" spans="1:8">
      <c r="A19" s="4"/>
      <c r="B19"/>
      <c r="C19"/>
      <c r="D19"/>
      <c r="E19"/>
      <c r="F19"/>
      <c r="G19"/>
      <c r="H19"/>
    </row>
    <row r="20" s="6" customFormat="1" customHeight="1" spans="1:8">
      <c r="A20" s="4"/>
      <c r="B20"/>
      <c r="C20"/>
      <c r="D20"/>
      <c r="E20"/>
      <c r="F20"/>
      <c r="G20"/>
      <c r="H20"/>
    </row>
    <row r="21" s="6" customFormat="1" customHeight="1" spans="1:8">
      <c r="A21" s="4"/>
      <c r="B21"/>
      <c r="C21"/>
      <c r="D21"/>
      <c r="E21"/>
      <c r="F21"/>
      <c r="G21"/>
      <c r="H21"/>
    </row>
    <row r="22" s="6" customFormat="1" customHeight="1" spans="1:8">
      <c r="A22" s="4"/>
      <c r="B22"/>
    </row>
    <row r="23" s="6" customFormat="1" customHeight="1" spans="1:8">
      <c r="A23" s="4"/>
      <c r="B23"/>
    </row>
    <row r="24" s="6" customFormat="1" customHeight="1" spans="1:8">
      <c r="A24" s="4"/>
      <c r="B24"/>
    </row>
    <row r="27" customHeight="1" spans="1:8">
      <c r="A27" s="4" t="s">
        <v>132</v>
      </c>
    </row>
    <row r="28" customHeight="1" spans="1:8">
      <c r="A28" s="4" t="s">
        <v>133</v>
      </c>
    </row>
    <row r="29" customHeight="1" spans="1:8">
      <c r="A29" s="4" t="s">
        <v>134</v>
      </c>
    </row>
    <row r="30" customHeight="1" spans="1:8">
      <c r="A30" s="4" t="s">
        <v>135</v>
      </c>
    </row>
    <row r="31" customHeight="1" spans="1:8">
      <c r="A31" s="4" t="s">
        <v>136</v>
      </c>
      <c r="C31" s="15" t="s">
        <v>137</v>
      </c>
      <c r="D31" s="15" t="s">
        <v>114</v>
      </c>
      <c r="E31" s="15" t="s">
        <v>115</v>
      </c>
      <c r="F31" s="39" t="s">
        <v>138</v>
      </c>
    </row>
    <row r="32" customHeight="1" spans="1:8">
      <c r="A32" s="4" t="s">
        <v>139</v>
      </c>
      <c r="C32" s="21" t="s">
        <v>118</v>
      </c>
      <c r="D32" t="s">
        <v>119</v>
      </c>
      <c r="E32" t="s">
        <v>140</v>
      </c>
    </row>
    <row r="33" customHeight="1" spans="1:6">
      <c r="A33" s="4" t="s">
        <v>141</v>
      </c>
      <c r="C33" s="21" t="s">
        <v>122</v>
      </c>
      <c r="D33" t="s">
        <v>123</v>
      </c>
      <c r="E33" t="s">
        <v>142</v>
      </c>
    </row>
    <row r="34" customHeight="1" spans="1:6">
      <c r="A34" s="4" t="s">
        <v>143</v>
      </c>
      <c r="C34" s="21" t="s">
        <v>98</v>
      </c>
      <c r="D34" t="s">
        <v>125</v>
      </c>
      <c r="E34" t="s">
        <v>144</v>
      </c>
    </row>
    <row r="35" customHeight="1" spans="1:6">
      <c r="A35" s="4" t="s">
        <v>145</v>
      </c>
      <c r="C35" s="21" t="s">
        <v>127</v>
      </c>
      <c r="D35" t="s">
        <v>128</v>
      </c>
      <c r="E35" t="s">
        <v>140</v>
      </c>
    </row>
    <row r="36" customHeight="1" spans="1:6">
      <c r="C36" s="21" t="s">
        <v>146</v>
      </c>
      <c r="D36" t="s">
        <v>147</v>
      </c>
      <c r="E36" t="s">
        <v>144</v>
      </c>
    </row>
    <row r="37" customHeight="1" spans="1:6">
      <c r="C37" s="21" t="s">
        <v>148</v>
      </c>
      <c r="D37" t="s">
        <v>149</v>
      </c>
      <c r="E37" t="s">
        <v>142</v>
      </c>
    </row>
    <row r="38" customHeight="1" spans="1:6">
      <c r="C38" s="21" t="s">
        <v>150</v>
      </c>
      <c r="D38" t="s">
        <v>151</v>
      </c>
      <c r="E38" t="s">
        <v>144</v>
      </c>
    </row>
    <row r="39" customHeight="1" spans="1:6">
      <c r="C39" s="40" t="s">
        <v>130</v>
      </c>
      <c r="D39" s="41" t="s">
        <v>131</v>
      </c>
      <c r="E39" s="41" t="s">
        <v>140</v>
      </c>
      <c r="F39" s="41"/>
    </row>
    <row r="40" customHeight="1" spans="1:6">
      <c r="C40" s="42"/>
      <c r="D40" s="42"/>
      <c r="E40" s="42"/>
      <c r="F40" s="42"/>
    </row>
    <row r="49" customHeight="1" spans="1:8">
      <c r="A49" s="4" t="s">
        <v>152</v>
      </c>
    </row>
    <row r="50" customHeight="1" spans="1:8">
      <c r="A50" s="4" t="s">
        <v>153</v>
      </c>
    </row>
    <row r="51" customHeight="1" spans="1:8">
      <c r="A51" s="4" t="s">
        <v>154</v>
      </c>
    </row>
    <row r="52" customHeight="1" spans="1:8">
      <c r="A52" s="4" t="s">
        <v>155</v>
      </c>
    </row>
    <row r="53" customHeight="1" spans="1:8">
      <c r="A53" s="4" t="s">
        <v>156</v>
      </c>
    </row>
    <row r="54" customHeight="1" spans="1:8">
      <c r="A54" s="4" t="s">
        <v>157</v>
      </c>
    </row>
    <row r="55" customHeight="1" spans="1:8">
      <c r="A55" s="4" t="s">
        <v>158</v>
      </c>
      <c r="C55" s="15" t="s">
        <v>159</v>
      </c>
      <c r="E55" s="15" t="s">
        <v>114</v>
      </c>
      <c r="F55" s="39" t="s">
        <v>160</v>
      </c>
      <c r="G55" s="15" t="s">
        <v>161</v>
      </c>
      <c r="H55" s="15" t="s">
        <v>115</v>
      </c>
    </row>
    <row r="56" customHeight="1" spans="1:8">
      <c r="A56" s="4" t="s">
        <v>162</v>
      </c>
      <c r="C56" s="16" t="s">
        <v>163</v>
      </c>
      <c r="E56" s="55" t="s">
        <v>164</v>
      </c>
      <c r="F56" s="17" t="str">
        <f>RIGHT(C56,LEN(C56)-FIND(" ",C56))</f>
        <v>Francis McKay</v>
      </c>
      <c r="G56" s="17" t="str">
        <f>LEFT(F56,FIND(" ",F56)-1)</f>
        <v>Francis</v>
      </c>
      <c r="H56" s="17" t="str">
        <f>RIGHT(F56,LEN(F56)-FIND(" ",F56))</f>
        <v>McKay</v>
      </c>
    </row>
    <row r="57" customHeight="1" spans="1:8">
      <c r="A57" s="4" t="s">
        <v>165</v>
      </c>
    </row>
    <row r="58" customHeight="1" spans="1:8">
      <c r="A58" s="4" t="s">
        <v>166</v>
      </c>
    </row>
    <row r="59" customHeight="1" spans="1:8">
      <c r="A59" s="4" t="s">
        <v>167</v>
      </c>
    </row>
    <row r="60" customHeight="1" spans="1:8">
      <c r="A60" s="4" t="s">
        <v>168</v>
      </c>
    </row>
    <row r="61" customHeight="1" spans="1:8">
      <c r="A61" s="4" t="s">
        <v>169</v>
      </c>
    </row>
    <row r="62" customHeight="1" spans="1:8">
      <c r="A62" s="4" t="s">
        <v>170</v>
      </c>
    </row>
    <row r="63" customHeight="1" spans="1:8">
      <c r="A63" s="4" t="s">
        <v>171</v>
      </c>
    </row>
    <row r="79" customHeight="1" spans="1:1">
      <c r="A79" s="4" t="s">
        <v>66</v>
      </c>
    </row>
    <row r="80" customHeight="1" spans="1:1">
      <c r="A80" s="4" t="s">
        <v>172</v>
      </c>
    </row>
    <row r="81" customHeight="1" spans="1:1">
      <c r="A81" s="4" t="s">
        <v>173</v>
      </c>
    </row>
    <row r="82" customHeight="1" spans="1:1">
      <c r="A82" s="4" t="s">
        <v>174</v>
      </c>
    </row>
    <row r="83" customHeight="1" spans="1:1">
      <c r="A83" s="4" t="s">
        <v>175</v>
      </c>
    </row>
    <row r="84" customHeight="1" spans="1:1">
      <c r="A84" s="4" t="s">
        <v>176</v>
      </c>
    </row>
    <row r="85" customHeight="1" spans="1:1">
      <c r="A85" s="4" t="s">
        <v>177</v>
      </c>
    </row>
    <row r="86" customHeight="1" spans="1:1">
      <c r="A86" s="4" t="s">
        <v>71</v>
      </c>
    </row>
  </sheetData>
  <hyperlinks>
    <hyperlink ref="A80" r:id="rId2" display="Split text into different columns" tooltip="Select to learn about splitting text into different columns from the web"/>
    <hyperlink ref="A81" r:id="rId3" display="All about Get &amp; Transform " tooltip="Select to learn all about Get &amp; Transform from the web"/>
    <hyperlink ref="A82" r:id="rId4" display="All about the LEFT function" tooltip="Select to learn all about the LEFT function from the web"/>
    <hyperlink ref="A83" r:id="rId5" display="All about the RIGHT function" tooltip="Select to learn all about the RIGHT function from the web"/>
    <hyperlink ref="A84" r:id="rId6" display="All about the FIND function" tooltip="Select to learn all about the FIND function from the web"/>
    <hyperlink ref="A85" r:id="rId7" display="All about the LEN function" tooltip="Select to learn all about the LEN function from the web"/>
    <hyperlink ref="C5" r:id="rId8" display="Nancy.Smith@contoso.com"/>
  </hyperlink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H76"/>
  <sheetViews>
    <sheetView showGridLines="0" zoomScalePageLayoutView="125" topLeftCell="A70" workbookViewId="0">
      <selection activeCell="D41" sqref="D41"/>
    </sheetView>
  </sheetViews>
  <sheetFormatPr defaultColWidth="8.89090909090909" defaultRowHeight="15" customHeight="1" outlineLevelCol="7"/>
  <cols>
    <col min="1" max="1" width="12.6636363636364" style="4" customWidth="1"/>
    <col min="2" max="2" width="82.8909090909091" customWidth="1"/>
  </cols>
  <sheetData>
    <row r="1" ht="60" customHeight="1" spans="1:8">
      <c r="A1" s="4" t="s">
        <v>178</v>
      </c>
    </row>
    <row r="2" customHeight="1" spans="1:8">
      <c r="A2" s="4" t="s">
        <v>179</v>
      </c>
    </row>
    <row r="3" customHeight="1" spans="1:8">
      <c r="A3" s="4" t="s">
        <v>180</v>
      </c>
    </row>
    <row r="4" customHeight="1" spans="1:8">
      <c r="A4" s="4" t="s">
        <v>181</v>
      </c>
    </row>
    <row r="5" s="6" customFormat="1" customHeight="1" spans="1:8">
      <c r="A5" s="4" t="s">
        <v>182</v>
      </c>
      <c r="B5"/>
      <c r="C5" s="15" t="s">
        <v>25</v>
      </c>
      <c r="D5" s="16" t="s">
        <v>27</v>
      </c>
      <c r="E5" s="16" t="s">
        <v>29</v>
      </c>
      <c r="F5" s="16" t="s">
        <v>31</v>
      </c>
      <c r="G5" s="16" t="s">
        <v>32</v>
      </c>
      <c r="H5" s="16" t="s">
        <v>33</v>
      </c>
    </row>
    <row r="6" s="6" customFormat="1" customHeight="1" spans="1:8">
      <c r="A6" s="4" t="s">
        <v>183</v>
      </c>
      <c r="B6"/>
      <c r="C6" s="15" t="s">
        <v>8</v>
      </c>
      <c r="D6" s="16">
        <v>50</v>
      </c>
      <c r="E6" s="16">
        <v>100</v>
      </c>
      <c r="F6" s="16">
        <v>40</v>
      </c>
      <c r="G6" s="16">
        <v>50</v>
      </c>
      <c r="H6" s="16">
        <v>20</v>
      </c>
    </row>
    <row r="7" s="6" customFormat="1" customHeight="1" spans="1:8">
      <c r="A7" s="4" t="s">
        <v>184</v>
      </c>
      <c r="B7"/>
      <c r="C7"/>
      <c r="D7"/>
      <c r="E7"/>
      <c r="F7"/>
      <c r="G7"/>
      <c r="H7"/>
    </row>
    <row r="8" s="6" customFormat="1" customHeight="1" spans="1:8">
      <c r="A8" s="4" t="s">
        <v>185</v>
      </c>
      <c r="B8"/>
      <c r="C8"/>
      <c r="D8"/>
      <c r="E8"/>
      <c r="F8"/>
      <c r="G8"/>
      <c r="H8"/>
    </row>
    <row r="9" s="6" customFormat="1" customHeight="1" spans="1:8">
      <c r="A9" s="4" t="s">
        <v>30</v>
      </c>
      <c r="B9" t="s">
        <v>186</v>
      </c>
      <c r="C9" s="15" t="s">
        <v>25</v>
      </c>
      <c r="D9" s="15" t="s">
        <v>8</v>
      </c>
      <c r="E9"/>
      <c r="F9"/>
      <c r="G9"/>
      <c r="H9"/>
    </row>
    <row r="10" s="6" customFormat="1" customHeight="1" spans="1:8">
      <c r="A10" s="4"/>
      <c r="B10"/>
      <c r="C10" s="16" t="s">
        <v>27</v>
      </c>
      <c r="D10" s="16">
        <v>50</v>
      </c>
      <c r="E10"/>
      <c r="F10"/>
      <c r="G10"/>
      <c r="H10"/>
    </row>
    <row r="11" s="6" customFormat="1" customHeight="1" spans="1:8">
      <c r="A11" s="4"/>
      <c r="B11"/>
      <c r="C11" s="16" t="s">
        <v>29</v>
      </c>
      <c r="D11" s="16">
        <v>100</v>
      </c>
      <c r="E11"/>
      <c r="F11"/>
      <c r="G11"/>
      <c r="H11"/>
    </row>
    <row r="12" s="6" customFormat="1" customHeight="1" spans="1:8">
      <c r="A12" s="4"/>
      <c r="B12"/>
      <c r="C12" s="16" t="s">
        <v>31</v>
      </c>
      <c r="D12" s="16">
        <v>40</v>
      </c>
      <c r="E12"/>
      <c r="F12"/>
      <c r="G12"/>
      <c r="H12"/>
    </row>
    <row r="13" s="6" customFormat="1" customHeight="1" spans="1:8">
      <c r="A13" s="4"/>
      <c r="B13"/>
      <c r="C13" s="16" t="s">
        <v>32</v>
      </c>
      <c r="D13" s="16">
        <v>50</v>
      </c>
      <c r="E13"/>
      <c r="F13"/>
      <c r="G13"/>
      <c r="H13"/>
    </row>
    <row r="14" s="6" customFormat="1" customHeight="1" spans="1:8">
      <c r="A14" s="4"/>
      <c r="B14"/>
      <c r="C14" s="16" t="s">
        <v>33</v>
      </c>
      <c r="D14" s="16">
        <v>20</v>
      </c>
      <c r="E14"/>
      <c r="F14"/>
      <c r="G14"/>
      <c r="H14"/>
    </row>
    <row r="15" s="6" customFormat="1" customHeight="1" spans="1:8">
      <c r="A15" s="4"/>
      <c r="B15"/>
      <c r="C15"/>
      <c r="D15"/>
      <c r="E15"/>
      <c r="F15"/>
      <c r="G15"/>
      <c r="H15"/>
    </row>
    <row r="16" s="6" customFormat="1" customHeight="1" spans="1:8">
      <c r="A16" s="4"/>
      <c r="B16"/>
      <c r="C16"/>
      <c r="D16"/>
      <c r="E16"/>
      <c r="F16"/>
      <c r="G16"/>
      <c r="H16"/>
    </row>
    <row r="17" s="6" customFormat="1" customHeight="1" spans="1:8">
      <c r="A17" s="4"/>
      <c r="B17"/>
      <c r="C17"/>
      <c r="D17"/>
      <c r="E17"/>
      <c r="F17"/>
      <c r="G17"/>
      <c r="H17"/>
    </row>
    <row r="18" s="6" customFormat="1" customHeight="1" spans="1:8">
      <c r="A18" s="4"/>
      <c r="B18"/>
      <c r="C18"/>
      <c r="D18"/>
      <c r="E18"/>
      <c r="F18"/>
      <c r="G18"/>
      <c r="H18"/>
    </row>
    <row r="19" s="6" customFormat="1" customHeight="1" spans="1:8">
      <c r="A19" s="4"/>
      <c r="B19"/>
      <c r="C19"/>
      <c r="D19"/>
      <c r="E19"/>
      <c r="F19"/>
      <c r="G19"/>
      <c r="H19"/>
    </row>
    <row r="20" s="6" customFormat="1" customHeight="1" spans="1:8">
      <c r="A20" s="4"/>
      <c r="B20"/>
      <c r="C20"/>
      <c r="D20"/>
      <c r="E20"/>
      <c r="F20"/>
      <c r="G20"/>
      <c r="H20"/>
    </row>
    <row r="21" s="6" customFormat="1" customHeight="1" spans="1:8">
      <c r="A21" s="4"/>
      <c r="B21"/>
      <c r="C21"/>
      <c r="D21"/>
      <c r="E21"/>
      <c r="F21"/>
      <c r="G21"/>
      <c r="H21"/>
    </row>
    <row r="22" s="6" customFormat="1" customHeight="1" spans="1:8">
      <c r="A22" s="4"/>
      <c r="B22"/>
    </row>
    <row r="23" s="6" customFormat="1" customHeight="1" spans="1:8">
      <c r="A23" s="4"/>
      <c r="B23"/>
    </row>
    <row r="24" s="6" customFormat="1" customHeight="1" spans="1:8">
      <c r="A24" s="4"/>
      <c r="B24"/>
    </row>
    <row r="27" customHeight="1" spans="1:8">
      <c r="A27" s="4" t="s">
        <v>187</v>
      </c>
    </row>
    <row r="28" customHeight="1" spans="1:8">
      <c r="A28" s="4" t="s">
        <v>188</v>
      </c>
    </row>
    <row r="29" customHeight="1" spans="1:8">
      <c r="A29" s="4" t="s">
        <v>189</v>
      </c>
    </row>
    <row r="30" customHeight="1" spans="1:8">
      <c r="A30" s="5" t="s">
        <v>190</v>
      </c>
    </row>
    <row r="31" customHeight="1" spans="1:8">
      <c r="A31" s="4" t="s">
        <v>191</v>
      </c>
    </row>
    <row r="32" customHeight="1" spans="1:8">
      <c r="A32" s="4" t="s">
        <v>192</v>
      </c>
    </row>
    <row r="33" customHeight="1" spans="1:8">
      <c r="A33" s="4" t="s">
        <v>193</v>
      </c>
      <c r="C33" s="15" t="s">
        <v>25</v>
      </c>
      <c r="D33" s="16" t="s">
        <v>27</v>
      </c>
      <c r="E33" s="16" t="s">
        <v>29</v>
      </c>
      <c r="F33" s="16" t="s">
        <v>31</v>
      </c>
      <c r="G33" s="16" t="s">
        <v>32</v>
      </c>
      <c r="H33" s="16" t="s">
        <v>33</v>
      </c>
    </row>
    <row r="34" customHeight="1" spans="1:8">
      <c r="C34" s="15" t="s">
        <v>8</v>
      </c>
      <c r="D34" s="16">
        <v>50</v>
      </c>
      <c r="E34" s="16">
        <v>100</v>
      </c>
      <c r="F34" s="16">
        <v>40</v>
      </c>
      <c r="G34" s="16">
        <v>50</v>
      </c>
      <c r="H34" s="16">
        <v>20</v>
      </c>
    </row>
    <row r="40" customHeight="1" spans="1:8">
      <c r="C40" s="17" t="str" cm="1">
        <f t="array" ref="C40:C45">TRANSPOSE(C33:H33)</f>
        <v>Item</v>
      </c>
      <c r="D40" s="17" t="str" cm="1">
        <f t="array" ref="D40:D45">TRANSPOSE(C34:H34)</f>
        <v>Amount</v>
      </c>
    </row>
    <row r="41" customHeight="1" spans="1:8">
      <c r="C41" s="17" t="str">
        <v>Bread</v>
      </c>
      <c r="D41" s="17">
        <v>50</v>
      </c>
    </row>
    <row r="42" customHeight="1" spans="1:8">
      <c r="C42" s="17" t="str">
        <v>Donuts</v>
      </c>
      <c r="D42" s="17">
        <v>100</v>
      </c>
    </row>
    <row r="43" customHeight="1" spans="1:8">
      <c r="C43" s="17" t="str">
        <v>Cookies</v>
      </c>
      <c r="D43" s="17">
        <v>40</v>
      </c>
    </row>
    <row r="44" customHeight="1" spans="1:8">
      <c r="C44" s="17" t="str">
        <v>Cakes</v>
      </c>
      <c r="D44" s="17">
        <v>50</v>
      </c>
    </row>
    <row r="45" customHeight="1" spans="1:8">
      <c r="C45" s="17" t="str">
        <v>Pies</v>
      </c>
      <c r="D45" s="17">
        <v>20</v>
      </c>
    </row>
    <row r="54" customHeight="1" spans="1:1">
      <c r="A54" s="4" t="s">
        <v>194</v>
      </c>
    </row>
    <row r="55" customHeight="1" spans="1:1">
      <c r="A55" s="4" t="s">
        <v>195</v>
      </c>
    </row>
    <row r="56" customHeight="1" spans="1:1">
      <c r="A56" s="4" t="s">
        <v>196</v>
      </c>
    </row>
    <row r="57" customHeight="1" spans="1:1">
      <c r="A57" s="4" t="s">
        <v>197</v>
      </c>
    </row>
    <row r="58" customHeight="1" spans="1:1">
      <c r="A58" s="4" t="s">
        <v>198</v>
      </c>
    </row>
    <row r="59" customHeight="1" spans="1:1">
      <c r="A59" s="4" t="s">
        <v>199</v>
      </c>
    </row>
    <row r="72" customHeight="1" spans="1:1">
      <c r="A72" s="4" t="s">
        <v>66</v>
      </c>
    </row>
    <row r="73" customHeight="1" spans="1:1">
      <c r="A73" s="4" t="s">
        <v>200</v>
      </c>
    </row>
    <row r="74" customHeight="1" spans="1:1">
      <c r="A74" s="4" t="s">
        <v>201</v>
      </c>
    </row>
    <row r="75" customHeight="1" spans="1:1">
      <c r="A75" s="4" t="s">
        <v>202</v>
      </c>
    </row>
    <row r="76" customHeight="1" spans="1:1">
      <c r="A76" s="4" t="s">
        <v>71</v>
      </c>
    </row>
  </sheetData>
  <hyperlinks>
    <hyperlink ref="A75" r:id="rId2" display="Create an array formula" tooltip="Select to learn about creating an array formula from the web"/>
    <hyperlink ref="A74" r:id="rId3" display="All about the TRANSPOSE function" tooltip="Select to learn all about the TRANSPOSE function from the web"/>
    <hyperlink ref="A73" r:id="rId4" display="Transpose (rotate) data from rows to columns or vice versa" tooltip="Select to learn about Transpose (rotate) data from rows to columns or vice versa from the web"/>
  </hyperlinks>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G63"/>
  <sheetViews>
    <sheetView showGridLines="0" zoomScalePageLayoutView="125" topLeftCell="A63" workbookViewId="0">
      <selection activeCell="C47" sqref="C47"/>
    </sheetView>
  </sheetViews>
  <sheetFormatPr defaultColWidth="8.89090909090909" defaultRowHeight="15" customHeight="1" outlineLevelCol="6"/>
  <cols>
    <col min="1" max="1" width="12.6636363636364" style="4" customWidth="1"/>
    <col min="2" max="2" width="82.8909090909091" customWidth="1"/>
    <col min="3" max="3" width="15.1090909090909" customWidth="1"/>
    <col min="4" max="4" width="12.5545454545455" customWidth="1"/>
    <col min="5" max="5" width="8.33636363636364" customWidth="1"/>
    <col min="6" max="6" width="9.33636363636364" customWidth="1"/>
    <col min="7" max="7" width="10.8909090909091" customWidth="1"/>
  </cols>
  <sheetData>
    <row r="1" ht="60" customHeight="1" spans="1:7">
      <c r="A1" s="4" t="s">
        <v>203</v>
      </c>
    </row>
    <row r="2" customHeight="1" spans="1:7">
      <c r="A2" s="4" t="s">
        <v>204</v>
      </c>
    </row>
    <row r="3" customHeight="1" spans="1:7">
      <c r="A3" s="4" t="s">
        <v>205</v>
      </c>
    </row>
    <row r="4" customHeight="1" spans="1:7">
      <c r="A4" s="4" t="s">
        <v>206</v>
      </c>
    </row>
    <row r="5" s="6" customFormat="1" customHeight="1" spans="1:7">
      <c r="A5" s="4" t="s">
        <v>207</v>
      </c>
      <c r="B5"/>
      <c r="C5" s="15" t="s">
        <v>208</v>
      </c>
      <c r="D5" s="15" t="s">
        <v>90</v>
      </c>
      <c r="E5" s="15" t="s">
        <v>209</v>
      </c>
      <c r="F5" s="15" t="s">
        <v>210</v>
      </c>
      <c r="G5" s="15" t="s">
        <v>211</v>
      </c>
    </row>
    <row r="6" s="6" customFormat="1" customHeight="1" spans="1:7">
      <c r="A6" s="4" t="s">
        <v>212</v>
      </c>
      <c r="B6"/>
      <c r="C6" t="s">
        <v>213</v>
      </c>
      <c r="D6" t="s">
        <v>214</v>
      </c>
      <c r="E6" s="14">
        <v>25000</v>
      </c>
      <c r="F6" s="14">
        <v>80000</v>
      </c>
      <c r="G6" s="14">
        <v>120000</v>
      </c>
    </row>
    <row r="7" s="6" customFormat="1" customHeight="1" spans="1:7">
      <c r="A7" s="4" t="s">
        <v>215</v>
      </c>
      <c r="B7"/>
      <c r="C7" s="11" t="s">
        <v>213</v>
      </c>
      <c r="D7" s="11" t="s">
        <v>216</v>
      </c>
      <c r="E7" s="25">
        <v>30000</v>
      </c>
      <c r="F7" s="25">
        <v>15000</v>
      </c>
      <c r="G7" s="25">
        <v>20000</v>
      </c>
    </row>
    <row r="8" s="6" customFormat="1" customHeight="1" spans="1:7">
      <c r="A8" s="4" t="s">
        <v>30</v>
      </c>
      <c r="B8"/>
      <c r="C8" s="16" t="s">
        <v>217</v>
      </c>
      <c r="D8" s="16" t="s">
        <v>218</v>
      </c>
      <c r="E8" s="27">
        <v>90000</v>
      </c>
      <c r="F8" s="27">
        <v>35000</v>
      </c>
      <c r="G8" s="27">
        <v>25000</v>
      </c>
    </row>
    <row r="9" s="6" customFormat="1" customHeight="1" spans="1:7">
      <c r="A9" s="4"/>
      <c r="B9"/>
      <c r="C9" t="s">
        <v>217</v>
      </c>
      <c r="D9" t="s">
        <v>219</v>
      </c>
      <c r="E9" s="14">
        <v>80000</v>
      </c>
      <c r="F9" s="14">
        <v>40000</v>
      </c>
      <c r="G9" s="14">
        <v>20000</v>
      </c>
    </row>
    <row r="10" s="6" customFormat="1" customHeight="1" spans="1:7">
      <c r="A10" s="4"/>
      <c r="B10"/>
      <c r="C10" s="16" t="s">
        <v>9</v>
      </c>
      <c r="D10" s="16" t="s">
        <v>12</v>
      </c>
      <c r="E10" s="27">
        <v>90000</v>
      </c>
      <c r="F10" s="27">
        <v>110000</v>
      </c>
      <c r="G10" s="27">
        <v>120000</v>
      </c>
    </row>
    <row r="11" s="6" customFormat="1" customHeight="1" spans="1:7">
      <c r="A11" s="4"/>
      <c r="B11"/>
      <c r="C11" t="s">
        <v>9</v>
      </c>
      <c r="D11" t="s">
        <v>15</v>
      </c>
      <c r="E11" s="14">
        <v>75000</v>
      </c>
      <c r="F11" s="14">
        <v>82000</v>
      </c>
      <c r="G11" s="14">
        <v>2000000</v>
      </c>
    </row>
    <row r="12" s="6" customFormat="1" customHeight="1" spans="1:7">
      <c r="A12" s="4"/>
      <c r="B12"/>
      <c r="C12" s="16" t="s">
        <v>93</v>
      </c>
      <c r="D12" s="16" t="s">
        <v>7</v>
      </c>
      <c r="E12" s="27">
        <v>10000</v>
      </c>
      <c r="F12" s="27">
        <v>30000</v>
      </c>
      <c r="G12" s="27">
        <v>40000</v>
      </c>
    </row>
    <row r="13" s="6" customFormat="1" customHeight="1" spans="1:7">
      <c r="A13" s="4"/>
      <c r="B13"/>
      <c r="C13" t="s">
        <v>93</v>
      </c>
      <c r="D13" t="s">
        <v>220</v>
      </c>
      <c r="E13" s="14">
        <v>30000</v>
      </c>
      <c r="F13" s="14">
        <v>80000</v>
      </c>
      <c r="G13" s="14">
        <v>30000</v>
      </c>
    </row>
    <row r="14" s="6" customFormat="1" customHeight="1" spans="1:7">
      <c r="A14" s="4"/>
      <c r="B14"/>
      <c r="C14"/>
      <c r="D14"/>
      <c r="E14"/>
      <c r="F14"/>
      <c r="G14"/>
    </row>
    <row r="15" s="6" customFormat="1" customHeight="1" spans="1:7">
      <c r="A15" s="4"/>
      <c r="B15"/>
      <c r="C15"/>
      <c r="D15"/>
      <c r="E15"/>
      <c r="F15"/>
      <c r="G15"/>
    </row>
    <row r="16" s="6" customFormat="1" customHeight="1" spans="1:7">
      <c r="A16" s="4"/>
      <c r="B16"/>
      <c r="C16"/>
      <c r="D16"/>
      <c r="E16"/>
      <c r="F16"/>
      <c r="G16"/>
    </row>
    <row r="17" s="6" customFormat="1" customHeight="1" spans="1:7">
      <c r="A17" s="4"/>
      <c r="B17"/>
      <c r="C17"/>
      <c r="D17"/>
      <c r="E17"/>
      <c r="F17"/>
      <c r="G17"/>
    </row>
    <row r="18" s="6" customFormat="1" customHeight="1" spans="1:7">
      <c r="A18" s="4"/>
      <c r="B18"/>
      <c r="C18"/>
      <c r="D18"/>
      <c r="E18"/>
      <c r="F18"/>
      <c r="G18"/>
    </row>
    <row r="19" s="6" customFormat="1" customHeight="1" spans="1:7">
      <c r="A19" s="4"/>
      <c r="B19"/>
      <c r="C19"/>
      <c r="D19"/>
      <c r="E19"/>
      <c r="F19"/>
      <c r="G19"/>
    </row>
    <row r="20" s="6" customFormat="1" customHeight="1" spans="1:7">
      <c r="A20" s="4"/>
      <c r="B20"/>
      <c r="C20"/>
      <c r="D20"/>
      <c r="E20"/>
      <c r="F20"/>
      <c r="G20"/>
    </row>
    <row r="21" s="6" customFormat="1" customHeight="1" spans="1:7">
      <c r="A21" s="4"/>
      <c r="B21"/>
      <c r="C21"/>
      <c r="D21"/>
      <c r="E21"/>
      <c r="F21"/>
      <c r="G21"/>
    </row>
    <row r="22" s="6" customFormat="1" customHeight="1" spans="1:7">
      <c r="A22" s="4"/>
      <c r="B22"/>
    </row>
    <row r="23" s="6" customFormat="1" customHeight="1" spans="1:7">
      <c r="A23" s="4"/>
      <c r="B23"/>
    </row>
    <row r="24" s="6" customFormat="1" customHeight="1" spans="1:7">
      <c r="A24" s="4"/>
      <c r="B24"/>
    </row>
    <row r="27" customHeight="1" spans="1:7">
      <c r="A27" s="4" t="s">
        <v>221</v>
      </c>
    </row>
    <row r="28" customHeight="1" spans="1:7">
      <c r="A28" s="4" t="s">
        <v>222</v>
      </c>
    </row>
    <row r="29" customHeight="1" spans="1:7">
      <c r="A29" s="4" t="s">
        <v>223</v>
      </c>
    </row>
    <row r="30" customHeight="1" spans="1:7">
      <c r="A30" s="4" t="s">
        <v>224</v>
      </c>
    </row>
    <row r="31" customHeight="1" spans="1:7">
      <c r="A31" s="4" t="s">
        <v>225</v>
      </c>
      <c r="C31" t="s">
        <v>226</v>
      </c>
      <c r="D31" t="s">
        <v>227</v>
      </c>
      <c r="E31" t="s">
        <v>228</v>
      </c>
      <c r="F31" t="s">
        <v>229</v>
      </c>
    </row>
    <row r="32" customHeight="1" spans="1:7">
      <c r="A32" s="4" t="s">
        <v>230</v>
      </c>
      <c r="C32" s="7">
        <f ca="1">TODAY()-2</f>
        <v>46239</v>
      </c>
      <c r="D32" t="s">
        <v>231</v>
      </c>
      <c r="E32" s="28">
        <v>21</v>
      </c>
      <c r="F32" s="29">
        <v>3820</v>
      </c>
    </row>
    <row r="33" customHeight="1" spans="1:6">
      <c r="A33" s="4" t="s">
        <v>232</v>
      </c>
      <c r="C33" s="7">
        <f ca="1">TODAY()-3</f>
        <v>46238</v>
      </c>
      <c r="D33" t="s">
        <v>233</v>
      </c>
      <c r="E33" s="28">
        <v>62</v>
      </c>
      <c r="F33" s="28">
        <v>2112</v>
      </c>
    </row>
    <row r="34" customHeight="1" spans="1:6">
      <c r="C34" s="7">
        <f ca="1">TODAY()-6</f>
        <v>46235</v>
      </c>
      <c r="D34" t="s">
        <v>234</v>
      </c>
      <c r="E34" s="28">
        <v>25</v>
      </c>
      <c r="F34" s="28">
        <v>1611</v>
      </c>
    </row>
    <row r="35" customHeight="1" spans="1:6">
      <c r="C35" s="7">
        <f ca="1">TODAY()</f>
        <v>46241</v>
      </c>
      <c r="D35" t="s">
        <v>235</v>
      </c>
      <c r="E35" s="28">
        <v>30</v>
      </c>
      <c r="F35" s="29">
        <v>3085</v>
      </c>
    </row>
    <row r="36" customHeight="1" spans="1:6">
      <c r="C36" s="7">
        <f ca="1">TODAY()-4</f>
        <v>46237</v>
      </c>
      <c r="D36" t="s">
        <v>236</v>
      </c>
      <c r="E36" s="28">
        <v>69</v>
      </c>
      <c r="F36" s="28">
        <v>528</v>
      </c>
    </row>
    <row r="37" customHeight="1" spans="1:6">
      <c r="C37" s="7">
        <f ca="1">TODAY()-5</f>
        <v>46236</v>
      </c>
      <c r="D37" t="s">
        <v>237</v>
      </c>
      <c r="E37" s="28">
        <v>45</v>
      </c>
      <c r="F37" s="29">
        <v>5050</v>
      </c>
    </row>
    <row r="43" customHeight="1" spans="1:6">
      <c r="A43" s="4" t="s">
        <v>238</v>
      </c>
    </row>
    <row r="44" customHeight="1" spans="1:6">
      <c r="A44" s="4" t="s">
        <v>239</v>
      </c>
    </row>
    <row r="45" customHeight="1" spans="1:6">
      <c r="A45" s="4" t="s">
        <v>240</v>
      </c>
    </row>
    <row r="46" customHeight="1" spans="1:6">
      <c r="A46" s="4" t="s">
        <v>241</v>
      </c>
    </row>
    <row r="47" customHeight="1" spans="1:6">
      <c r="A47" s="4" t="s">
        <v>242</v>
      </c>
    </row>
    <row r="49" customHeight="1" spans="1:6">
      <c r="C49" t="s">
        <v>226</v>
      </c>
      <c r="D49" t="s">
        <v>227</v>
      </c>
      <c r="E49" t="s">
        <v>228</v>
      </c>
      <c r="F49" t="s">
        <v>229</v>
      </c>
    </row>
    <row r="50" hidden="1" customHeight="1" spans="1:6">
      <c r="C50" s="7">
        <f ca="1">TODAY()-2</f>
        <v>46239</v>
      </c>
      <c r="D50" t="s">
        <v>231</v>
      </c>
      <c r="E50" s="28">
        <v>21</v>
      </c>
      <c r="F50" s="28">
        <v>3820</v>
      </c>
    </row>
    <row r="51" hidden="1" customHeight="1" spans="1:6">
      <c r="C51" s="7">
        <f ca="1">TODAY()-3</f>
        <v>46238</v>
      </c>
      <c r="D51" t="s">
        <v>233</v>
      </c>
      <c r="E51" s="28">
        <v>62</v>
      </c>
      <c r="F51" s="28">
        <v>2112</v>
      </c>
    </row>
    <row r="52" customHeight="1" spans="1:6">
      <c r="C52" s="7">
        <f ca="1">TODAY()</f>
        <v>46241</v>
      </c>
      <c r="D52" t="s">
        <v>235</v>
      </c>
      <c r="E52" s="28">
        <v>30</v>
      </c>
      <c r="F52" s="28">
        <v>3085</v>
      </c>
    </row>
    <row r="53" hidden="1" customHeight="1" spans="1:6">
      <c r="C53" s="7">
        <f ca="1">TODAY()-6</f>
        <v>46235</v>
      </c>
      <c r="D53" t="s">
        <v>234</v>
      </c>
      <c r="E53" s="28">
        <v>25</v>
      </c>
      <c r="F53" s="28">
        <v>1611</v>
      </c>
    </row>
    <row r="54" customHeight="1" spans="1:6">
      <c r="C54" s="7">
        <f ca="1">TODAY()-5</f>
        <v>46236</v>
      </c>
      <c r="D54" t="s">
        <v>237</v>
      </c>
      <c r="E54" s="28">
        <v>45</v>
      </c>
      <c r="F54" s="28">
        <v>5050</v>
      </c>
    </row>
    <row r="55" hidden="1" customHeight="1" spans="1:6">
      <c r="C55" s="7">
        <f ca="1">TODAY()-4</f>
        <v>46237</v>
      </c>
      <c r="D55" t="s">
        <v>236</v>
      </c>
      <c r="E55" s="28">
        <v>69</v>
      </c>
      <c r="F55" s="28">
        <v>528</v>
      </c>
    </row>
    <row r="60" customHeight="1" spans="1:6">
      <c r="A60" s="4" t="s">
        <v>66</v>
      </c>
    </row>
    <row r="61" customHeight="1" spans="1:6">
      <c r="A61" s="4" t="s">
        <v>243</v>
      </c>
    </row>
    <row r="62" customHeight="1" spans="1:6">
      <c r="A62" s="4" t="s">
        <v>244</v>
      </c>
    </row>
    <row r="63" customHeight="1" spans="1:6">
      <c r="A63" s="4" t="s">
        <v>71</v>
      </c>
    </row>
  </sheetData>
  <sortState ref="C6:G13">
    <sortCondition ref="C6"/>
  </sortState>
  <hyperlinks>
    <hyperlink ref="A62" r:id="rId5" display="Filter data in a range or table" tooltip="Select to learn about filtering data in a range or table from the web"/>
    <hyperlink ref="A61" r:id="rId6" display="Sort data in a range or table" tooltip="Select to learn about sorting data in a range or table from the web"/>
  </hyperlinks>
  <pageMargins left="0.7" right="0.7" top="0.75" bottom="0.75" header="0.3" footer="0.3"/>
  <pageSetup paperSize="1" orientation="portrait"/>
  <headerFooter/>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I76"/>
  <sheetViews>
    <sheetView showGridLines="0" zoomScale="70" zoomScaleNormal="70" zoomScalePageLayoutView="125" topLeftCell="B48" workbookViewId="0">
      <selection activeCell="F62" sqref="F62"/>
    </sheetView>
  </sheetViews>
  <sheetFormatPr defaultColWidth="8.89090909090909" defaultRowHeight="15" customHeight="1"/>
  <cols>
    <col min="1" max="1" width="12.6636363636364" style="4" customWidth="1"/>
    <col min="2" max="2" width="82.8909090909091" customWidth="1"/>
    <col min="3" max="3" width="13.8909090909091" customWidth="1"/>
    <col min="4" max="4" width="11" customWidth="1"/>
    <col min="5" max="8" width="9.33636363636364" customWidth="1"/>
  </cols>
  <sheetData>
    <row r="1" ht="60" customHeight="1" spans="1:9">
      <c r="A1" s="4" t="s">
        <v>245</v>
      </c>
      <c r="B1" s="22"/>
    </row>
    <row r="2" customHeight="1" spans="1:9">
      <c r="A2" s="4" t="s">
        <v>246</v>
      </c>
    </row>
    <row r="3" customHeight="1" spans="1:9">
      <c r="A3" s="4" t="s">
        <v>247</v>
      </c>
      <c r="B3" s="23"/>
    </row>
    <row r="4" customHeight="1" spans="1:9">
      <c r="A4" s="4" t="s">
        <v>248</v>
      </c>
    </row>
    <row r="5" s="6" customFormat="1" customHeight="1" spans="1:9">
      <c r="A5" s="4" t="s">
        <v>249</v>
      </c>
      <c r="C5" t="s">
        <v>208</v>
      </c>
      <c r="D5" t="s">
        <v>90</v>
      </c>
      <c r="E5" t="s">
        <v>209</v>
      </c>
      <c r="F5" t="s">
        <v>210</v>
      </c>
      <c r="G5" t="s">
        <v>211</v>
      </c>
      <c r="H5" t="s">
        <v>250</v>
      </c>
      <c r="I5" s="6" t="s">
        <v>251</v>
      </c>
    </row>
    <row r="6" s="6" customFormat="1" customHeight="1" spans="1:9">
      <c r="A6" s="4" t="s">
        <v>252</v>
      </c>
      <c r="B6" s="24"/>
      <c r="C6" t="s">
        <v>93</v>
      </c>
      <c r="D6" t="s">
        <v>220</v>
      </c>
      <c r="E6">
        <v>30000</v>
      </c>
      <c r="F6">
        <v>80000</v>
      </c>
      <c r="G6">
        <v>30000</v>
      </c>
      <c r="H6"/>
    </row>
    <row r="7" s="6" customFormat="1" customHeight="1" spans="1:9">
      <c r="A7" s="4" t="s">
        <v>253</v>
      </c>
      <c r="C7" t="s">
        <v>93</v>
      </c>
      <c r="D7" t="s">
        <v>7</v>
      </c>
      <c r="E7">
        <v>10000</v>
      </c>
      <c r="F7">
        <v>30000</v>
      </c>
      <c r="G7">
        <v>40000</v>
      </c>
      <c r="H7"/>
    </row>
    <row r="8" s="6" customFormat="1" customHeight="1" spans="1:9">
      <c r="A8" s="4" t="s">
        <v>254</v>
      </c>
      <c r="C8" t="s">
        <v>213</v>
      </c>
      <c r="D8" t="s">
        <v>216</v>
      </c>
      <c r="E8">
        <v>30000</v>
      </c>
      <c r="F8">
        <v>15000</v>
      </c>
      <c r="G8">
        <v>20000</v>
      </c>
      <c r="H8"/>
    </row>
    <row r="9" s="6" customFormat="1" customHeight="1" spans="1:9">
      <c r="A9" s="5" t="s">
        <v>255</v>
      </c>
      <c r="C9" t="s">
        <v>213</v>
      </c>
      <c r="D9" t="s">
        <v>214</v>
      </c>
      <c r="E9">
        <v>25000</v>
      </c>
      <c r="F9">
        <v>80000</v>
      </c>
      <c r="G9">
        <v>120000</v>
      </c>
      <c r="H9"/>
    </row>
    <row r="10" s="6" customFormat="1" customHeight="1" spans="1:9">
      <c r="A10" s="4" t="s">
        <v>30</v>
      </c>
      <c r="C10" t="s">
        <v>217</v>
      </c>
      <c r="D10" t="s">
        <v>256</v>
      </c>
      <c r="E10">
        <v>80000</v>
      </c>
      <c r="F10">
        <v>40000</v>
      </c>
      <c r="G10">
        <v>20000</v>
      </c>
      <c r="H10"/>
    </row>
    <row r="11" s="6" customFormat="1" customHeight="1" spans="1:9">
      <c r="A11" s="4"/>
      <c r="C11" t="s">
        <v>217</v>
      </c>
      <c r="D11" t="s">
        <v>218</v>
      </c>
      <c r="E11">
        <v>90000</v>
      </c>
      <c r="F11">
        <v>35000</v>
      </c>
      <c r="G11">
        <v>25000</v>
      </c>
      <c r="H11"/>
    </row>
    <row r="12" s="6" customFormat="1" customHeight="1" spans="1:9">
      <c r="A12" s="4"/>
      <c r="C12" t="s">
        <v>9</v>
      </c>
      <c r="D12" t="s">
        <v>12</v>
      </c>
      <c r="E12">
        <v>90000</v>
      </c>
      <c r="F12">
        <v>110000</v>
      </c>
      <c r="G12">
        <v>200000</v>
      </c>
      <c r="H12"/>
    </row>
    <row r="13" s="6" customFormat="1" customHeight="1" spans="1:9">
      <c r="A13" s="4"/>
      <c r="C13" t="s">
        <v>9</v>
      </c>
      <c r="D13" t="s">
        <v>15</v>
      </c>
      <c r="E13">
        <v>75000</v>
      </c>
      <c r="F13">
        <v>82000</v>
      </c>
      <c r="G13">
        <v>150000</v>
      </c>
      <c r="H13"/>
    </row>
    <row r="14" s="6" customFormat="1" customHeight="1" spans="1:9">
      <c r="A14" s="4"/>
      <c r="C14"/>
      <c r="D14"/>
      <c r="E14"/>
      <c r="F14"/>
      <c r="G14"/>
      <c r="H14"/>
    </row>
    <row r="15" s="6" customFormat="1" customHeight="1" spans="1:9">
      <c r="A15" s="4"/>
      <c r="C15"/>
      <c r="D15"/>
      <c r="E15"/>
      <c r="F15"/>
      <c r="G15"/>
      <c r="H15"/>
    </row>
    <row r="16" s="6" customFormat="1" customHeight="1" spans="1:9">
      <c r="A16" s="4"/>
      <c r="C16"/>
      <c r="D16"/>
      <c r="E16"/>
      <c r="F16"/>
      <c r="G16"/>
      <c r="H16"/>
    </row>
    <row r="17" s="6" customFormat="1" customHeight="1" spans="1:8">
      <c r="A17" s="4"/>
      <c r="C17"/>
      <c r="D17"/>
      <c r="E17"/>
      <c r="F17"/>
      <c r="G17"/>
      <c r="H17"/>
    </row>
    <row r="18" s="6" customFormat="1" customHeight="1" spans="1:8">
      <c r="A18" s="4"/>
      <c r="C18"/>
      <c r="D18"/>
      <c r="E18"/>
      <c r="F18"/>
      <c r="G18"/>
      <c r="H18"/>
    </row>
    <row r="19" s="6" customFormat="1" customHeight="1" spans="1:8">
      <c r="A19" s="4"/>
      <c r="C19"/>
      <c r="D19"/>
      <c r="E19"/>
      <c r="F19"/>
      <c r="G19"/>
      <c r="H19"/>
    </row>
    <row r="20" s="6" customFormat="1" customHeight="1" spans="1:8">
      <c r="A20" s="4"/>
      <c r="C20"/>
      <c r="D20"/>
      <c r="E20"/>
      <c r="F20"/>
      <c r="G20"/>
      <c r="H20"/>
    </row>
    <row r="21" s="6" customFormat="1" customHeight="1" spans="1:8">
      <c r="A21" s="4"/>
      <c r="C21"/>
      <c r="D21"/>
      <c r="E21"/>
      <c r="F21"/>
      <c r="G21"/>
      <c r="H21"/>
    </row>
    <row r="22" s="6" customFormat="1" customHeight="1" spans="1:8">
      <c r="A22" s="4"/>
    </row>
    <row r="23" s="6" customFormat="1" customHeight="1" spans="1:8">
      <c r="A23" s="4"/>
    </row>
    <row r="24" s="6" customFormat="1" customHeight="1" spans="1:8">
      <c r="A24" s="4"/>
    </row>
    <row r="27" customHeight="1" spans="1:8">
      <c r="A27" s="4" t="s">
        <v>257</v>
      </c>
    </row>
    <row r="28" customHeight="1" spans="1:8">
      <c r="A28" s="4" t="s">
        <v>258</v>
      </c>
    </row>
    <row r="29" customHeight="1" spans="1:8">
      <c r="A29" s="4" t="s">
        <v>259</v>
      </c>
    </row>
    <row r="30" customHeight="1" spans="1:8">
      <c r="A30" s="4" t="s">
        <v>260</v>
      </c>
    </row>
    <row r="31" customHeight="1" spans="1:8">
      <c r="A31" s="4" t="s">
        <v>261</v>
      </c>
    </row>
    <row r="32" customHeight="1" spans="1:8">
      <c r="A32" s="4" t="s">
        <v>262</v>
      </c>
    </row>
    <row r="33" customHeight="1" spans="1:8">
      <c r="A33" s="4" t="s">
        <v>263</v>
      </c>
      <c r="C33" s="15" t="s">
        <v>208</v>
      </c>
      <c r="D33" s="15" t="s">
        <v>90</v>
      </c>
      <c r="E33" s="15" t="s">
        <v>209</v>
      </c>
      <c r="F33" s="15" t="s">
        <v>210</v>
      </c>
      <c r="G33" s="15" t="s">
        <v>211</v>
      </c>
      <c r="H33" s="15" t="s">
        <v>264</v>
      </c>
    </row>
    <row r="34" customHeight="1" spans="1:8">
      <c r="C34" s="11" t="s">
        <v>93</v>
      </c>
      <c r="D34" s="11" t="s">
        <v>220</v>
      </c>
      <c r="E34" s="25">
        <v>30000</v>
      </c>
      <c r="F34" s="25">
        <v>80000</v>
      </c>
      <c r="G34" s="25">
        <v>30000</v>
      </c>
      <c r="H34" s="14">
        <f>SUM(E34:G34)</f>
        <v>140000</v>
      </c>
    </row>
    <row r="35" customHeight="1" spans="1:8">
      <c r="C35" t="s">
        <v>93</v>
      </c>
      <c r="D35" t="s">
        <v>7</v>
      </c>
      <c r="E35" s="14">
        <v>10000</v>
      </c>
      <c r="F35" s="14">
        <v>30000</v>
      </c>
      <c r="G35" s="14">
        <v>40000</v>
      </c>
      <c r="H35" s="14">
        <f t="shared" ref="H35:H41" si="0">SUM(E35:G35)</f>
        <v>80000</v>
      </c>
    </row>
    <row r="36" customHeight="1" spans="1:8">
      <c r="C36" s="11" t="s">
        <v>213</v>
      </c>
      <c r="D36" s="11" t="s">
        <v>216</v>
      </c>
      <c r="E36" s="25">
        <v>30000</v>
      </c>
      <c r="F36" s="25">
        <v>15000</v>
      </c>
      <c r="G36" s="25">
        <v>20000</v>
      </c>
      <c r="H36" s="14">
        <f t="shared" si="0"/>
        <v>65000</v>
      </c>
    </row>
    <row r="37" customHeight="1" spans="1:8">
      <c r="C37" t="s">
        <v>213</v>
      </c>
      <c r="D37" t="s">
        <v>214</v>
      </c>
      <c r="E37" s="14">
        <v>25000</v>
      </c>
      <c r="F37" s="14">
        <v>80000</v>
      </c>
      <c r="G37" s="14">
        <v>120000</v>
      </c>
      <c r="H37" s="14">
        <f t="shared" si="0"/>
        <v>225000</v>
      </c>
    </row>
    <row r="38" customHeight="1" spans="1:8">
      <c r="C38" s="11" t="s">
        <v>217</v>
      </c>
      <c r="D38" s="11" t="s">
        <v>219</v>
      </c>
      <c r="E38" s="25">
        <v>80000</v>
      </c>
      <c r="F38" s="25">
        <v>40000</v>
      </c>
      <c r="G38" s="25">
        <v>20000</v>
      </c>
      <c r="H38" s="14">
        <f t="shared" si="0"/>
        <v>140000</v>
      </c>
    </row>
    <row r="39" customHeight="1" spans="1:8">
      <c r="C39" t="s">
        <v>217</v>
      </c>
      <c r="D39" t="s">
        <v>218</v>
      </c>
      <c r="E39" s="14">
        <v>90000</v>
      </c>
      <c r="F39" s="14">
        <v>35000</v>
      </c>
      <c r="G39" s="14">
        <v>25000</v>
      </c>
      <c r="H39" s="14">
        <f t="shared" si="0"/>
        <v>150000</v>
      </c>
    </row>
    <row r="40" customHeight="1" spans="1:8">
      <c r="C40" s="11" t="s">
        <v>9</v>
      </c>
      <c r="D40" s="11" t="s">
        <v>12</v>
      </c>
      <c r="E40" s="25">
        <v>90000</v>
      </c>
      <c r="F40" s="25">
        <v>110000</v>
      </c>
      <c r="G40" s="25">
        <v>200000</v>
      </c>
      <c r="H40" s="14">
        <f t="shared" si="0"/>
        <v>400000</v>
      </c>
    </row>
    <row r="41" customHeight="1" spans="1:8">
      <c r="C41" t="s">
        <v>9</v>
      </c>
      <c r="D41" t="s">
        <v>15</v>
      </c>
      <c r="E41" s="14">
        <v>75000</v>
      </c>
      <c r="F41" s="14">
        <v>82000</v>
      </c>
      <c r="G41" s="14">
        <v>150000</v>
      </c>
      <c r="H41" s="14">
        <f t="shared" si="0"/>
        <v>307000</v>
      </c>
    </row>
    <row r="42" customHeight="1" spans="1:8">
      <c r="H42">
        <f>SUM(H34:H41)</f>
        <v>1507000</v>
      </c>
    </row>
    <row r="47" customHeight="1" spans="1:8">
      <c r="A47" s="4" t="s">
        <v>265</v>
      </c>
    </row>
    <row r="48" customHeight="1" spans="1:8">
      <c r="A48" s="4" t="s">
        <v>266</v>
      </c>
    </row>
    <row r="49" customHeight="1" spans="1:5">
      <c r="A49" s="4" t="s">
        <v>267</v>
      </c>
    </row>
    <row r="50" customHeight="1" spans="1:5">
      <c r="A50" s="4" t="s">
        <v>268</v>
      </c>
    </row>
    <row r="51" customHeight="1" spans="1:5">
      <c r="A51" s="4" t="s">
        <v>269</v>
      </c>
    </row>
    <row r="52" customHeight="1" spans="1:5">
      <c r="A52" s="4" t="s">
        <v>270</v>
      </c>
    </row>
    <row r="53" customHeight="1" spans="1:5">
      <c r="A53" s="4" t="s">
        <v>271</v>
      </c>
      <c r="C53" s="15" t="s">
        <v>208</v>
      </c>
      <c r="D53" s="15" t="s">
        <v>90</v>
      </c>
      <c r="E53" s="15" t="s">
        <v>272</v>
      </c>
    </row>
    <row r="54" customHeight="1" spans="1:5">
      <c r="A54" s="4" t="s">
        <v>273</v>
      </c>
      <c r="C54" s="11" t="s">
        <v>93</v>
      </c>
      <c r="D54" s="11" t="s">
        <v>220</v>
      </c>
      <c r="E54" s="14">
        <v>1000</v>
      </c>
    </row>
    <row r="55" customHeight="1" spans="1:5">
      <c r="A55" s="4" t="s">
        <v>274</v>
      </c>
      <c r="C55" t="s">
        <v>93</v>
      </c>
      <c r="D55" t="s">
        <v>7</v>
      </c>
      <c r="E55" s="14">
        <v>2000</v>
      </c>
    </row>
    <row r="56" customHeight="1" spans="1:5">
      <c r="A56" s="4" t="s">
        <v>275</v>
      </c>
      <c r="C56" s="11" t="s">
        <v>213</v>
      </c>
      <c r="D56" s="11" t="s">
        <v>216</v>
      </c>
      <c r="E56" s="14">
        <v>3000</v>
      </c>
    </row>
    <row r="57" customHeight="1" spans="1:5">
      <c r="A57" s="4" t="s">
        <v>199</v>
      </c>
      <c r="C57" t="s">
        <v>213</v>
      </c>
      <c r="D57" t="s">
        <v>214</v>
      </c>
      <c r="E57" s="14">
        <v>1000</v>
      </c>
    </row>
    <row r="58" customHeight="1" spans="1:5">
      <c r="C58" s="11" t="s">
        <v>217</v>
      </c>
      <c r="D58" s="11" t="s">
        <v>219</v>
      </c>
      <c r="E58" s="14">
        <v>2000</v>
      </c>
    </row>
    <row r="59" customHeight="1" spans="1:5">
      <c r="C59" t="s">
        <v>217</v>
      </c>
      <c r="D59" t="s">
        <v>218</v>
      </c>
      <c r="E59" s="14">
        <v>3000</v>
      </c>
    </row>
    <row r="60" customHeight="1" spans="1:5">
      <c r="C60" s="11" t="s">
        <v>9</v>
      </c>
      <c r="D60" s="11" t="s">
        <v>12</v>
      </c>
      <c r="E60" s="14">
        <v>4000</v>
      </c>
    </row>
    <row r="61" customHeight="1" spans="1:5">
      <c r="C61" t="s">
        <v>9</v>
      </c>
      <c r="D61" t="s">
        <v>15</v>
      </c>
      <c r="E61" s="14">
        <v>8000</v>
      </c>
    </row>
    <row r="62" customHeight="1" spans="1:5">
      <c r="C62" t="s">
        <v>264</v>
      </c>
      <c r="E62" s="26">
        <f>SUBTOTAL(101,TotalRows[Sales])</f>
        <v>3000</v>
      </c>
    </row>
    <row r="72" customHeight="1" spans="1:2">
      <c r="A72" s="4" t="s">
        <v>66</v>
      </c>
    </row>
    <row r="73" customHeight="1" spans="1:2">
      <c r="A73" s="4" t="s">
        <v>276</v>
      </c>
    </row>
    <row r="74" customHeight="1" spans="1:2">
      <c r="A74" s="4" t="s">
        <v>277</v>
      </c>
    </row>
    <row r="75" customHeight="1" spans="1:2">
      <c r="A75" s="4" t="s">
        <v>278</v>
      </c>
    </row>
    <row r="76" customHeight="1" spans="1:2">
      <c r="A76" s="4" t="s">
        <v>71</v>
      </c>
      <c r="B76" t="s">
        <v>279</v>
      </c>
    </row>
  </sheetData>
  <hyperlinks>
    <hyperlink ref="A75" r:id="rId5" display="Use calculated columns in an Excel table" tooltip="Select to learn about using calculated columns in an Excel table from the web"/>
    <hyperlink ref="A74" r:id="rId6" display="Total the data in an Excel table" tooltip="Select to learn about Total the data in an Excel table from the web"/>
    <hyperlink ref="A73" r:id="rId7" display="Overview of Excel tables" tooltip="Select to learn an overview of Excel tables from the web"/>
  </hyperlinks>
  <pageMargins left="0.7" right="0.7" top="0.75" bottom="0.75" header="0.3" footer="0.3"/>
  <pageSetup paperSize="1" orientation="portrait"/>
  <headerFooter/>
  <drawing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F63"/>
  <sheetViews>
    <sheetView showGridLines="0" zoomScalePageLayoutView="125" topLeftCell="A69" workbookViewId="0">
      <selection activeCell="D15" sqref="D15"/>
    </sheetView>
  </sheetViews>
  <sheetFormatPr defaultColWidth="8.89090909090909" defaultRowHeight="15" customHeight="1" outlineLevelCol="5"/>
  <cols>
    <col min="1" max="1" width="12.6636363636364" style="4" customWidth="1"/>
    <col min="2" max="2" width="82.8909090909091" customWidth="1"/>
    <col min="3" max="4" width="11.6636363636364" customWidth="1"/>
    <col min="5" max="6" width="13.8909090909091" customWidth="1"/>
  </cols>
  <sheetData>
    <row r="1" ht="60" customHeight="1" spans="1:6">
      <c r="A1" s="4" t="s">
        <v>280</v>
      </c>
    </row>
    <row r="2" customHeight="1" spans="1:6">
      <c r="A2" s="4" t="s">
        <v>281</v>
      </c>
    </row>
    <row r="3" customHeight="1" spans="1:6">
      <c r="A3" s="4" t="s">
        <v>282</v>
      </c>
      <c r="C3" s="15" t="s">
        <v>228</v>
      </c>
      <c r="D3" s="15" t="s">
        <v>208</v>
      </c>
    </row>
    <row r="4" customHeight="1" spans="1:6">
      <c r="A4" s="4" t="s">
        <v>283</v>
      </c>
      <c r="C4" s="16" t="s">
        <v>11</v>
      </c>
      <c r="D4" s="17" t="s">
        <v>93</v>
      </c>
    </row>
    <row r="5" s="6" customFormat="1" customHeight="1" spans="1:6">
      <c r="A5" s="4" t="s">
        <v>284</v>
      </c>
      <c r="B5"/>
      <c r="C5" s="16" t="s">
        <v>12</v>
      </c>
      <c r="D5" s="17" t="s">
        <v>9</v>
      </c>
      <c r="F5"/>
    </row>
    <row r="6" s="6" customFormat="1" customHeight="1" spans="1:6">
      <c r="A6" s="4" t="s">
        <v>285</v>
      </c>
      <c r="B6"/>
      <c r="C6" s="16" t="s">
        <v>17</v>
      </c>
      <c r="D6" s="17" t="s">
        <v>93</v>
      </c>
      <c r="F6"/>
    </row>
    <row r="7" s="6" customFormat="1" customHeight="1" spans="1:6">
      <c r="A7" s="4" t="s">
        <v>286</v>
      </c>
      <c r="B7"/>
      <c r="C7" s="16" t="s">
        <v>20</v>
      </c>
      <c r="D7" s="17" t="s">
        <v>93</v>
      </c>
      <c r="F7"/>
    </row>
    <row r="8" s="6" customFormat="1" customHeight="1" spans="1:6">
      <c r="A8" s="4" t="s">
        <v>287</v>
      </c>
      <c r="B8"/>
      <c r="C8" s="16" t="s">
        <v>288</v>
      </c>
      <c r="D8" s="17" t="s">
        <v>213</v>
      </c>
      <c r="F8"/>
    </row>
    <row r="9" s="6" customFormat="1" customHeight="1" spans="1:6">
      <c r="A9" s="4" t="s">
        <v>289</v>
      </c>
      <c r="B9"/>
      <c r="C9" s="16" t="s">
        <v>290</v>
      </c>
      <c r="D9" s="17" t="s">
        <v>9</v>
      </c>
      <c r="F9"/>
    </row>
    <row r="10" s="6" customFormat="1" customHeight="1" spans="1:6">
      <c r="A10" s="4" t="s">
        <v>30</v>
      </c>
      <c r="B10"/>
      <c r="C10" s="16" t="s">
        <v>291</v>
      </c>
      <c r="D10" s="17" t="s">
        <v>9</v>
      </c>
      <c r="F10"/>
    </row>
    <row r="11" s="6" customFormat="1" customHeight="1" spans="1:6">
      <c r="A11" s="4"/>
      <c r="B11"/>
      <c r="C11" s="16" t="s">
        <v>27</v>
      </c>
      <c r="D11" s="17" t="s">
        <v>213</v>
      </c>
      <c r="F11"/>
    </row>
    <row r="12" s="6" customFormat="1" customHeight="1" spans="1:6">
      <c r="A12" s="4"/>
      <c r="B12"/>
      <c r="C12" s="16" t="s">
        <v>15</v>
      </c>
      <c r="D12" s="17" t="s">
        <v>9</v>
      </c>
      <c r="F12"/>
    </row>
    <row r="13" s="6" customFormat="1" customHeight="1" spans="1:6">
      <c r="A13" s="4"/>
      <c r="B13"/>
      <c r="C13" s="16" t="s">
        <v>31</v>
      </c>
      <c r="D13" s="17" t="s">
        <v>213</v>
      </c>
      <c r="F13"/>
    </row>
    <row r="14" s="6" customFormat="1" customHeight="1" spans="1:6">
      <c r="A14" s="4"/>
      <c r="B14"/>
      <c r="C14" s="16" t="s">
        <v>32</v>
      </c>
      <c r="D14" s="17" t="s">
        <v>213</v>
      </c>
      <c r="F14"/>
    </row>
    <row r="15" s="6" customFormat="1" customHeight="1" spans="1:6">
      <c r="A15" s="4"/>
      <c r="B15"/>
      <c r="C15" s="16" t="s">
        <v>33</v>
      </c>
      <c r="D15" s="17" t="s">
        <v>213</v>
      </c>
      <c r="F15"/>
    </row>
    <row r="16" s="6" customFormat="1" customHeight="1" spans="1:6">
      <c r="A16" s="4"/>
      <c r="B16"/>
    </row>
    <row r="17" s="6" customFormat="1" customHeight="1" spans="1:6">
      <c r="A17" s="4"/>
      <c r="B17"/>
    </row>
    <row r="18" s="6" customFormat="1" customHeight="1" spans="1:6">
      <c r="A18" s="4"/>
      <c r="B18"/>
      <c r="C18"/>
      <c r="D18"/>
      <c r="E18"/>
      <c r="F18"/>
    </row>
    <row r="19" s="6" customFormat="1" customHeight="1" spans="1:6">
      <c r="A19" s="4"/>
      <c r="B19"/>
      <c r="C19"/>
      <c r="D19"/>
      <c r="E19"/>
      <c r="F19"/>
    </row>
    <row r="20" s="6" customFormat="1" customHeight="1" spans="1:6">
      <c r="A20" s="4"/>
      <c r="B20"/>
      <c r="C20"/>
      <c r="D20"/>
      <c r="E20"/>
      <c r="F20"/>
    </row>
    <row r="21" s="6" customFormat="1" customHeight="1" spans="1:6">
      <c r="A21" s="4"/>
      <c r="B21"/>
      <c r="C21"/>
      <c r="D21"/>
      <c r="E21"/>
      <c r="F21"/>
    </row>
    <row r="22" s="6" customFormat="1" customHeight="1" spans="1:6">
      <c r="A22" s="4"/>
      <c r="B22"/>
    </row>
    <row r="23" s="6" customFormat="1" customHeight="1" spans="1:6">
      <c r="A23" s="4"/>
      <c r="B23"/>
    </row>
    <row r="24" s="6" customFormat="1" customHeight="1" spans="1:6">
      <c r="A24" s="4"/>
      <c r="B24"/>
    </row>
    <row r="27" customHeight="1" spans="1:6">
      <c r="A27" s="4" t="s">
        <v>292</v>
      </c>
    </row>
    <row r="28" customHeight="1" spans="1:6">
      <c r="A28" s="4" t="s">
        <v>293</v>
      </c>
    </row>
    <row r="29" customHeight="1" spans="1:6">
      <c r="A29" s="4" t="s">
        <v>294</v>
      </c>
    </row>
    <row r="30" customHeight="1" spans="1:6">
      <c r="A30" s="4" t="s">
        <v>295</v>
      </c>
    </row>
    <row r="31" customHeight="1" spans="1:6">
      <c r="A31" s="4" t="s">
        <v>296</v>
      </c>
      <c r="C31" s="18" t="s">
        <v>228</v>
      </c>
      <c r="D31" s="18" t="s">
        <v>208</v>
      </c>
      <c r="F31" s="19" t="s">
        <v>208</v>
      </c>
    </row>
    <row r="32" customHeight="1" spans="1:6">
      <c r="A32" s="4" t="s">
        <v>297</v>
      </c>
      <c r="C32" s="20" t="s">
        <v>11</v>
      </c>
      <c r="D32" s="20" t="s">
        <v>93</v>
      </c>
      <c r="F32" s="21" t="s">
        <v>93</v>
      </c>
    </row>
    <row r="33" customHeight="1" spans="1:6">
      <c r="A33" s="4" t="s">
        <v>298</v>
      </c>
      <c r="C33" s="20" t="s">
        <v>12</v>
      </c>
      <c r="D33" s="20" t="s">
        <v>9</v>
      </c>
      <c r="F33" s="16" t="s">
        <v>9</v>
      </c>
    </row>
    <row r="34" customHeight="1" spans="1:6">
      <c r="A34" s="4" t="s">
        <v>299</v>
      </c>
      <c r="C34" s="20" t="s">
        <v>17</v>
      </c>
      <c r="D34" s="20" t="s">
        <v>93</v>
      </c>
      <c r="F34" s="21" t="s">
        <v>213</v>
      </c>
    </row>
    <row r="35" customHeight="1" spans="1:6">
      <c r="A35" s="4" t="s">
        <v>300</v>
      </c>
      <c r="C35" s="20" t="s">
        <v>20</v>
      </c>
      <c r="D35" s="20" t="s">
        <v>93</v>
      </c>
    </row>
    <row r="36" customHeight="1" spans="1:6">
      <c r="A36" s="4" t="s">
        <v>301</v>
      </c>
      <c r="C36" s="20" t="s">
        <v>288</v>
      </c>
      <c r="D36" s="20" t="s">
        <v>93</v>
      </c>
    </row>
    <row r="37" customHeight="1" spans="1:6">
      <c r="A37" s="4" t="s">
        <v>302</v>
      </c>
      <c r="C37" s="20" t="s">
        <v>290</v>
      </c>
      <c r="D37" s="20" t="s">
        <v>93</v>
      </c>
    </row>
    <row r="38" customHeight="1" spans="1:6">
      <c r="A38" s="4" t="s">
        <v>242</v>
      </c>
      <c r="C38" s="20" t="s">
        <v>291</v>
      </c>
      <c r="D38" s="20" t="s">
        <v>9</v>
      </c>
    </row>
    <row r="39" customHeight="1" spans="1:6">
      <c r="C39" s="20" t="s">
        <v>27</v>
      </c>
      <c r="D39" s="20" t="s">
        <v>213</v>
      </c>
    </row>
    <row r="40" customHeight="1" spans="1:6">
      <c r="C40" s="20" t="s">
        <v>15</v>
      </c>
      <c r="D40" s="20" t="s">
        <v>9</v>
      </c>
    </row>
    <row r="41" customHeight="1" spans="1:6">
      <c r="C41" s="20" t="s">
        <v>31</v>
      </c>
      <c r="D41" s="20" t="s">
        <v>213</v>
      </c>
    </row>
    <row r="42" customHeight="1" spans="1:6">
      <c r="C42" s="20" t="s">
        <v>32</v>
      </c>
      <c r="D42" s="20" t="s">
        <v>213</v>
      </c>
    </row>
    <row r="43" customHeight="1" spans="1:6">
      <c r="C43" s="20" t="s">
        <v>33</v>
      </c>
      <c r="D43" s="20" t="s">
        <v>213</v>
      </c>
    </row>
    <row r="60" customHeight="1" spans="1:1">
      <c r="A60" s="4" t="s">
        <v>66</v>
      </c>
    </row>
    <row r="61" customHeight="1" spans="1:1">
      <c r="A61" s="4" t="s">
        <v>303</v>
      </c>
    </row>
    <row r="62" customHeight="1" spans="1:1">
      <c r="A62" s="4" t="s">
        <v>304</v>
      </c>
    </row>
    <row r="63" customHeight="1" spans="1:1">
      <c r="A63" s="4" t="s">
        <v>71</v>
      </c>
    </row>
  </sheetData>
  <dataValidations count="2">
    <dataValidation type="list" allowBlank="1" showInputMessage="1" showErrorMessage="1" sqref="D3:D15">
      <formula1>"Produce,Meat,Bakery"</formula1>
    </dataValidation>
    <dataValidation type="list" allowBlank="1" showInputMessage="1" showErrorMessage="1" sqref="D31:D43">
      <formula1>$F$31:$F$34</formula1>
    </dataValidation>
  </dataValidations>
  <hyperlinks>
    <hyperlink ref="A62" r:id="rId4" display="Create a drop-down list" tooltip="Select to learn about creating a drop-down list from the web"/>
    <hyperlink ref="A61" r:id="rId5" display="Apply data validation to cells" tooltip="Select to learn about applying data validation to cells from the web"/>
  </hyperlinks>
  <pageMargins left="0.7" right="0.7" top="0.75" bottom="0.75" header="0.3" footer="0.3"/>
  <pageSetup paperSize="1" orientation="portrait"/>
  <headerFooter/>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71"/>
  <sheetViews>
    <sheetView showGridLines="0" tabSelected="1" zoomScalePageLayoutView="125" topLeftCell="A26" workbookViewId="0">
      <selection activeCell="G51" sqref="G51"/>
    </sheetView>
  </sheetViews>
  <sheetFormatPr defaultColWidth="8.89090909090909" defaultRowHeight="15" customHeight="1" outlineLevelCol="6"/>
  <cols>
    <col min="1" max="1" width="12.6636363636364" style="4" customWidth="1"/>
    <col min="2" max="2" width="82.8909090909091" customWidth="1"/>
    <col min="3" max="3" width="13.8909090909091" customWidth="1"/>
    <col min="4" max="4" width="11" customWidth="1"/>
    <col min="5" max="5" width="10.8909090909091" customWidth="1"/>
    <col min="6" max="7" width="11.8909090909091" customWidth="1"/>
  </cols>
  <sheetData>
    <row r="1" ht="60" customHeight="1" spans="1:7">
      <c r="A1" s="4" t="s">
        <v>305</v>
      </c>
    </row>
    <row r="2" customHeight="1" spans="1:7">
      <c r="A2" s="4" t="s">
        <v>306</v>
      </c>
    </row>
    <row r="3" customHeight="1" spans="1:7">
      <c r="A3" s="4" t="s">
        <v>307</v>
      </c>
    </row>
    <row r="4" customHeight="1" spans="1:7">
      <c r="A4" s="4" t="s">
        <v>308</v>
      </c>
    </row>
    <row r="5" s="6" customFormat="1" customHeight="1" spans="1:7">
      <c r="A5" s="4" t="s">
        <v>309</v>
      </c>
      <c r="B5"/>
      <c r="C5" t="s">
        <v>208</v>
      </c>
      <c r="D5" t="s">
        <v>90</v>
      </c>
      <c r="E5" t="s">
        <v>209</v>
      </c>
      <c r="F5" t="s">
        <v>210</v>
      </c>
      <c r="G5" t="s">
        <v>211</v>
      </c>
    </row>
    <row r="6" s="6" customFormat="1" customHeight="1" spans="1:7">
      <c r="A6" s="4" t="s">
        <v>310</v>
      </c>
      <c r="B6"/>
      <c r="C6" t="s">
        <v>213</v>
      </c>
      <c r="D6" t="s">
        <v>216</v>
      </c>
      <c r="E6" s="14">
        <v>30000</v>
      </c>
      <c r="F6" s="14">
        <v>15000</v>
      </c>
      <c r="G6" s="14">
        <v>20000</v>
      </c>
    </row>
    <row r="7" s="6" customFormat="1" customHeight="1" spans="1:7">
      <c r="A7" s="4" t="s">
        <v>311</v>
      </c>
      <c r="B7"/>
      <c r="C7" t="s">
        <v>213</v>
      </c>
      <c r="D7" t="s">
        <v>214</v>
      </c>
      <c r="E7" s="14">
        <v>25000</v>
      </c>
      <c r="F7" s="14">
        <v>80000</v>
      </c>
      <c r="G7" s="14">
        <v>120000</v>
      </c>
    </row>
    <row r="8" s="6" customFormat="1" customHeight="1" spans="1:7">
      <c r="A8" s="4" t="s">
        <v>312</v>
      </c>
      <c r="B8"/>
      <c r="C8" t="s">
        <v>217</v>
      </c>
      <c r="D8" t="s">
        <v>256</v>
      </c>
      <c r="E8" s="14">
        <v>80000</v>
      </c>
      <c r="F8" s="14">
        <v>40000</v>
      </c>
      <c r="G8" s="14">
        <v>20000</v>
      </c>
    </row>
    <row r="9" s="6" customFormat="1" customHeight="1" spans="1:7">
      <c r="A9" s="4" t="s">
        <v>313</v>
      </c>
      <c r="B9"/>
      <c r="C9" t="s">
        <v>217</v>
      </c>
      <c r="D9" t="s">
        <v>218</v>
      </c>
      <c r="E9" s="14">
        <v>90000</v>
      </c>
      <c r="F9" s="14">
        <v>35000</v>
      </c>
      <c r="G9" s="14">
        <v>25000</v>
      </c>
    </row>
    <row r="10" s="6" customFormat="1" customHeight="1" spans="1:7">
      <c r="A10" s="4" t="s">
        <v>30</v>
      </c>
      <c r="B10"/>
      <c r="C10" t="s">
        <v>9</v>
      </c>
      <c r="D10" t="s">
        <v>12</v>
      </c>
      <c r="E10" s="14">
        <v>90000</v>
      </c>
      <c r="F10" s="14">
        <v>110000</v>
      </c>
      <c r="G10" s="14">
        <v>200000</v>
      </c>
    </row>
    <row r="11" s="6" customFormat="1" customHeight="1" spans="1:7">
      <c r="A11" s="4"/>
      <c r="B11"/>
      <c r="C11" t="s">
        <v>9</v>
      </c>
      <c r="D11" t="s">
        <v>15</v>
      </c>
      <c r="E11" s="14">
        <v>75000</v>
      </c>
      <c r="F11" s="14">
        <v>82000</v>
      </c>
      <c r="G11" s="14">
        <v>150000</v>
      </c>
    </row>
    <row r="12" s="6" customFormat="1" customHeight="1" spans="1:7">
      <c r="A12" s="4"/>
      <c r="B12"/>
      <c r="C12" t="s">
        <v>93</v>
      </c>
      <c r="D12" t="s">
        <v>220</v>
      </c>
      <c r="E12" s="14">
        <v>30000</v>
      </c>
      <c r="F12" s="14">
        <v>80000</v>
      </c>
      <c r="G12" s="14">
        <v>30000</v>
      </c>
    </row>
    <row r="13" s="6" customFormat="1" customHeight="1" spans="1:7">
      <c r="A13" s="4"/>
      <c r="B13"/>
      <c r="C13" t="s">
        <v>93</v>
      </c>
      <c r="D13" t="s">
        <v>7</v>
      </c>
      <c r="E13" s="14">
        <v>10000</v>
      </c>
      <c r="F13" s="14">
        <v>30000</v>
      </c>
      <c r="G13" s="14">
        <v>40000</v>
      </c>
    </row>
    <row r="14" s="6" customFormat="1" customHeight="1" spans="1:7">
      <c r="A14" s="4"/>
      <c r="B14"/>
      <c r="C14"/>
      <c r="D14"/>
      <c r="E14"/>
      <c r="F14"/>
      <c r="G14"/>
    </row>
    <row r="15" s="6" customFormat="1" customHeight="1" spans="1:7">
      <c r="A15" s="4"/>
      <c r="B15"/>
      <c r="C15"/>
      <c r="D15"/>
      <c r="E15"/>
      <c r="F15"/>
      <c r="G15"/>
    </row>
    <row r="16" s="6" customFormat="1" customHeight="1" spans="1:7">
      <c r="A16" s="4"/>
      <c r="B16"/>
      <c r="C16"/>
      <c r="D16"/>
      <c r="E16"/>
      <c r="F16"/>
      <c r="G16"/>
    </row>
    <row r="17" s="6" customFormat="1" customHeight="1" spans="1:7">
      <c r="A17" s="4"/>
      <c r="B17"/>
      <c r="C17"/>
      <c r="D17"/>
      <c r="E17"/>
      <c r="F17"/>
      <c r="G17"/>
    </row>
    <row r="18" s="6" customFormat="1" customHeight="1" spans="1:7">
      <c r="A18" s="4"/>
      <c r="B18"/>
      <c r="C18"/>
      <c r="D18"/>
      <c r="E18"/>
      <c r="F18"/>
      <c r="G18"/>
    </row>
    <row r="19" s="6" customFormat="1" customHeight="1" spans="1:7">
      <c r="A19" s="4"/>
      <c r="B19"/>
      <c r="C19"/>
      <c r="D19"/>
      <c r="E19"/>
      <c r="F19"/>
      <c r="G19"/>
    </row>
    <row r="20" s="6" customFormat="1" customHeight="1" spans="1:7">
      <c r="A20" s="4"/>
      <c r="B20"/>
      <c r="C20"/>
      <c r="D20"/>
      <c r="E20"/>
      <c r="F20"/>
      <c r="G20"/>
    </row>
    <row r="21" s="6" customFormat="1" customHeight="1" spans="1:7">
      <c r="A21" s="4"/>
      <c r="B21"/>
      <c r="C21"/>
      <c r="D21"/>
      <c r="E21"/>
      <c r="F21"/>
      <c r="G21"/>
    </row>
    <row r="22" s="6" customFormat="1" customHeight="1" spans="1:7">
      <c r="A22" s="4"/>
      <c r="B22"/>
    </row>
    <row r="23" s="6" customFormat="1" customHeight="1" spans="1:7">
      <c r="A23" s="4"/>
      <c r="B23"/>
    </row>
    <row r="24" s="6" customFormat="1" customHeight="1" spans="1:7">
      <c r="A24" s="4"/>
      <c r="B24"/>
    </row>
    <row r="27" customHeight="1" spans="1:7">
      <c r="A27" s="4" t="s">
        <v>314</v>
      </c>
    </row>
    <row r="28" customHeight="1" spans="1:7">
      <c r="A28" s="4" t="s">
        <v>315</v>
      </c>
    </row>
    <row r="29" customHeight="1" spans="1:7">
      <c r="A29" s="4" t="s">
        <v>316</v>
      </c>
    </row>
    <row r="30" customHeight="1" spans="1:7">
      <c r="A30" s="4" t="s">
        <v>317</v>
      </c>
    </row>
    <row r="31" customHeight="1" spans="1:7">
      <c r="A31" s="4" t="s">
        <v>318</v>
      </c>
    </row>
    <row r="32" customHeight="1" spans="1:7">
      <c r="A32" s="4" t="s">
        <v>319</v>
      </c>
    </row>
    <row r="33" customHeight="1" spans="1:7">
      <c r="A33" s="4" t="s">
        <v>320</v>
      </c>
    </row>
    <row r="34" customHeight="1" spans="1:7">
      <c r="A34" s="4" t="s">
        <v>263</v>
      </c>
      <c r="C34" t="s">
        <v>208</v>
      </c>
      <c r="D34" t="s">
        <v>90</v>
      </c>
      <c r="E34" t="s">
        <v>209</v>
      </c>
      <c r="F34" t="s">
        <v>210</v>
      </c>
      <c r="G34" t="s">
        <v>211</v>
      </c>
    </row>
    <row r="35" customHeight="1" spans="1:7">
      <c r="C35" t="s">
        <v>213</v>
      </c>
      <c r="D35" t="s">
        <v>216</v>
      </c>
      <c r="E35" s="14">
        <v>30000</v>
      </c>
      <c r="F35" s="14">
        <v>15000</v>
      </c>
      <c r="G35" s="14">
        <v>20000</v>
      </c>
    </row>
    <row r="36" customHeight="1" spans="1:7">
      <c r="C36" t="s">
        <v>213</v>
      </c>
      <c r="D36" t="s">
        <v>214</v>
      </c>
      <c r="E36" s="14">
        <v>25000</v>
      </c>
      <c r="F36" s="14">
        <v>80000</v>
      </c>
      <c r="G36" s="14">
        <v>120000</v>
      </c>
    </row>
    <row r="37" customHeight="1" spans="1:7">
      <c r="C37" t="s">
        <v>217</v>
      </c>
      <c r="D37" t="s">
        <v>219</v>
      </c>
      <c r="E37" s="14">
        <v>80000</v>
      </c>
      <c r="F37" s="14">
        <v>40000</v>
      </c>
      <c r="G37" s="14">
        <v>20000</v>
      </c>
    </row>
    <row r="38" customHeight="1" spans="1:7">
      <c r="C38" t="s">
        <v>217</v>
      </c>
      <c r="D38" t="s">
        <v>218</v>
      </c>
      <c r="E38" s="14">
        <v>90000</v>
      </c>
      <c r="F38" s="14">
        <v>35000</v>
      </c>
      <c r="G38" s="14">
        <v>25000</v>
      </c>
    </row>
    <row r="39" customHeight="1" spans="1:7">
      <c r="C39" t="s">
        <v>9</v>
      </c>
      <c r="D39" t="s">
        <v>12</v>
      </c>
      <c r="E39" s="14">
        <v>90000</v>
      </c>
      <c r="F39" s="14">
        <v>110000</v>
      </c>
      <c r="G39" s="14">
        <v>200000</v>
      </c>
    </row>
    <row r="40" customHeight="1" spans="1:7">
      <c r="C40" t="s">
        <v>9</v>
      </c>
      <c r="D40" t="s">
        <v>15</v>
      </c>
      <c r="E40" s="14">
        <v>75000</v>
      </c>
      <c r="F40" s="14">
        <v>82000</v>
      </c>
      <c r="G40" s="14">
        <v>150000</v>
      </c>
    </row>
    <row r="41" customHeight="1" spans="1:7">
      <c r="C41" t="s">
        <v>93</v>
      </c>
      <c r="D41" t="s">
        <v>220</v>
      </c>
      <c r="E41" s="14">
        <v>30000</v>
      </c>
      <c r="F41" s="14">
        <v>80000</v>
      </c>
      <c r="G41" s="14">
        <v>30000</v>
      </c>
    </row>
    <row r="42" customHeight="1" spans="1:7">
      <c r="C42" t="s">
        <v>93</v>
      </c>
      <c r="D42" t="s">
        <v>7</v>
      </c>
      <c r="E42" s="14">
        <v>10000</v>
      </c>
      <c r="F42" s="14">
        <v>30000</v>
      </c>
      <c r="G42" s="14">
        <v>40000</v>
      </c>
    </row>
    <row r="47" customHeight="1" spans="1:7">
      <c r="A47" s="4" t="s">
        <v>321</v>
      </c>
    </row>
    <row r="48" customHeight="1" spans="1:7">
      <c r="A48" s="4" t="s">
        <v>322</v>
      </c>
    </row>
    <row r="49" customHeight="1" spans="1:7">
      <c r="A49" s="4" t="s">
        <v>323</v>
      </c>
    </row>
    <row r="50" customHeight="1" spans="1:7">
      <c r="A50" s="4" t="s">
        <v>324</v>
      </c>
    </row>
    <row r="51" customHeight="1" spans="1:7">
      <c r="A51" s="4" t="s">
        <v>325</v>
      </c>
    </row>
    <row r="52" customHeight="1" spans="1:7">
      <c r="A52" s="4" t="s">
        <v>326</v>
      </c>
    </row>
    <row r="53" customHeight="1" spans="1:7">
      <c r="A53" s="4" t="s">
        <v>327</v>
      </c>
    </row>
    <row r="54" customHeight="1" spans="1:7">
      <c r="A54" s="4" t="s">
        <v>328</v>
      </c>
      <c r="C54" t="s">
        <v>208</v>
      </c>
      <c r="D54" t="s">
        <v>90</v>
      </c>
      <c r="E54" t="s">
        <v>209</v>
      </c>
      <c r="F54" t="s">
        <v>210</v>
      </c>
      <c r="G54" t="s">
        <v>211</v>
      </c>
    </row>
    <row r="55" customHeight="1" spans="1:7">
      <c r="C55" t="s">
        <v>213</v>
      </c>
      <c r="D55" t="s">
        <v>216</v>
      </c>
      <c r="E55" s="14">
        <v>30000</v>
      </c>
      <c r="F55" s="14">
        <v>15000</v>
      </c>
      <c r="G55" s="14">
        <v>20000</v>
      </c>
    </row>
    <row r="56" customHeight="1" spans="1:7">
      <c r="C56" t="s">
        <v>213</v>
      </c>
      <c r="D56" t="s">
        <v>214</v>
      </c>
      <c r="E56" s="14">
        <v>25000</v>
      </c>
      <c r="F56" s="14">
        <v>80000</v>
      </c>
      <c r="G56" s="14">
        <v>120000</v>
      </c>
    </row>
    <row r="57" customHeight="1" spans="1:7">
      <c r="C57" t="s">
        <v>217</v>
      </c>
      <c r="D57" t="s">
        <v>219</v>
      </c>
      <c r="E57" s="14">
        <v>80000</v>
      </c>
      <c r="F57" s="14">
        <v>40000</v>
      </c>
      <c r="G57" s="14">
        <v>20000</v>
      </c>
    </row>
    <row r="58" customHeight="1" spans="1:7">
      <c r="C58" t="s">
        <v>217</v>
      </c>
      <c r="D58" t="s">
        <v>218</v>
      </c>
      <c r="E58" s="14">
        <v>90000</v>
      </c>
      <c r="F58" s="14">
        <v>35000</v>
      </c>
      <c r="G58" s="14">
        <v>25000</v>
      </c>
    </row>
    <row r="59" customHeight="1" spans="1:7">
      <c r="C59" t="s">
        <v>9</v>
      </c>
      <c r="D59" t="s">
        <v>12</v>
      </c>
      <c r="E59" s="14">
        <v>90000</v>
      </c>
      <c r="F59" s="14">
        <v>110000</v>
      </c>
      <c r="G59" s="14">
        <v>200000</v>
      </c>
    </row>
    <row r="60" customHeight="1" spans="1:7">
      <c r="C60" t="s">
        <v>9</v>
      </c>
      <c r="D60" t="s">
        <v>15</v>
      </c>
      <c r="E60" s="14">
        <v>75000</v>
      </c>
      <c r="F60" s="14">
        <v>82000</v>
      </c>
      <c r="G60" s="14">
        <v>150000</v>
      </c>
    </row>
    <row r="61" customHeight="1" spans="1:7">
      <c r="C61" t="s">
        <v>93</v>
      </c>
      <c r="D61" t="s">
        <v>220</v>
      </c>
      <c r="E61" s="14">
        <v>30000</v>
      </c>
      <c r="F61" s="14">
        <v>80000</v>
      </c>
      <c r="G61" s="14">
        <v>30000</v>
      </c>
    </row>
    <row r="62" customHeight="1" spans="1:7">
      <c r="C62" t="s">
        <v>93</v>
      </c>
      <c r="D62" t="s">
        <v>7</v>
      </c>
      <c r="E62" s="14">
        <v>10000</v>
      </c>
      <c r="F62" s="14">
        <v>30000</v>
      </c>
      <c r="G62" s="14">
        <v>40000</v>
      </c>
    </row>
    <row r="68" customHeight="1" spans="1:1">
      <c r="A68" s="4" t="s">
        <v>66</v>
      </c>
    </row>
    <row r="69" customHeight="1" spans="1:1">
      <c r="A69" s="4" t="s">
        <v>329</v>
      </c>
    </row>
    <row r="70" customHeight="1" spans="1:1">
      <c r="A70" s="4" t="s">
        <v>330</v>
      </c>
    </row>
    <row r="71" customHeight="1" spans="1:1">
      <c r="A71" s="4" t="s">
        <v>71</v>
      </c>
    </row>
  </sheetData>
  <hyperlinks>
    <hyperlink ref="A69" r:id="rId5" display="Analyze your data instantly" tooltip="Select to learn about analyzing your data instantly from the web"/>
    <hyperlink ref="A70" r:id="rId6" display="Analyze trends in data using sparklines" tooltip="Select to learn about analyzing trends in data using sparklines from the web"/>
  </hyperlinks>
  <pageMargins left="0.7" right="0.7" top="0.75" bottom="0.75" header="0.3" footer="0.3"/>
  <pageSetup paperSize="1" orientation="portrait"/>
  <headerFooter/>
  <drawing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F73"/>
  <sheetViews>
    <sheetView showGridLines="0" zoomScale="99" zoomScaleNormal="99" zoomScalePageLayoutView="125" workbookViewId="0">
      <selection activeCell="C6" sqref="C6"/>
    </sheetView>
  </sheetViews>
  <sheetFormatPr defaultColWidth="8.89090909090909" defaultRowHeight="15" customHeight="1" outlineLevelCol="5"/>
  <cols>
    <col min="1" max="1" width="12.6636363636364" style="4" customWidth="1"/>
    <col min="2" max="2" width="82.8909090909091" customWidth="1"/>
    <col min="3" max="3" width="13.8909090909091" customWidth="1"/>
    <col min="4" max="4" width="24.4454545454545" customWidth="1"/>
    <col min="5" max="5" width="23.8909090909091" customWidth="1"/>
    <col min="6" max="6" width="15.5545454545455" customWidth="1"/>
  </cols>
  <sheetData>
    <row r="1" ht="60" customHeight="1" spans="1:6">
      <c r="A1" s="4" t="s">
        <v>331</v>
      </c>
    </row>
    <row r="2" customHeight="1" spans="1:6">
      <c r="A2" s="4" t="s">
        <v>332</v>
      </c>
    </row>
    <row r="3" customHeight="1" spans="1:6">
      <c r="A3" s="4" t="s">
        <v>333</v>
      </c>
    </row>
    <row r="4" customHeight="1" spans="1:6">
      <c r="A4" s="4" t="s">
        <v>334</v>
      </c>
    </row>
    <row r="5" s="6" customFormat="1" customHeight="1" spans="1:6">
      <c r="A5" s="4" t="s">
        <v>335</v>
      </c>
      <c r="B5"/>
      <c r="C5" t="s">
        <v>336</v>
      </c>
      <c r="D5" t="s">
        <v>337</v>
      </c>
      <c r="E5"/>
      <c r="F5"/>
    </row>
    <row r="6" s="6" customFormat="1" customHeight="1" spans="1:6">
      <c r="A6" s="4" t="s">
        <v>338</v>
      </c>
      <c r="B6"/>
      <c r="C6">
        <f ca="1">YEAR(TODAY())-5</f>
        <v>2021</v>
      </c>
      <c r="D6">
        <v>500</v>
      </c>
      <c r="E6"/>
      <c r="F6"/>
    </row>
    <row r="7" s="6" customFormat="1" customHeight="1" spans="1:6">
      <c r="A7" s="4" t="s">
        <v>339</v>
      </c>
      <c r="B7"/>
      <c r="C7">
        <f ca="1">YEAR(TODAY())-4</f>
        <v>2022</v>
      </c>
      <c r="D7">
        <v>800</v>
      </c>
      <c r="E7"/>
      <c r="F7"/>
    </row>
    <row r="8" s="6" customFormat="1" customHeight="1" spans="1:6">
      <c r="A8" s="4" t="s">
        <v>340</v>
      </c>
      <c r="B8"/>
      <c r="C8">
        <f ca="1">YEAR(TODAY())-3</f>
        <v>2023</v>
      </c>
      <c r="D8">
        <v>1000</v>
      </c>
      <c r="E8"/>
      <c r="F8"/>
    </row>
    <row r="9" s="6" customFormat="1" customHeight="1" spans="1:6">
      <c r="A9" s="5" t="s">
        <v>341</v>
      </c>
      <c r="B9"/>
      <c r="C9">
        <f ca="1">YEAR(TODAY())-2</f>
        <v>2024</v>
      </c>
      <c r="D9">
        <v>900</v>
      </c>
      <c r="E9"/>
      <c r="F9"/>
    </row>
    <row r="10" s="6" customFormat="1" customHeight="1" spans="1:6">
      <c r="A10" s="4" t="s">
        <v>30</v>
      </c>
      <c r="B10"/>
      <c r="C10">
        <f ca="1">YEAR(TODAY())-1</f>
        <v>2025</v>
      </c>
      <c r="D10">
        <v>1000</v>
      </c>
      <c r="E10"/>
      <c r="F10"/>
    </row>
    <row r="11" s="6" customFormat="1" customHeight="1" spans="1:6">
      <c r="A11" s="4"/>
      <c r="B11"/>
      <c r="C11">
        <f ca="1">YEAR(TODAY())</f>
        <v>2026</v>
      </c>
      <c r="D11">
        <v>1200</v>
      </c>
      <c r="E11"/>
      <c r="F11"/>
    </row>
    <row r="12" s="6" customFormat="1" customHeight="1" spans="1:6">
      <c r="A12" s="4"/>
      <c r="B12"/>
      <c r="C12"/>
      <c r="D12"/>
      <c r="E12"/>
      <c r="F12"/>
    </row>
    <row r="13" s="6" customFormat="1" customHeight="1" spans="1:6">
      <c r="A13" s="4"/>
      <c r="B13"/>
      <c r="C13"/>
      <c r="D13"/>
      <c r="E13"/>
      <c r="F13"/>
    </row>
    <row r="14" s="6" customFormat="1" customHeight="1" spans="1:6">
      <c r="A14" s="4"/>
      <c r="B14"/>
      <c r="C14"/>
      <c r="D14"/>
      <c r="E14"/>
      <c r="F14"/>
    </row>
    <row r="15" s="6" customFormat="1" customHeight="1" spans="1:6">
      <c r="A15" s="4"/>
      <c r="B15"/>
      <c r="C15"/>
      <c r="D15"/>
      <c r="E15"/>
      <c r="F15"/>
    </row>
    <row r="16" s="6" customFormat="1" customHeight="1" spans="1:6">
      <c r="A16" s="4"/>
      <c r="B16"/>
      <c r="C16"/>
      <c r="D16"/>
      <c r="E16"/>
      <c r="F16"/>
    </row>
    <row r="17" s="6" customFormat="1" customHeight="1" spans="1:6">
      <c r="A17" s="4"/>
      <c r="B17"/>
      <c r="C17"/>
      <c r="D17"/>
      <c r="E17"/>
      <c r="F17"/>
    </row>
    <row r="18" s="6" customFormat="1" customHeight="1" spans="1:6">
      <c r="A18" s="4"/>
      <c r="B18"/>
      <c r="C18"/>
      <c r="D18"/>
      <c r="E18"/>
      <c r="F18"/>
    </row>
    <row r="19" s="6" customFormat="1" customHeight="1" spans="1:6">
      <c r="A19" s="4"/>
      <c r="B19"/>
      <c r="C19"/>
      <c r="D19"/>
      <c r="E19"/>
      <c r="F19"/>
    </row>
    <row r="20" s="6" customFormat="1" customHeight="1" spans="1:6">
      <c r="A20" s="4"/>
      <c r="B20"/>
      <c r="C20"/>
      <c r="D20"/>
      <c r="E20"/>
      <c r="F20"/>
    </row>
    <row r="21" s="6" customFormat="1" customHeight="1" spans="1:6">
      <c r="A21" s="4"/>
      <c r="B21"/>
      <c r="C21"/>
      <c r="D21"/>
      <c r="E21"/>
      <c r="F21"/>
    </row>
    <row r="22" s="6" customFormat="1" customHeight="1" spans="1:6">
      <c r="A22" s="4"/>
      <c r="B22"/>
    </row>
    <row r="23" s="6" customFormat="1" customHeight="1" spans="1:6">
      <c r="A23" s="4"/>
      <c r="B23"/>
    </row>
    <row r="24" s="6" customFormat="1" customHeight="1" spans="1:6">
      <c r="A24" s="4"/>
      <c r="B24"/>
    </row>
    <row r="27" customHeight="1" spans="1:6">
      <c r="A27" s="4" t="s">
        <v>342</v>
      </c>
    </row>
    <row r="28" customHeight="1" spans="1:6">
      <c r="A28" s="4" t="s">
        <v>343</v>
      </c>
    </row>
    <row r="29" customHeight="1" spans="1:6">
      <c r="A29" s="4" t="s">
        <v>344</v>
      </c>
    </row>
    <row r="30" customHeight="1" spans="1:6">
      <c r="A30" s="4" t="s">
        <v>345</v>
      </c>
    </row>
    <row r="31" customHeight="1" spans="1:6">
      <c r="A31" s="4" t="s">
        <v>346</v>
      </c>
    </row>
    <row r="32" customHeight="1" spans="1:6">
      <c r="A32" s="4" t="s">
        <v>347</v>
      </c>
    </row>
    <row r="33" customHeight="1" spans="1:1">
      <c r="A33" s="4" t="s">
        <v>348</v>
      </c>
    </row>
    <row r="34" customHeight="1" spans="1:1">
      <c r="A34" s="4" t="s">
        <v>349</v>
      </c>
    </row>
    <row r="35" customHeight="1" spans="1:1">
      <c r="A35" s="4" t="s">
        <v>350</v>
      </c>
    </row>
    <row r="52" customHeight="1" spans="1:1">
      <c r="A52" s="4" t="s">
        <v>351</v>
      </c>
    </row>
    <row r="53" customHeight="1" spans="1:1">
      <c r="A53" s="4" t="s">
        <v>352</v>
      </c>
    </row>
    <row r="54" customHeight="1" spans="1:1">
      <c r="A54" s="4" t="s">
        <v>353</v>
      </c>
    </row>
    <row r="55" customHeight="1" spans="1:1">
      <c r="A55" s="4" t="s">
        <v>354</v>
      </c>
    </row>
    <row r="56" customHeight="1" spans="1:1">
      <c r="A56" s="5" t="s">
        <v>355</v>
      </c>
    </row>
    <row r="57" customHeight="1" spans="1:1">
      <c r="A57" s="4" t="s">
        <v>328</v>
      </c>
    </row>
    <row r="67" customHeight="1" spans="1:6">
      <c r="D67" s="10" t="s">
        <v>356</v>
      </c>
      <c r="E67" s="10" t="s">
        <v>337</v>
      </c>
      <c r="F67" s="10" t="s">
        <v>357</v>
      </c>
    </row>
    <row r="68" customHeight="1" spans="1:6">
      <c r="A68" s="4" t="s">
        <v>66</v>
      </c>
      <c r="D68">
        <f ca="1">YEAR(TODAY())-5</f>
        <v>2021</v>
      </c>
      <c r="E68" s="11">
        <v>500</v>
      </c>
      <c r="F68" s="12">
        <v>5000</v>
      </c>
    </row>
    <row r="69" customHeight="1" spans="1:6">
      <c r="A69" s="4" t="s">
        <v>358</v>
      </c>
      <c r="D69">
        <f ca="1">YEAR(TODAY())-4</f>
        <v>2022</v>
      </c>
      <c r="E69">
        <v>800</v>
      </c>
      <c r="F69" s="13">
        <v>11200</v>
      </c>
    </row>
    <row r="70" customHeight="1" spans="1:6">
      <c r="A70" s="4" t="s">
        <v>359</v>
      </c>
      <c r="D70">
        <f ca="1">YEAR(TODAY())-3</f>
        <v>2023</v>
      </c>
      <c r="E70" s="11">
        <v>1000</v>
      </c>
      <c r="F70" s="12">
        <v>30000</v>
      </c>
    </row>
    <row r="71" customHeight="1" spans="1:6">
      <c r="A71" s="4" t="s">
        <v>360</v>
      </c>
      <c r="D71">
        <f ca="1">YEAR(TODAY())-2</f>
        <v>2024</v>
      </c>
      <c r="E71">
        <v>900</v>
      </c>
      <c r="F71" s="13">
        <v>25000</v>
      </c>
    </row>
    <row r="72" customHeight="1" spans="1:6">
      <c r="A72" s="4" t="s">
        <v>71</v>
      </c>
      <c r="D72">
        <f ca="1">YEAR(TODAY())-1</f>
        <v>2025</v>
      </c>
      <c r="E72" s="11">
        <v>1000</v>
      </c>
      <c r="F72" s="12">
        <v>5000</v>
      </c>
    </row>
    <row r="73" customHeight="1" spans="1:6">
      <c r="D73">
        <f ca="1">YEAR(TODAY())</f>
        <v>2026</v>
      </c>
      <c r="E73">
        <v>1200</v>
      </c>
      <c r="F73" s="13">
        <v>8000</v>
      </c>
    </row>
  </sheetData>
  <hyperlinks>
    <hyperlink ref="A71" r:id="rId4" display="Available chart types in Office" tooltip="Select to learn about Available chart types in Office from the web"/>
    <hyperlink ref="A70" r:id="rId5" display="Create a combo chart with a secondary axis" tooltip="Select to learn about creating a combo chart with a secondary axis from the web"/>
    <hyperlink ref="A69" r:id="rId6" display="Create a chart from start to finish" tooltip="Select to learn about creating a chart from start to finish from the web"/>
  </hyperlinks>
  <pageMargins left="0.7" right="0.7" top="0.75" bottom="0.75" header="0.3" footer="0.3"/>
  <pageSetup paperSize="1" orientation="portrait"/>
  <headerFooter/>
  <drawing r:id="rId1"/>
  <tableParts count="2">
    <tablePart r:id="rId2"/>
    <tablePart r:id="rId3"/>
  </tableParts>
  <extLst>
    <ext xmlns:x14="http://schemas.microsoft.com/office/spreadsheetml/2009/9/main" uri="{05C60535-1F16-4fd2-B633-F4F36F0B64E0}">
      <x14:sparklineGroups xmlns:xm="http://schemas.microsoft.com/office/excel/2006/main">
        <x14:sparklineGroup type="line" displayEmptyCellsAs="gap">
          <x14:colorSeries rgb="FF376092"/>
          <x14:colorNegative rgb="FFD00000"/>
          <x14:colorAxis rgb="FF000000"/>
          <x14:colorMarkers rgb="FFD00000"/>
          <x14:colorFirst rgb="FFD00000"/>
          <x14:colorLast rgb="FFD00000"/>
          <x14:colorHigh rgb="FFD00000"/>
          <x14:colorLow rgb="FFD00000"/>
          <x14:sparklines>
            <x14:sparkline>
              <xm:f>'9. Charts'!D7</xm:f>
              <xm:sqref>D7</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F61"/>
  <sheetViews>
    <sheetView showGridLines="0" zoomScalePageLayoutView="125" workbookViewId="0">
      <selection activeCell="C1" sqref="C1"/>
    </sheetView>
  </sheetViews>
  <sheetFormatPr defaultColWidth="8.89090909090909" defaultRowHeight="15" customHeight="1" outlineLevelCol="5"/>
  <cols>
    <col min="1" max="1" width="12.6636363636364" style="4" customWidth="1"/>
    <col min="2" max="2" width="82.8909090909091" customWidth="1"/>
    <col min="3" max="3" width="12.4454545454545" customWidth="1"/>
    <col min="4" max="4" width="14" customWidth="1"/>
    <col min="5" max="5" width="12.4454545454545" customWidth="1"/>
    <col min="6" max="6" width="13.6636363636364" customWidth="1"/>
  </cols>
  <sheetData>
    <row r="1" ht="60" customHeight="1" spans="1:6">
      <c r="A1" s="4" t="s">
        <v>361</v>
      </c>
    </row>
    <row r="2" customHeight="1" spans="1:6">
      <c r="A2" s="4" t="s">
        <v>362</v>
      </c>
    </row>
    <row r="3" customHeight="1" spans="1:6">
      <c r="A3" s="4" t="s">
        <v>363</v>
      </c>
      <c r="C3" t="s">
        <v>356</v>
      </c>
      <c r="D3" t="s">
        <v>364</v>
      </c>
      <c r="E3" t="s">
        <v>91</v>
      </c>
      <c r="F3" t="s">
        <v>8</v>
      </c>
    </row>
    <row r="4" customHeight="1" spans="1:6">
      <c r="A4" s="4" t="s">
        <v>365</v>
      </c>
      <c r="C4" s="7">
        <f ca="1">TODAY()-57</f>
        <v>46184</v>
      </c>
      <c r="D4" t="s">
        <v>366</v>
      </c>
      <c r="E4" t="s">
        <v>367</v>
      </c>
      <c r="F4" s="8">
        <v>1400</v>
      </c>
    </row>
    <row r="5" s="6" customFormat="1" customHeight="1" spans="1:6">
      <c r="A5" s="4" t="s">
        <v>368</v>
      </c>
      <c r="B5"/>
      <c r="C5" s="7">
        <f ca="1">TODAY()-52</f>
        <v>46189</v>
      </c>
      <c r="D5" t="s">
        <v>233</v>
      </c>
      <c r="E5" t="s">
        <v>369</v>
      </c>
      <c r="F5" s="8">
        <v>1010</v>
      </c>
    </row>
    <row r="6" s="6" customFormat="1" customHeight="1" spans="1:6">
      <c r="A6" s="4" t="s">
        <v>370</v>
      </c>
      <c r="B6"/>
      <c r="C6" s="7">
        <f ca="1">TODAY()-35</f>
        <v>46206</v>
      </c>
      <c r="D6" t="s">
        <v>366</v>
      </c>
      <c r="E6" t="s">
        <v>367</v>
      </c>
      <c r="F6" s="8">
        <v>750</v>
      </c>
    </row>
    <row r="7" s="6" customFormat="1" customHeight="1" spans="1:6">
      <c r="A7" s="4" t="s">
        <v>371</v>
      </c>
      <c r="B7"/>
      <c r="C7" s="7">
        <f ca="1">TODAY()-31</f>
        <v>46210</v>
      </c>
      <c r="D7" t="s">
        <v>233</v>
      </c>
      <c r="E7" t="s">
        <v>372</v>
      </c>
      <c r="F7" s="8">
        <v>510</v>
      </c>
    </row>
    <row r="8" s="6" customFormat="1" customHeight="1" spans="1:6">
      <c r="A8" s="4" t="s">
        <v>30</v>
      </c>
      <c r="B8"/>
      <c r="C8" s="7">
        <f ca="1">TODAY()-11</f>
        <v>46230</v>
      </c>
      <c r="D8" t="s">
        <v>127</v>
      </c>
      <c r="E8" t="s">
        <v>372</v>
      </c>
      <c r="F8" s="8">
        <v>1600</v>
      </c>
    </row>
    <row r="9" s="6" customFormat="1" customHeight="1" spans="1:6">
      <c r="A9" s="4"/>
      <c r="B9"/>
      <c r="C9" s="7">
        <f ca="1">TODAY()</f>
        <v>46241</v>
      </c>
      <c r="D9" t="s">
        <v>237</v>
      </c>
      <c r="E9" t="s">
        <v>369</v>
      </c>
      <c r="F9" s="8">
        <v>680</v>
      </c>
    </row>
    <row r="10" s="6" customFormat="1" customHeight="1" spans="1:6">
      <c r="A10" s="4"/>
      <c r="B10"/>
      <c r="C10"/>
      <c r="D10"/>
      <c r="E10"/>
      <c r="F10"/>
    </row>
    <row r="11" s="6" customFormat="1" customHeight="1" spans="1:6">
      <c r="A11" s="4"/>
      <c r="B11"/>
      <c r="E11" t="s">
        <v>373</v>
      </c>
      <c r="F11" t="s">
        <v>374</v>
      </c>
    </row>
    <row r="12" s="6" customFormat="1" customHeight="1" spans="1:6">
      <c r="A12" s="4"/>
      <c r="B12"/>
      <c r="E12" s="6" t="s">
        <v>367</v>
      </c>
      <c r="F12" s="9">
        <v>2150</v>
      </c>
    </row>
    <row r="13" s="6" customFormat="1" customHeight="1" spans="1:6">
      <c r="A13" s="4"/>
      <c r="B13"/>
      <c r="E13" s="6" t="s">
        <v>372</v>
      </c>
      <c r="F13" s="9">
        <v>2110</v>
      </c>
    </row>
    <row r="14" s="6" customFormat="1" customHeight="1" spans="1:6">
      <c r="A14" s="4"/>
      <c r="B14"/>
      <c r="E14" s="6" t="s">
        <v>369</v>
      </c>
      <c r="F14" s="9">
        <v>1690</v>
      </c>
    </row>
    <row r="15" s="6" customFormat="1" customHeight="1" spans="1:6">
      <c r="A15" s="4"/>
      <c r="B15"/>
      <c r="E15" s="6" t="s">
        <v>375</v>
      </c>
      <c r="F15" s="9">
        <v>5950</v>
      </c>
    </row>
    <row r="16" s="6" customFormat="1" customHeight="1" spans="1:6">
      <c r="A16" s="4"/>
      <c r="B16"/>
      <c r="C16"/>
      <c r="D16"/>
      <c r="E16"/>
      <c r="F16"/>
    </row>
    <row r="17" s="6" customFormat="1" customHeight="1" spans="1:6">
      <c r="A17" s="4"/>
      <c r="B17"/>
      <c r="C17"/>
      <c r="D17"/>
      <c r="E17"/>
      <c r="F17"/>
    </row>
    <row r="18" s="6" customFormat="1" customHeight="1" spans="1:6">
      <c r="A18" s="4"/>
      <c r="B18"/>
      <c r="C18"/>
      <c r="D18"/>
      <c r="E18"/>
      <c r="F18"/>
    </row>
    <row r="19" s="6" customFormat="1" customHeight="1" spans="1:6">
      <c r="A19" s="4"/>
      <c r="B19"/>
      <c r="C19"/>
      <c r="D19"/>
      <c r="E19"/>
      <c r="F19"/>
    </row>
    <row r="20" s="6" customFormat="1" customHeight="1" spans="1:6">
      <c r="A20" s="4"/>
      <c r="B20"/>
      <c r="C20"/>
      <c r="D20"/>
      <c r="E20"/>
      <c r="F20"/>
    </row>
    <row r="21" s="6" customFormat="1" customHeight="1" spans="1:6">
      <c r="A21" s="4"/>
      <c r="B21"/>
      <c r="C21"/>
      <c r="D21"/>
      <c r="E21" t="s">
        <v>376</v>
      </c>
      <c r="F21"/>
    </row>
    <row r="22" s="6" customFormat="1" customHeight="1" spans="1:6">
      <c r="A22" s="4"/>
      <c r="B22"/>
      <c r="C22"/>
      <c r="D22"/>
      <c r="E22"/>
    </row>
    <row r="23" s="6" customFormat="1" customHeight="1" spans="1:6">
      <c r="A23" s="4"/>
      <c r="B23"/>
      <c r="C23"/>
      <c r="D23"/>
      <c r="E23"/>
    </row>
    <row r="24" s="6" customFormat="1" customHeight="1" spans="1:6">
      <c r="A24" s="4"/>
      <c r="B24"/>
      <c r="C24"/>
      <c r="D24"/>
      <c r="E24"/>
    </row>
    <row r="27" customHeight="1" spans="1:6">
      <c r="A27" s="4" t="s">
        <v>377</v>
      </c>
    </row>
    <row r="28" customHeight="1" spans="1:6">
      <c r="A28" s="4" t="s">
        <v>378</v>
      </c>
    </row>
    <row r="29" customHeight="1" spans="1:6">
      <c r="A29" s="4" t="s">
        <v>379</v>
      </c>
    </row>
    <row r="30" customHeight="1" spans="1:6">
      <c r="A30" s="4" t="s">
        <v>380</v>
      </c>
    </row>
    <row r="31" customHeight="1" spans="1:6">
      <c r="A31" s="4" t="s">
        <v>381</v>
      </c>
    </row>
    <row r="32" customHeight="1" spans="1:6">
      <c r="A32" s="4" t="s">
        <v>382</v>
      </c>
    </row>
    <row r="33" customHeight="1" spans="1:6">
      <c r="A33" s="5" t="s">
        <v>383</v>
      </c>
    </row>
    <row r="34" customHeight="1" spans="1:6">
      <c r="A34" s="5" t="s">
        <v>384</v>
      </c>
      <c r="C34" t="s">
        <v>356</v>
      </c>
      <c r="D34" t="s">
        <v>364</v>
      </c>
      <c r="E34" t="s">
        <v>91</v>
      </c>
      <c r="F34" t="s">
        <v>8</v>
      </c>
    </row>
    <row r="35" customHeight="1" spans="1:6">
      <c r="A35" s="4" t="s">
        <v>385</v>
      </c>
      <c r="C35" s="7">
        <f ca="1">TODAY()-57</f>
        <v>46184</v>
      </c>
      <c r="D35" t="s">
        <v>366</v>
      </c>
      <c r="E35" t="s">
        <v>367</v>
      </c>
      <c r="F35" s="8">
        <v>1400</v>
      </c>
    </row>
    <row r="36" customHeight="1" spans="1:6">
      <c r="A36" s="4" t="s">
        <v>386</v>
      </c>
      <c r="C36" s="7">
        <f ca="1">TODAY()-52</f>
        <v>46189</v>
      </c>
      <c r="D36" t="s">
        <v>233</v>
      </c>
      <c r="E36" t="s">
        <v>369</v>
      </c>
      <c r="F36" s="8">
        <v>1010</v>
      </c>
    </row>
    <row r="37" customHeight="1" spans="1:6">
      <c r="C37" s="7">
        <f ca="1">TODAY()-35</f>
        <v>46206</v>
      </c>
      <c r="D37" t="s">
        <v>366</v>
      </c>
      <c r="E37" t="s">
        <v>367</v>
      </c>
      <c r="F37" s="8">
        <v>750</v>
      </c>
    </row>
    <row r="38" customHeight="1" spans="1:6">
      <c r="C38" s="7">
        <f ca="1">TODAY()-31</f>
        <v>46210</v>
      </c>
      <c r="D38" t="s">
        <v>233</v>
      </c>
      <c r="E38" t="s">
        <v>372</v>
      </c>
      <c r="F38" s="8">
        <v>510</v>
      </c>
    </row>
    <row r="39" customHeight="1" spans="1:6">
      <c r="C39" s="7">
        <f ca="1">TODAY()-11</f>
        <v>46230</v>
      </c>
      <c r="D39" t="s">
        <v>127</v>
      </c>
      <c r="E39" t="s">
        <v>372</v>
      </c>
      <c r="F39" s="8">
        <v>1600</v>
      </c>
    </row>
    <row r="40" customHeight="1" spans="1:6">
      <c r="C40" s="7">
        <f ca="1">TODAY()</f>
        <v>46241</v>
      </c>
      <c r="D40" t="s">
        <v>237</v>
      </c>
      <c r="E40" t="s">
        <v>369</v>
      </c>
      <c r="F40" s="8">
        <v>680</v>
      </c>
    </row>
    <row r="58" customHeight="1" spans="1:1">
      <c r="A58" s="4" t="s">
        <v>66</v>
      </c>
    </row>
    <row r="59" customHeight="1" spans="1:1">
      <c r="A59" s="4" t="s">
        <v>387</v>
      </c>
    </row>
    <row r="60" customHeight="1" spans="1:1">
      <c r="A60" s="4" t="s">
        <v>388</v>
      </c>
    </row>
    <row r="61" customHeight="1" spans="1:1">
      <c r="A61" s="4" t="s">
        <v>71</v>
      </c>
    </row>
  </sheetData>
  <hyperlinks>
    <hyperlink ref="A60" r:id="rId5" display="Use the Field List to arrange fields in a PivotTable" tooltip="Select to learn about using the Field List to arrange fields in a PivotTable from the web"/>
    <hyperlink ref="A59" r:id="rId6" display="Create a PivotTable to analyze worksheet data" tooltip="Select to learn creating a PivotTable to analyze worksheet data from the web"/>
  </hyperlinks>
  <pageMargins left="0.7" right="0.7" top="0.75" bottom="0.75" header="0.3" footer="0.3"/>
  <pageSetup paperSize="1" orientation="portrait"/>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B7"/>
  <sheetViews>
    <sheetView showGridLines="0" zoomScale="47" zoomScaleNormal="47" workbookViewId="0">
      <selection activeCell="A1" sqref="A1"/>
    </sheetView>
  </sheetViews>
  <sheetFormatPr defaultColWidth="8.89090909090909" defaultRowHeight="15" customHeight="1" outlineLevelRow="6" outlineLevelCol="1"/>
  <cols>
    <col min="1" max="1" width="8.89090909090909" style="4"/>
    <col min="2" max="2" width="95.1090909090909" customWidth="1"/>
  </cols>
  <sheetData>
    <row r="1" ht="60" customHeight="1" spans="1:2">
      <c r="A1" s="4" t="s">
        <v>389</v>
      </c>
    </row>
    <row r="2" s="1" customFormat="1" customHeight="1" spans="1:2">
      <c r="A2" s="4" t="s">
        <v>390</v>
      </c>
      <c r="B2"/>
    </row>
    <row r="3" s="1" customFormat="1" customHeight="1" spans="1:2">
      <c r="A3" s="4" t="s">
        <v>391</v>
      </c>
      <c r="B3"/>
    </row>
    <row r="4" s="2" customFormat="1" customHeight="1" spans="1:2">
      <c r="A4" s="4" t="s">
        <v>392</v>
      </c>
      <c r="B4"/>
    </row>
    <row r="5" s="3" customFormat="1" customHeight="1" spans="1:2">
      <c r="A5" s="4" t="s">
        <v>393</v>
      </c>
      <c r="B5"/>
    </row>
    <row r="6" s="3" customFormat="1" customHeight="1" spans="1:2">
      <c r="A6" s="5" t="s">
        <v>394</v>
      </c>
      <c r="B6"/>
    </row>
    <row r="7" customHeight="1" spans="1:2">
      <c r="A7"/>
    </row>
  </sheetData>
  <hyperlinks>
    <hyperlink ref="A4" r:id="rId2" display="LinkedIn Learning: Video courses for all levels—from beginner to advanced. Take at your own pace.&#10;" tooltip="Select to learn more about LinkedIn Learning"/>
    <hyperlink ref="A5" r:id="rId3" display="Community: Ask questions and connect with other Excel fans.&#10;" tooltip="Select to learn more about Community"/>
    <hyperlink ref="A6" r:id="rId4" display="What else is new?&#10;Office 365 subscribers get continual updates and new features.&#10;&#10;" tooltip="Select to learn more about what else is new"/>
  </hyperlinks>
  <pageMargins left="0.7" right="0.7" top="0.75" bottom="0.75" header="0.3" footer="0.3"/>
  <pageSetup paperSize="1"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4315E79D-C406-42D4-908D-28C047A7AC27}">
  <ds:schemaRefs/>
</ds:datastoreItem>
</file>

<file path=customXml/itemProps2.xml><?xml version="1.0" encoding="utf-8"?>
<ds:datastoreItem xmlns:ds="http://schemas.openxmlformats.org/officeDocument/2006/customXml" ds:itemID="{242BD9D9-5391-4370-B039-343825009DDA}">
  <ds:schemaRefs/>
</ds:datastoreItem>
</file>

<file path=customXml/itemProps3.xml><?xml version="1.0" encoding="utf-8"?>
<ds:datastoreItem xmlns:ds="http://schemas.openxmlformats.org/officeDocument/2006/customXml" ds:itemID="{9E8AB08A-59C1-444E-AE1E-1DBAE428CFBC}">
  <ds:schemaRefs/>
</ds:datastoreItem>
</file>

<file path=docProps/app.xml><?xml version="1.0" encoding="utf-8"?>
<Properties xmlns="http://schemas.openxmlformats.org/officeDocument/2006/extended-properties" xmlns:vt="http://schemas.openxmlformats.org/officeDocument/2006/docPropsVTypes">
  <Template>TM10000137</Template>
  <Application>Microsoft Excel</Application>
  <HeadingPairs>
    <vt:vector size="2" baseType="variant">
      <vt:variant>
        <vt:lpstr>工作表</vt:lpstr>
      </vt:variant>
      <vt:variant>
        <vt:i4>12</vt:i4>
      </vt:variant>
    </vt:vector>
  </HeadingPairs>
  <TitlesOfParts>
    <vt:vector size="12"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Suraj singh</cp:lastModifiedBy>
  <dcterms:created xsi:type="dcterms:W3CDTF">2020-01-28T19:47:00Z</dcterms:created>
  <dcterms:modified xsi:type="dcterms:W3CDTF">2026-08-07T15:52:03Z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ICV">
    <vt:lpwstr>7C0F355C34F5484482BDB5B7DE763D8C_12</vt:lpwstr>
  </property>
  <property fmtid="{D5CDD505-2E9C-101B-9397-08002B2CF9AE}" pid="4" name="KSOProductBuildVer">
    <vt:lpwstr>1033-12.1.0.28032</vt:lpwstr>
  </property>
  <property fmtid="{D5CDD505-2E9C-101B-9397-08002B2CF9AE}" pid="5" name="CalculationRule">
    <vt:i4>0</vt:i4>
  </property>
</Properties>
</file>