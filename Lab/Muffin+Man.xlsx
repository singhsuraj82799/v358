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Sales">Sheet1!$B$4:$B$6</definedName>
    <definedName name="Ingredients">Sheet1!$B$9</definedName>
    <definedName name="Price">Sheet1!$B$10</definedName>
    <definedName name="Overheads">Sheet1!$B$11</definedName>
    <definedName name="Revenue">Sheet1!$C$4:$C$6</definedName>
    <definedName name="Costs">Sheet1!$D$4:$D$6</definedName>
    <definedName name="Profit">Sheet1!$E$4:$E$6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<sst xmlns="http://schemas.openxmlformats.org/spreadsheetml/2006/main" count="12" uniqueCount="12">
  <si>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</si>
  <si>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</si>
  <si>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</si>
  <si>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</si>
  <si>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</si>
  <si>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</si>
  <si>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</si>
  <si>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</si>
  <si>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</si>
  <si>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</si>
  <si>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</si>
  <si>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Figs are per muffin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</si>
</sst>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i/>
      <u/>
      <sz val="12"/>
      <color theme="1"/>
      <name val="Calibri"/>
      <charset val="134"/>
    </font>
    <font>
      <i/>
      <sz val="11"/>
      <color theme="1"/>
      <name val="Calibri"/>
      <charset val="134"/>
    </font>
    <font>
      <sz val="11"/>
      <color theme="1"/>
      <name val="Calibri"/>
      <charset val="134"/>
    </font>
    <font>
      <i/>
      <sz val="8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tabSelected="1" workbookViewId="0">
      <selection activeCell="D10" sqref="D10"/>
    </sheetView>
  </sheetViews>
  <sheetFormatPr defaultColWidth="14.4272727272727" defaultRowHeight="15" customHeight="1" outlineLevelCol="4"/>
  <cols>
    <col min="1" max="1" width="58.2909090909091" customWidth="1"/>
    <col min="2" max="2" width="8.70909090909091" customWidth="1"/>
    <col min="3" max="3" width="9.86363636363636" customWidth="1"/>
    <col min="4" max="26" width="8.70909090909091" customWidth="1"/>
  </cols>
  <sheetData>
    <row r="1" ht="14.25" customHeight="1" spans="1:5">
      <c r="A1" s="1" t="s">
        <v>0</v>
      </c>
    </row>
    <row r="2" ht="14.25" customHeight="1"/>
    <row r="3" ht="14.25" customHeight="1" spans="1:5">
      <c r="B3" s="2" t="s">
        <v>1</v>
      </c>
      <c r="C3" s="2" t="s">
        <v>2</v>
      </c>
      <c r="D3" s="2" t="s">
        <v>3</v>
      </c>
      <c r="E3" s="2" t="s">
        <v>4</v>
      </c>
    </row>
    <row r="4" ht="14.25" customHeight="1" spans="1:5">
      <c r="A4" s="3" t="s">
        <v>5</v>
      </c>
      <c r="B4" s="4">
        <v>300</v>
      </c>
      <c r="C4" s="4" cm="1">
        <f t="array" ref="C4:C6">Sales*Price</f>
        <v>525</v>
      </c>
      <c r="D4" s="4" cm="1">
        <f t="array" ref="D4:D6">(Ingredients*Sales)+(Overheads*Sales)</f>
        <v>240</v>
      </c>
      <c r="E4" s="4" cm="1">
        <f t="array" ref="E4:E6">Revenue-Costs</f>
        <v>285</v>
      </c>
    </row>
    <row r="5" ht="14.25" customHeight="1" spans="1:5">
      <c r="A5" s="3" t="s">
        <v>6</v>
      </c>
      <c r="B5" s="4">
        <v>200</v>
      </c>
      <c r="C5" s="4">
        <v>350</v>
      </c>
      <c r="D5" s="4">
        <v>160</v>
      </c>
      <c r="E5" s="4">
        <v>190</v>
      </c>
    </row>
    <row r="6" ht="14.25" customHeight="1" spans="1:5">
      <c r="A6" s="3" t="s">
        <v>7</v>
      </c>
      <c r="B6" s="4">
        <v>450</v>
      </c>
      <c r="C6" s="4">
        <v>787.5</v>
      </c>
      <c r="D6" s="4">
        <v>360</v>
      </c>
      <c r="E6" s="4">
        <v>427.5</v>
      </c>
    </row>
    <row r="7" ht="14.25" customHeight="1"/>
    <row r="8" ht="14.25" customHeight="1"/>
    <row r="9" ht="14.25" customHeight="1" spans="1:5">
      <c r="A9" s="3" t="s">
        <v>8</v>
      </c>
      <c r="B9" s="4">
        <v>0.32</v>
      </c>
    </row>
    <row r="10" ht="14.25" customHeight="1" spans="1:5">
      <c r="A10" s="3" t="s">
        <v>9</v>
      </c>
      <c r="B10" s="4">
        <v>1.75</v>
      </c>
    </row>
    <row r="11" ht="14.25" customHeight="1" spans="1:5">
      <c r="A11" s="3" t="s">
        <v>10</v>
      </c>
      <c r="B11" s="4">
        <v>0.48</v>
      </c>
    </row>
    <row r="12" ht="14.25" customHeight="1" spans="1:5">
      <c r="A12" s="5" t="s">
        <v>11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Suraj singh</cp:lastModifiedBy>
  <dcterms:created xsi:type="dcterms:W3CDTF">2015-03-27T13:38:00Z</dcterms:created>
  <dcterms:modified xsi:type="dcterms:W3CDTF">2026-09-03T16:15:18Z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9355DDB090844E8AA77A3918E76F3736_12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