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6800" tabRatio="500" firstSheet="3" activeTab="3"/>
  </bookViews>
  <sheets>
    <sheet name="CRM Dataset" sheetId="1" r:id="rId1"/>
    <sheet name="LEFT RIGHT MID LEN" sheetId="2" r:id="rId2"/>
    <sheet name="UPPER LOWER PROPER TRIM CLEAN" sheetId="3" r:id="rId3"/>
    <sheet name="FIND SEARCH SUBSTITUTE REPLACE" sheetId="4" r:id="rId4"/>
    <sheet name="CONCAT TEXTJOIN TEXT" sheetId="5" r:id="rId5"/>
    <sheet name="TODAY NOW DATE TIME" sheetId="6" r:id="rId6"/>
    <sheet name="YEAR MONTH DAY WEEKDAY WEEKNUM" sheetId="7" r:id="rId7"/>
    <sheet name="DATEDIF DAYS NETWORKDAYS EDATE" sheetId="8" r:id="rId8"/>
    <sheet name="HOUR MINUTE SECOND TIMEVALUE" sheetId="9" r:id="rId9"/>
    <sheet name="Practice Exercises" sheetId="10" r:id="rId10"/>
    <sheet name="Quick Referen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<sst xmlns="http://schemas.openxmlformats.org/spreadsheetml/2006/main" count="1336" uniqueCount="698">
  <si>
    <t>CRM Customer Dataset  --  25 rows with intentionally messy names, emails and phones for text function practice</t>
  </si>
  <si>
    <t>Columns:  A=Cust ID  B=Raw Name (messy casing/spaces)  C=Email (extra spaces)  D=Phone (mixed formats)  E=City  F=Region  G=Segment  H=Plan  I=Status  J=Source  K=Join Date  L=Last Order  M=Renewal Date  N=Revenue  O=Last Login Time  (Data rows 3-27)</t>
  </si>
  <si>
    <t>Cust ID</t>
  </si>
  <si>
    <t>Raw Name</t>
  </si>
  <si>
    <t>Email (messy)</t>
  </si>
  <si>
    <t>Phone (messy)</t>
  </si>
  <si>
    <t>City</t>
  </si>
  <si>
    <t>Region</t>
  </si>
  <si>
    <t>Segment</t>
  </si>
  <si>
    <t>Plan</t>
  </si>
  <si>
    <t>Status</t>
  </si>
  <si>
    <t>Source</t>
  </si>
  <si>
    <t>Join Date</t>
  </si>
  <si>
    <t>Last Order</t>
  </si>
  <si>
    <t>Renewal Date</t>
  </si>
  <si>
    <t>Revenue</t>
  </si>
  <si>
    <t>Last Login Time</t>
  </si>
  <si>
    <t>CRM0001</t>
  </si>
  <si>
    <t>Alice Johnson</t>
  </si>
  <si>
    <t xml:space="preserve">  alice.johnson@hotmail.com  </t>
  </si>
  <si>
    <t>+91-97436-42838</t>
  </si>
  <si>
    <t>Hyderabad</t>
  </si>
  <si>
    <t>West</t>
  </si>
  <si>
    <t>Education</t>
  </si>
  <si>
    <t>Custom</t>
  </si>
  <si>
    <t>Active</t>
  </si>
  <si>
    <t>Event</t>
  </si>
  <si>
    <t>2024-03-16 14:46:39</t>
  </si>
  <si>
    <t>CRM0002</t>
  </si>
  <si>
    <t>Bob Smith</t>
  </si>
  <si>
    <t xml:space="preserve">  bob.smith@biz.net  </t>
  </si>
  <si>
    <t>(9982) 965-198</t>
  </si>
  <si>
    <t>Ahmedabad</t>
  </si>
  <si>
    <t>South</t>
  </si>
  <si>
    <t>Enterprise</t>
  </si>
  <si>
    <t>Partner</t>
  </si>
  <si>
    <t>2024-03-12 15:20:25</t>
  </si>
  <si>
    <t>CRM0003</t>
  </si>
  <si>
    <t xml:space="preserve">  CAROL WHITE  </t>
  </si>
  <si>
    <t xml:space="preserve">  carol.white@gmail.com  </t>
  </si>
  <si>
    <t>+91-95565-61458</t>
  </si>
  <si>
    <t>Jaipur</t>
  </si>
  <si>
    <t>Trial</t>
  </si>
  <si>
    <t>Cold Call</t>
  </si>
  <si>
    <t>2024-03-16 22:45:10</t>
  </si>
  <si>
    <t>CRM0004</t>
  </si>
  <si>
    <t>David Brown</t>
  </si>
  <si>
    <t xml:space="preserve">  david.brown@webmail.com  </t>
  </si>
  <si>
    <t>9739324688</t>
  </si>
  <si>
    <t>Mumbai</t>
  </si>
  <si>
    <t>North</t>
  </si>
  <si>
    <t>Pro</t>
  </si>
  <si>
    <t>Prospect</t>
  </si>
  <si>
    <t>2024-03-12 22:27:40</t>
  </si>
  <si>
    <t>CRM0005</t>
  </si>
  <si>
    <t xml:space="preserve">  EVA GREEN  </t>
  </si>
  <si>
    <t xml:space="preserve">  eva.green@company.io  </t>
  </si>
  <si>
    <t>+91-97629-18409</t>
  </si>
  <si>
    <t>Kolkata</t>
  </si>
  <si>
    <t>2024-03-22 21:48:08</t>
  </si>
  <si>
    <t>CRM0006</t>
  </si>
  <si>
    <t xml:space="preserve">  Frank  Lee  </t>
  </si>
  <si>
    <t xml:space="preserve">  frank.lee@webmail.com  </t>
  </si>
  <si>
    <t>+91-91599-33789</t>
  </si>
  <si>
    <t>Bangalore</t>
  </si>
  <si>
    <t>Central</t>
  </si>
  <si>
    <t>Government</t>
  </si>
  <si>
    <t>Basic</t>
  </si>
  <si>
    <t>Website</t>
  </si>
  <si>
    <t>2024-03-19 10:11:26</t>
  </si>
  <si>
    <t>CRM0007</t>
  </si>
  <si>
    <t xml:space="preserve">  GRACE KIM  </t>
  </si>
  <si>
    <t xml:space="preserve">  grace.kim@hotmail.com  </t>
  </si>
  <si>
    <t>(9702) 332-368</t>
  </si>
  <si>
    <t>Delhi</t>
  </si>
  <si>
    <t>East</t>
  </si>
  <si>
    <t>SMB</t>
  </si>
  <si>
    <t>Onboarding</t>
  </si>
  <si>
    <t>2024-03-28 21:03:21</t>
  </si>
  <si>
    <t>CRM0008</t>
  </si>
  <si>
    <t>henry davis</t>
  </si>
  <si>
    <t xml:space="preserve">  henry.davis@corp.in  </t>
  </si>
  <si>
    <t>9461586830</t>
  </si>
  <si>
    <t>Pune</t>
  </si>
  <si>
    <t>2024-03-22 20:28:14</t>
  </si>
  <si>
    <t>CRM0009</t>
  </si>
  <si>
    <t xml:space="preserve">  Isla  Martin  </t>
  </si>
  <si>
    <t xml:space="preserve">  isla.martin@hotmail.com  </t>
  </si>
  <si>
    <t>9801543876</t>
  </si>
  <si>
    <t>Chennai</t>
  </si>
  <si>
    <t>Email Campaign</t>
  </si>
  <si>
    <t>2024-03-24 14:58:16</t>
  </si>
  <si>
    <t>CRM0010</t>
  </si>
  <si>
    <t xml:space="preserve">  JACK WILSON  </t>
  </si>
  <si>
    <t xml:space="preserve">  jack.wilson@company.io  </t>
  </si>
  <si>
    <t>9835306774</t>
  </si>
  <si>
    <t>2024-03-15 12:24:43</t>
  </si>
  <si>
    <t>CRM0011</t>
  </si>
  <si>
    <t>Karen Taylor</t>
  </si>
  <si>
    <t xml:space="preserve">  karen.taylor@webmail.com  </t>
  </si>
  <si>
    <t>(9308) 812-623</t>
  </si>
  <si>
    <t>Churned</t>
  </si>
  <si>
    <t>2024-03-17 14:55:55</t>
  </si>
  <si>
    <t>CRM0012</t>
  </si>
  <si>
    <t xml:space="preserve">  Liam  Moore  </t>
  </si>
  <si>
    <t xml:space="preserve">  liam.moore@corp.in  </t>
  </si>
  <si>
    <t>+91-91038-85085</t>
  </si>
  <si>
    <t>Referral</t>
  </si>
  <si>
    <t>2024-03-23 15:35:33</t>
  </si>
  <si>
    <t>CRM0013</t>
  </si>
  <si>
    <t>Mia Anderson</t>
  </si>
  <si>
    <t xml:space="preserve">  mia.anderson@company.io  </t>
  </si>
  <si>
    <t>9315053957</t>
  </si>
  <si>
    <t>Surat</t>
  </si>
  <si>
    <t>2024-03-28 17:18:12</t>
  </si>
  <si>
    <t>CRM0014</t>
  </si>
  <si>
    <t>Noah Thomas</t>
  </si>
  <si>
    <t xml:space="preserve">  noah.thomas@corp.in  </t>
  </si>
  <si>
    <t>9527828713</t>
  </si>
  <si>
    <t>2024-03-15 13:16:13</t>
  </si>
  <si>
    <t>CRM0015</t>
  </si>
  <si>
    <t>olivia harris</t>
  </si>
  <si>
    <t xml:space="preserve">  olivia.harris@corp.in  </t>
  </si>
  <si>
    <t>9297208362</t>
  </si>
  <si>
    <t>Inactive</t>
  </si>
  <si>
    <t>LinkedIn</t>
  </si>
  <si>
    <t>2024-03-10 09:21:50</t>
  </si>
  <si>
    <t>CRM0016</t>
  </si>
  <si>
    <t>Peter Clark</t>
  </si>
  <si>
    <t xml:space="preserve">  peter.clark@biz.net  </t>
  </si>
  <si>
    <t>9803496718</t>
  </si>
  <si>
    <t>2024-03-14 17:58:03</t>
  </si>
  <si>
    <t>CRM0017</t>
  </si>
  <si>
    <t xml:space="preserve">  Quinn  Lewis  </t>
  </si>
  <si>
    <t xml:space="preserve">  quinn.lewis@gmail.com  </t>
  </si>
  <si>
    <t>+91 9467638183</t>
  </si>
  <si>
    <t>2024-03-15 12:17:42</t>
  </si>
  <si>
    <t>CRM0018</t>
  </si>
  <si>
    <t xml:space="preserve">  Ryan  Walker  </t>
  </si>
  <si>
    <t xml:space="preserve">  ryan.walker@hotmail.com  </t>
  </si>
  <si>
    <t>+91 9932782413</t>
  </si>
  <si>
    <t>2024-03-12 08:48:32</t>
  </si>
  <si>
    <t>CRM0019</t>
  </si>
  <si>
    <t>Sara Hall</t>
  </si>
  <si>
    <t xml:space="preserve">  sara.hall@outlook.com  </t>
  </si>
  <si>
    <t>9480006467</t>
  </si>
  <si>
    <t>2024-03-23 11:19:11</t>
  </si>
  <si>
    <t>CRM0020</t>
  </si>
  <si>
    <t>Tom Young</t>
  </si>
  <si>
    <t xml:space="preserve">  tom.young@outlook.com  </t>
  </si>
  <si>
    <t>+91 9633174470</t>
  </si>
  <si>
    <t>2024-03-12 22:52:10</t>
  </si>
  <si>
    <t>CRM0021</t>
  </si>
  <si>
    <t>Uma Scott</t>
  </si>
  <si>
    <t xml:space="preserve">  uma.scott@outlook.com  </t>
  </si>
  <si>
    <t>(9931) 124-589</t>
  </si>
  <si>
    <t>2024-03-10 22:18:51</t>
  </si>
  <si>
    <t>CRM0022</t>
  </si>
  <si>
    <t>Victor King</t>
  </si>
  <si>
    <t xml:space="preserve">  victor.king@company.io  </t>
  </si>
  <si>
    <t>(9232) 719-732</t>
  </si>
  <si>
    <t>2024-03-11 14:52:17</t>
  </si>
  <si>
    <t>CRM0023</t>
  </si>
  <si>
    <t>Wendy Wright</t>
  </si>
  <si>
    <t xml:space="preserve">  wendy.wright@outlook.com  </t>
  </si>
  <si>
    <t>9844781015</t>
  </si>
  <si>
    <t>2024-03-16 11:41:16</t>
  </si>
  <si>
    <t>CRM0024</t>
  </si>
  <si>
    <t>xander lopez</t>
  </si>
  <si>
    <t xml:space="preserve">  xander.lopez@yahoo.com  </t>
  </si>
  <si>
    <t>+91-95667-67798</t>
  </si>
  <si>
    <t>2024-03-14 08:59:41</t>
  </si>
  <si>
    <t>CRM0025</t>
  </si>
  <si>
    <t xml:space="preserve">  YARA HILL  </t>
  </si>
  <si>
    <t xml:space="preserve">  yara.hill@corp.in  </t>
  </si>
  <si>
    <t>+91-95791-52218</t>
  </si>
  <si>
    <t>2024-03-15 11:46:36</t>
  </si>
  <si>
    <t>LEFT  |  RIGHT  |  MID  |  LEN  --  Extract and Measure Text</t>
  </si>
  <si>
    <t>LEFT(text,n) extracts n chars from the start.  RIGHT(text,n) from the end.  MID(text,start,n) extracts n chars from a given position.  LEN returns the character count.  These are the building blocks for all text parsing tasks.</t>
  </si>
  <si>
    <t>Email (raw)</t>
  </si>
  <si>
    <t>LEN</t>
  </si>
  <si>
    <t>LEFT(5)</t>
  </si>
  <si>
    <t>RIGHT(8)</t>
  </si>
  <si>
    <t>MID: Domain</t>
  </si>
  <si>
    <t>Extract Username</t>
  </si>
  <si>
    <r>
      <rPr>
        <b/>
        <sz val="11"/>
        <color theme="1"/>
        <rFont val="Calibri"/>
        <charset val="1"/>
      </rPr>
      <t>Q1.</t>
    </r>
    <r>
      <rPr>
        <sz val="11"/>
        <color theme="1"/>
        <rFont val="Calibri"/>
        <charset val="1"/>
      </rPr>
      <t xml:space="preserve"> Extract the </t>
    </r>
    <r>
      <rPr>
        <b/>
        <sz val="11"/>
        <color theme="1"/>
        <rFont val="Calibri"/>
        <charset val="1"/>
      </rPr>
      <t>first 5 characters</t>
    </r>
    <r>
      <rPr>
        <sz val="11"/>
        <color theme="1"/>
        <rFont val="Calibri"/>
        <charset val="1"/>
      </rPr>
      <t xml:space="preserve"> from the email ID after removing extra spaces.</t>
    </r>
  </si>
  <si>
    <r>
      <rPr>
        <b/>
        <sz val="11"/>
        <color theme="1"/>
        <rFont val="Calibri"/>
        <charset val="1"/>
      </rPr>
      <t>Q2.</t>
    </r>
    <r>
      <rPr>
        <sz val="11"/>
        <color theme="1"/>
        <rFont val="Calibri"/>
        <charset val="1"/>
      </rPr>
      <t xml:space="preserve"> Extract the </t>
    </r>
    <r>
      <rPr>
        <b/>
        <sz val="11"/>
        <color theme="1"/>
        <rFont val="Calibri"/>
        <charset val="1"/>
      </rPr>
      <t>last 8 characters</t>
    </r>
    <r>
      <rPr>
        <sz val="11"/>
        <color theme="1"/>
        <rFont val="Calibri"/>
        <charset val="1"/>
      </rPr>
      <t xml:space="preserve"> from the email ID after removing leading or trailing spaces.</t>
    </r>
  </si>
  <si>
    <t>henry</t>
  </si>
  <si>
    <t>@corp.in</t>
  </si>
  <si>
    <t>henry.davis</t>
  </si>
  <si>
    <r>
      <rPr>
        <b/>
        <sz val="11"/>
        <color theme="1"/>
        <rFont val="Calibri"/>
        <charset val="1"/>
      </rPr>
      <t>Q3.</t>
    </r>
    <r>
      <rPr>
        <sz val="11"/>
        <color theme="1"/>
        <rFont val="Calibri"/>
        <charset val="1"/>
      </rPr>
      <t xml:space="preserve"> Calculate the </t>
    </r>
    <r>
      <rPr>
        <b/>
        <sz val="11"/>
        <color theme="1"/>
        <rFont val="Calibri"/>
        <charset val="1"/>
      </rPr>
      <t>total number of characters</t>
    </r>
    <r>
      <rPr>
        <sz val="11"/>
        <color theme="1"/>
        <rFont val="Calibri"/>
        <charset val="1"/>
      </rPr>
      <t xml:space="preserve"> present in the email address.</t>
    </r>
  </si>
  <si>
    <t>isla.</t>
  </si>
  <si>
    <t>mail.com</t>
  </si>
  <si>
    <t>isla.martin</t>
  </si>
  <si>
    <t>jack.</t>
  </si>
  <si>
    <t>mpany.io</t>
  </si>
  <si>
    <t>jack.wilson</t>
  </si>
  <si>
    <r>
      <rPr>
        <b/>
        <sz val="11"/>
        <color theme="1"/>
        <rFont val="Calibri"/>
        <charset val="1"/>
      </rPr>
      <t>Q4.</t>
    </r>
    <r>
      <rPr>
        <sz val="11"/>
        <color theme="1"/>
        <rFont val="Calibri"/>
        <charset val="1"/>
      </rPr>
      <t xml:space="preserve"> Extract the </t>
    </r>
    <r>
      <rPr>
        <b/>
        <sz val="11"/>
        <color theme="1"/>
        <rFont val="Calibri"/>
        <charset val="1"/>
      </rPr>
      <t>username (text before @)</t>
    </r>
    <r>
      <rPr>
        <sz val="11"/>
        <color theme="1"/>
        <rFont val="Calibri"/>
        <charset val="1"/>
      </rPr>
      <t xml:space="preserve"> from the email ID.</t>
    </r>
  </si>
  <si>
    <r>
      <rPr>
        <b/>
        <sz val="11"/>
        <color theme="1"/>
        <rFont val="Calibri"/>
        <charset val="1"/>
      </rPr>
      <t>Q5.</t>
    </r>
    <r>
      <rPr>
        <sz val="11"/>
        <color theme="1"/>
        <rFont val="Calibri"/>
        <charset val="1"/>
      </rPr>
      <t xml:space="preserve"> Extract the </t>
    </r>
    <r>
      <rPr>
        <b/>
        <sz val="11"/>
        <color theme="1"/>
        <rFont val="Calibri"/>
        <charset val="1"/>
      </rPr>
      <t>domain name (text after @)</t>
    </r>
    <r>
      <rPr>
        <sz val="11"/>
        <color theme="1"/>
        <rFont val="Calibri"/>
        <charset val="1"/>
      </rPr>
      <t xml:space="preserve"> from the email ID using appropriate text functions.</t>
    </r>
  </si>
  <si>
    <t>Formula Examples and Explanation</t>
  </si>
  <si>
    <t>'=LEFT("CRM0001",3)</t>
  </si>
  <si>
    <t>Returns CRM -- first 3 characters</t>
  </si>
  <si>
    <t>'=RIGHT("alice@gmail.com",9)</t>
  </si>
  <si>
    <t>Returns gmail.com -- last 9 characters</t>
  </si>
  <si>
    <t>'=MID("alice@gmail.com",7,9)</t>
  </si>
  <si>
    <t>Returns gmail.com -- 9 chars starting at position 7</t>
  </si>
  <si>
    <t>'=LEN("  hello  ")</t>
  </si>
  <si>
    <t>Returns 9 -- includes spaces; use TRIM first for clean count</t>
  </si>
  <si>
    <t>'=LEN(TRIM(text))</t>
  </si>
  <si>
    <t>Clean length after trimming leading/trailing spaces</t>
  </si>
  <si>
    <t>'=LEFT(email,FIND("@",email)-1)</t>
  </si>
  <si>
    <t>Extract username dynamically -- works for any email length</t>
  </si>
  <si>
    <t>'=MID(text,FIND("@",text)+1,LEN(text))</t>
  </si>
  <si>
    <t>Extract domain -- from after @ to end of string</t>
  </si>
  <si>
    <t>UPPER  |  LOWER  |  PROPER  |  TRIM  |  CLEAN  --  Text Standardisation</t>
  </si>
  <si>
    <t>UPPER converts to ALL CAPS.  LOWER converts to all lowercase.  PROPER capitalises Each Word.  TRIM removes leading, trailing and extra internal spaces (keeps single spaces between words).  CLEAN removes non-printable characters.  Combine PROPER+TRIM for standardising messy name columns.</t>
  </si>
  <si>
    <t>Raw Name (messy)</t>
  </si>
  <si>
    <t>UPPER</t>
  </si>
  <si>
    <t>LOWER</t>
  </si>
  <si>
    <t>PROPER</t>
  </si>
  <si>
    <t>TRIM only</t>
  </si>
  <si>
    <t>PROPER + TRIM</t>
  </si>
  <si>
    <t>ALICE JOHNSON</t>
  </si>
  <si>
    <t>alice johnson</t>
  </si>
  <si>
    <t>BOB SMITH</t>
  </si>
  <si>
    <t>bob smith</t>
  </si>
  <si>
    <t xml:space="preserve">  carol white  </t>
  </si>
  <si>
    <t xml:space="preserve">  Carol White  </t>
  </si>
  <si>
    <t>CAROL WHITE</t>
  </si>
  <si>
    <t>Carol White</t>
  </si>
  <si>
    <t>DAVID BROWN</t>
  </si>
  <si>
    <t>david brown</t>
  </si>
  <si>
    <r>
      <rPr>
        <sz val="11"/>
        <color theme="1"/>
        <rFont val="Calibri"/>
        <charset val="1"/>
      </rPr>
      <t xml:space="preserve">Convert the customer name into </t>
    </r>
    <r>
      <rPr>
        <b/>
        <sz val="11"/>
        <color theme="1"/>
        <rFont val="Calibri"/>
        <charset val="1"/>
      </rPr>
      <t>uppercase letters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</si>
  <si>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Convert the customer name into </t>
    </r>
    <r>
      <rPr>
        <b/>
        <sz val="11"/>
        <color theme="1"/>
        <rFont val="Calibri"/>
        <charset val="1"/>
      </rPr>
      <t>lowercase letters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</si>
  <si>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Convert the customer name into </t>
    </r>
    <r>
      <rPr>
        <b/>
        <sz val="11"/>
        <color theme="1"/>
        <rFont val="Calibri"/>
        <charset val="1"/>
      </rPr>
      <t>proper case</t>
    </r>
    <r>
      <rPr>
        <sz val="11"/>
        <color theme="1"/>
        <rFont val="Calibri"/>
        <charset val="1"/>
      </rPr>
      <t xml:space="preserve"> (first letter capitalized for each word).</t>
    </r>
  </si>
  <si>
    <r>
      <rPr>
        <sz val="11"/>
        <color theme="1"/>
        <rFont val="Calibri"/>
        <charset val="1"/>
      </rPr>
      <t xml:space="preserve">Remove </t>
    </r>
    <r>
      <rPr>
        <b/>
        <sz val="11"/>
        <color theme="1"/>
        <rFont val="Calibri"/>
        <charset val="1"/>
      </rPr>
      <t>extra spaces</t>
    </r>
    <r>
      <rPr>
        <sz val="11"/>
        <color theme="1"/>
        <rFont val="Calibri"/>
        <charset val="1"/>
      </rPr>
      <t xml:space="preserve"> from the customer name.</t>
    </r>
  </si>
  <si>
    <r>
      <rPr>
        <sz val="11"/>
        <color theme="1"/>
        <rFont val="Calibri"/>
        <charset val="1"/>
      </rPr>
      <t xml:space="preserve">Apply </t>
    </r>
    <r>
      <rPr>
        <b/>
        <sz val="11"/>
        <color theme="1"/>
        <rFont val="Calibri"/>
        <charset val="1"/>
      </rPr>
      <t>TRIM and PROPER together</t>
    </r>
    <r>
      <rPr>
        <sz val="11"/>
        <color theme="1"/>
        <rFont val="Calibri"/>
        <charset val="1"/>
      </rPr>
      <t xml:space="preserve"> to standardize the name format.</t>
    </r>
  </si>
  <si>
    <t>'=UPPER("alice johnson")</t>
  </si>
  <si>
    <t>Returns ALICE JOHNSON -- useful for key matching</t>
  </si>
  <si>
    <t>'=LOWER("ALICE@GMAIL.COM")</t>
  </si>
  <si>
    <t>Returns alice@gmail.com -- normalise emails before lookup</t>
  </si>
  <si>
    <t>'=PROPER("alice johnson")</t>
  </si>
  <si>
    <t>Returns Alice Johnson -- title case for display</t>
  </si>
  <si>
    <t>'=TRIM("  Alice  Johnson  ")</t>
  </si>
  <si>
    <t>Returns Alice Johnson -- removes all extra spaces</t>
  </si>
  <si>
    <t>'=PROPER(TRIM(name_cell))</t>
  </si>
  <si>
    <t>Gold standard for cleaning messy name columns</t>
  </si>
  <si>
    <t>'=LOWER(TRIM(CLEAN(email_cell)))</t>
  </si>
  <si>
    <t>Gold standard for cleaning email addresses</t>
  </si>
  <si>
    <t>TRIM vs CLEAN</t>
  </si>
  <si>
    <t>TRIM removes spaces; CLEAN removes non-printable chars (from imports)</t>
  </si>
  <si>
    <t>'=LEN(A1)&lt;&gt;LEN(TRIM(A1))</t>
  </si>
  <si>
    <t>Returns TRUE if cell has leading/trailing spaces -- data quality check</t>
  </si>
  <si>
    <t>FIND  |  SEARCH  |  SUBSTITUTE  |  REPLACE  --  Locate and Modify Text</t>
  </si>
  <si>
    <t>FIND returns position of text (case-sensitive).  SEARCH is case-insensitive.  SUBSTITUTE replaces every occurrence of old text with new text.  REPLACE replaces text at a specific position/length.  FIND/SEARCH return errors if not found -- wrap with IFERROR.</t>
  </si>
  <si>
    <t>Phone (raw)</t>
  </si>
  <si>
    <t>FIND @</t>
  </si>
  <si>
    <t>SEARCH .com</t>
  </si>
  <si>
    <t>SUBSTITUTE: clean phone</t>
  </si>
  <si>
    <t>REPLACE: mask email</t>
  </si>
  <si>
    <t>Check: has gmail</t>
  </si>
  <si>
    <t>9743642838</t>
  </si>
  <si>
    <t>***@hotmail.com</t>
  </si>
  <si>
    <t>No</t>
  </si>
  <si>
    <t>Not found</t>
  </si>
  <si>
    <t>9982965198</t>
  </si>
  <si>
    <t>***@biz.net</t>
  </si>
  <si>
    <t>9556561458</t>
  </si>
  <si>
    <t>***@gmail.com</t>
  </si>
  <si>
    <t>Yes</t>
  </si>
  <si>
    <t>***@webmail.com</t>
  </si>
  <si>
    <r>
      <rPr>
        <sz val="11"/>
        <color theme="1"/>
        <rFont val="Calibri"/>
        <charset val="1"/>
      </rPr>
      <t xml:space="preserve">Find the </t>
    </r>
    <r>
      <rPr>
        <b/>
        <sz val="11"/>
        <color theme="1"/>
        <rFont val="Calibri"/>
        <charset val="1"/>
      </rPr>
      <t>position of the “@” symbol</t>
    </r>
    <r>
      <rPr>
        <sz val="11"/>
        <color theme="1"/>
        <rFont val="Calibri"/>
        <charset val="1"/>
      </rPr>
      <t xml:space="preserve"> in the email address.</t>
    </r>
  </si>
  <si>
    <t xml:space="preserve"> </t>
  </si>
  <si>
    <r>
      <rPr>
        <sz val="11"/>
        <color theme="1"/>
        <rFont val="Calibri"/>
        <charset val="1"/>
      </rPr>
      <t xml:space="preserve">If the symbol is not found, return </t>
    </r>
    <r>
      <rPr>
        <b/>
        <sz val="11"/>
        <color theme="1"/>
        <rFont val="Calibri"/>
        <charset val="1"/>
      </rPr>
      <t>"Not found"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</si>
  <si>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Check whether the email address contains </t>
    </r>
    <r>
      <rPr>
        <b/>
        <sz val="11"/>
        <color theme="1"/>
        <rFont val="Calibri"/>
        <charset val="1"/>
      </rPr>
      <t>".com"</t>
    </r>
    <r>
      <rPr>
        <sz val="11"/>
        <color theme="1"/>
        <rFont val="Calibri"/>
        <charset val="1"/>
      </rPr>
      <t>.</t>
    </r>
  </si>
  <si>
    <t xml:space="preserve">  henry.davis#corp.in  </t>
  </si>
  <si>
    <r>
      <rPr>
        <sz val="11"/>
        <color theme="1"/>
        <rFont val="Calibri"/>
        <charset val="1"/>
      </rPr>
      <t xml:space="preserve">If not found, return </t>
    </r>
    <r>
      <rPr>
        <b/>
        <sz val="11"/>
        <color theme="1"/>
        <rFont val="Calibri"/>
        <charset val="1"/>
      </rPr>
      <t>"Not found"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</si>
  <si>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Check whether the email address belongs to </t>
    </r>
    <r>
      <rPr>
        <b/>
        <sz val="11"/>
        <color theme="1"/>
        <rFont val="Calibri"/>
        <charset val="1"/>
      </rPr>
      <t>Gmail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</si>
  <si>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Return </t>
    </r>
    <r>
      <rPr>
        <b/>
        <sz val="11"/>
        <color theme="1"/>
        <rFont val="Calibri"/>
        <charset val="1"/>
      </rPr>
      <t>"Yes"</t>
    </r>
    <r>
      <rPr>
        <sz val="11"/>
        <color theme="1"/>
        <rFont val="Calibri"/>
        <charset val="1"/>
      </rPr>
      <t xml:space="preserve"> if it contains “gmail”, otherwise </t>
    </r>
    <r>
      <rPr>
        <b/>
        <sz val="11"/>
        <color theme="1"/>
        <rFont val="Calibri"/>
        <charset val="1"/>
      </rPr>
      <t>"No"</t>
    </r>
    <r>
      <rPr>
        <sz val="11"/>
        <color theme="1"/>
        <rFont val="Calibri"/>
        <charset val="1"/>
      </rPr>
      <t>.</t>
    </r>
  </si>
  <si>
    <t xml:space="preserve">  liam.moore.corp.in  </t>
  </si>
  <si>
    <t>Mask the email address by replacing the username with *** and keeping only the domain.</t>
  </si>
  <si>
    <t>Example:</t>
  </si>
  <si>
    <t>john@gmail.com → ***@gmail.com</t>
  </si>
  <si>
    <t>Clean a phone number by removing characters such as:</t>
  </si>
  <si>
    <t>-</t>
  </si>
  <si>
    <t>(</t>
  </si>
  <si>
    <t>)</t>
  </si>
  <si>
    <t>spaces</t>
  </si>
  <si>
    <r>
      <rPr>
        <sz val="11"/>
        <color theme="1"/>
        <rFont val="Calibri"/>
        <charset val="1"/>
      </rPr>
      <t xml:space="preserve">so that only the </t>
    </r>
    <r>
      <rPr>
        <b/>
        <sz val="11"/>
        <color theme="1"/>
        <rFont val="Calibri"/>
        <charset val="1"/>
      </rPr>
      <t>10-digit number remains</t>
    </r>
    <r>
      <rPr>
        <sz val="11"/>
        <color theme="1"/>
        <rFont val="Calibri"/>
        <charset val="1"/>
      </rPr>
      <t>.</t>
    </r>
  </si>
  <si>
    <t>'=FIND("@","alice@gmail.com")</t>
  </si>
  <si>
    <t>Returns 6 -- position of @ (case-sensitive)</t>
  </si>
  <si>
    <t>'=SEARCH("GMAIL","alice@gmail.com")</t>
  </si>
  <si>
    <t>Returns 7 -- case-insensitive, finds gmail</t>
  </si>
  <si>
    <t>'=IFERROR(FIND("@",text),0)</t>
  </si>
  <si>
    <t>Safe pattern: returns 0 if @ not found</t>
  </si>
  <si>
    <t>'=SUBSTITUTE(phone,"-","")</t>
  </si>
  <si>
    <t>Remove all hyphens from phone number</t>
  </si>
  <si>
    <t>'=SUBSTITUTE(text,"old","new",2)</t>
  </si>
  <si>
    <t>Replace only the 2nd occurrence (instance param)</t>
  </si>
  <si>
    <t>'=REPLACE("CRM0001",4,4,"9999")</t>
  </si>
  <si>
    <t>Returns CRM9999 -- replace 4 chars starting at pos 4</t>
  </si>
  <si>
    <t>FIND vs SEARCH</t>
  </si>
  <si>
    <t>FIND is case-sensitive and faster; SEARCH supports wildcards</t>
  </si>
  <si>
    <t>'=IF(IFERROR(SEARCH("gmail",email),0)&gt;0,"Yes","No")</t>
  </si>
  <si>
    <t>Check if email contains gmail -- common data filter</t>
  </si>
  <si>
    <t>CONCATENATE  |  CONCAT  |  TEXTJOIN  |  TEXT  --  Combine and Format Text</t>
  </si>
  <si>
    <t>CONCATENATE joins text strings (legacy).  CONCAT is the modern replacement (no separator).  TEXTJOIN joins with a delimiter and can skip blanks (Excel 2019+).  TEXT converts a number or date to formatted text -- critical for building dynamic labels.</t>
  </si>
  <si>
    <t>First Name</t>
  </si>
  <si>
    <t>Last Name</t>
  </si>
  <si>
    <t>CONCAT Full Name</t>
  </si>
  <si>
    <t>TEXTJOIN: Full Label</t>
  </si>
  <si>
    <t>TEXT: Join Date Label</t>
  </si>
  <si>
    <t>TEXT: Revenue Formatted</t>
  </si>
  <si>
    <t>&amp; Operator: ID+Name</t>
  </si>
  <si>
    <t>Alice</t>
  </si>
  <si>
    <t>Johnson</t>
  </si>
  <si>
    <t>CRM0001 | Alice Johnson | Hyderabad | Custom</t>
  </si>
  <si>
    <t>Joined: 12-Sep-2021</t>
  </si>
  <si>
    <t>Rev: 1,33,260</t>
  </si>
  <si>
    <t>CRM0001 -- Alice Johnson</t>
  </si>
  <si>
    <t>Bob</t>
  </si>
  <si>
    <t>Smith</t>
  </si>
  <si>
    <t>CRM0002 | Bob Smith | Ahmedabad | Enterprise</t>
  </si>
  <si>
    <t>Joined: 30-Nov-2022</t>
  </si>
  <si>
    <t>Rev: 1,43,599</t>
  </si>
  <si>
    <t>CRM0002 -- Bob Smith</t>
  </si>
  <si>
    <t>Carol</t>
  </si>
  <si>
    <t>White</t>
  </si>
  <si>
    <t>CRM0003 | Carol White | Jaipur | Trial</t>
  </si>
  <si>
    <t>Joined: 02-Jul-2022</t>
  </si>
  <si>
    <t>Rev: 38,853</t>
  </si>
  <si>
    <t>CRM0003 -- Carol White</t>
  </si>
  <si>
    <t>David</t>
  </si>
  <si>
    <t>Brown</t>
  </si>
  <si>
    <t>CRM0004 | David Brown | Mumbai | Pro</t>
  </si>
  <si>
    <t>Joined: 01-Jul-2021</t>
  </si>
  <si>
    <t>Rev: 1,14,844</t>
  </si>
  <si>
    <t>CRM0004 -- David Brown</t>
  </si>
  <si>
    <t>Eva</t>
  </si>
  <si>
    <t>Green</t>
  </si>
  <si>
    <t>Eva Green</t>
  </si>
  <si>
    <t>CRM0005 | Eva Green | Kolkata | Pro</t>
  </si>
  <si>
    <t>Joined: 04-Dec-2021</t>
  </si>
  <si>
    <t>Rev: 1,47,991</t>
  </si>
  <si>
    <t>CRM0005 -- Eva Green</t>
  </si>
  <si>
    <t>'=CONCAT(A2," ",B2)</t>
  </si>
  <si>
    <t>Joins first and last name with a space (modern CONCATENATE)</t>
  </si>
  <si>
    <t>'=A2&amp;" "&amp;B2</t>
  </si>
  <si>
    <t>Ampersand operator -- simplest way to join text</t>
  </si>
  <si>
    <t>'=TEXTJOIN(", ",TRUE,A2:D2)</t>
  </si>
  <si>
    <t>Join range with comma separator; TRUE skips blanks</t>
  </si>
  <si>
    <t>'=TEXTJOIN(" | ",TRUE,ID,Name,City)</t>
  </si>
  <si>
    <t>Build composite label -- great for dashboards</t>
  </si>
  <si>
    <t>'=TEXT(date,"DD-MMM-YYYY")</t>
  </si>
  <si>
    <t>Converts date serial to text: 15-Mar-2024</t>
  </si>
  <si>
    <t>'=TEXT(number,"#,##0")</t>
  </si>
  <si>
    <t>Formats number with commas: 125000 -&gt; 1,25,000</t>
  </si>
  <si>
    <t>'=TEXT(number,"0.0%")</t>
  </si>
  <si>
    <t>Formats decimal as percentage: 0.153 -&gt; 15.3%</t>
  </si>
  <si>
    <t>'=CONCAT("As of ",TEXT(TODAY(),"MMM YYYY"))</t>
  </si>
  <si>
    <t>Dynamic header: As of Mar 2026</t>
  </si>
  <si>
    <t>TODAY  |  NOW  |  DATE  |  TIME  --  Date and Time Foundations</t>
  </si>
  <si>
    <t>TODAY() returns today's date (updates each recalculation).  NOW() returns current date+time.  DATE(year,month,day) builds a date from parts.  TIME(hour,min,sec) builds a time.  Dates in Excel are serial numbers -- format them to display as dates.</t>
  </si>
  <si>
    <t>Days Since Join</t>
  </si>
  <si>
    <t>TODAY Formula</t>
  </si>
  <si>
    <t>NOW Formula</t>
  </si>
  <si>
    <t>DATE Construct</t>
  </si>
  <si>
    <t>Days to Renewal</t>
  </si>
  <si>
    <t>Renewal Status</t>
  </si>
  <si>
    <t>Expired</t>
  </si>
  <si>
    <r>
      <rPr>
        <sz val="11"/>
        <color theme="1"/>
        <rFont val="Calibri"/>
        <charset val="1"/>
      </rPr>
      <t xml:space="preserve">Calculate the </t>
    </r>
    <r>
      <rPr>
        <b/>
        <sz val="11"/>
        <color theme="1"/>
        <rFont val="Calibri"/>
        <charset val="1"/>
      </rPr>
      <t>number of days remaining until the contract end date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</si>
  <si>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Create a </t>
    </r>
    <r>
      <rPr>
        <b/>
        <sz val="11"/>
        <color theme="1"/>
        <rFont val="Calibri"/>
        <charset val="1"/>
      </rPr>
      <t>status column</t>
    </r>
    <r>
      <rPr>
        <sz val="11"/>
        <color theme="1"/>
        <rFont val="Calibri"/>
        <charset val="1"/>
      </rPr>
      <t xml:space="preserve"> based on expiry date:</t>
    </r>
  </si>
  <si>
    <r>
      <rPr>
        <sz val="11"/>
        <color theme="1"/>
        <rFont val="Calibri"/>
        <charset val="1"/>
      </rPr>
      <t xml:space="preserve">If expiry date &lt; today → </t>
    </r>
    <r>
      <rPr>
        <b/>
        <sz val="11"/>
        <color theme="1"/>
        <rFont val="Calibri"/>
        <charset val="1"/>
      </rPr>
      <t>Expired</t>
    </r>
  </si>
  <si>
    <r>
      <rPr>
        <sz val="11"/>
        <color theme="1"/>
        <rFont val="Calibri"/>
        <charset val="1"/>
      </rPr>
      <t xml:space="preserve">If expiry date is within next </t>
    </r>
    <r>
      <rPr>
        <b/>
        <sz val="11"/>
        <color theme="1"/>
        <rFont val="Calibri"/>
        <charset val="1"/>
      </rPr>
      <t>30 days</t>
    </r>
    <r>
      <rPr>
        <sz val="11"/>
        <color theme="1"/>
        <rFont val="Calibri"/>
        <charset val="1"/>
      </rPr>
      <t xml:space="preserve"> → </t>
    </r>
    <r>
      <rPr>
        <b/>
        <sz val="11"/>
        <color theme="1"/>
        <rFont val="Calibri"/>
        <charset val="1"/>
      </rPr>
      <t>Due Soon</t>
    </r>
  </si>
  <si>
    <r>
      <rPr>
        <sz val="11"/>
        <color theme="1"/>
        <rFont val="Calibri"/>
        <charset val="1"/>
      </rPr>
      <t xml:space="preserve">Otherwise → </t>
    </r>
    <r>
      <rPr>
        <b/>
        <sz val="11"/>
        <color theme="1"/>
        <rFont val="Calibri"/>
        <charset val="1"/>
      </rPr>
      <t>Active</t>
    </r>
  </si>
  <si>
    <t>'=TODAY()</t>
  </si>
  <si>
    <t>Returns today's date -- recalculates on every open</t>
  </si>
  <si>
    <t>'=NOW()</t>
  </si>
  <si>
    <t>Returns today's date and current time</t>
  </si>
  <si>
    <t>'=TODAY()-join_date</t>
  </si>
  <si>
    <t>Days since customer joined -- elapsed days</t>
  </si>
  <si>
    <t>'=DATE(2024,3,15)</t>
  </si>
  <si>
    <t>Build a date from year, month, day numbers</t>
  </si>
  <si>
    <t>'=DATE(YEAR(d),MONTH(d)+3,DAY(d))</t>
  </si>
  <si>
    <t>Add 3 months to a date (safer than +90 days)</t>
  </si>
  <si>
    <t>'=TIME(14,30,0)</t>
  </si>
  <si>
    <t>Build a time value: 2:30:00 PM</t>
  </si>
  <si>
    <t>'=IF(renewal&lt;TODAY(),"Expired","Active")</t>
  </si>
  <si>
    <t>Check if a renewal date has passed</t>
  </si>
  <si>
    <t>'=EOMONTH(TODAY(),0)</t>
  </si>
  <si>
    <t>Last day of current month -- useful for period-end reports</t>
  </si>
  <si>
    <t>YEAR  |  MONTH  |  DAY  |  WEEKDAY  |  WEEKNUM  --  Extract Date Parts</t>
  </si>
  <si>
    <t>YEAR/MONTH/DAY extract individual parts from a date.  WEEKDAY returns day of week as a number (1=Sun by default; use type=2 for 1=Mon).  WEEKNUM returns which week of the year the date falls in.  These are essential for grouping, filtering and building period labels.</t>
  </si>
  <si>
    <t>YEAR</t>
  </si>
  <si>
    <t>MONTH</t>
  </si>
  <si>
    <t>DAY</t>
  </si>
  <si>
    <t>WEEKDAY (type 2)</t>
  </si>
  <si>
    <t>WEEKNUM</t>
  </si>
  <si>
    <t>Quarter</t>
  </si>
  <si>
    <t>Q3-2021</t>
  </si>
  <si>
    <t>Q4-2022</t>
  </si>
  <si>
    <t>Q3-2022</t>
  </si>
  <si>
    <t>'=YEAR(join_date)</t>
  </si>
  <si>
    <t>Returns 2022 -- extract year for annual grouping</t>
  </si>
  <si>
    <t>'=MONTH(join_date)</t>
  </si>
  <si>
    <t>Returns 1-12 -- extract month number</t>
  </si>
  <si>
    <t>'=DAY(join_date)</t>
  </si>
  <si>
    <t>Returns 1-31 -- extract day number</t>
  </si>
  <si>
    <t>'=WEEKDAY(date,2)</t>
  </si>
  <si>
    <t>Returns 1=Mon...7=Sun (type 2 is ISO standard)</t>
  </si>
  <si>
    <t>'=WEEKNUM(date,2)</t>
  </si>
  <si>
    <t>ISO week number (type 2) -- week starts Monday</t>
  </si>
  <si>
    <t>'=CONCAT("Q",INT((MONTH(d)-1)/3)+1)</t>
  </si>
  <si>
    <t>Build quarter label: Q1, Q2, Q3, Q4</t>
  </si>
  <si>
    <t>'=CONCAT("Q",INT((MONTH(d)-1)/3)+1,"-",YEAR(d))</t>
  </si>
  <si>
    <t>Full quarter+year label: Q2-2024</t>
  </si>
  <si>
    <t>'=TEXT(date,"MMM-YYYY")</t>
  </si>
  <si>
    <t>Month-Year label: Mar-2024 -- for axis labels</t>
  </si>
  <si>
    <t>DATEDIF  |  DAYS  |  NETWORKDAYS  |  WORKDAY  |  EDATE  --  Date Arithmetic</t>
  </si>
  <si>
    <t>DATEDIF calculates difference in days, months or years between two dates.  DAYS returns simple day difference.  NETWORKDAYS counts working days (excludes weekends).  WORKDAY adds N working days to a date.  EDATE adds N months to a date.  These are the core functions for SLA tracking, tenure calculation and project scheduling.</t>
  </si>
  <si>
    <t>DATEDIF: Days</t>
  </si>
  <si>
    <t>DATEDIF: Months</t>
  </si>
  <si>
    <t>DATEDIF: Years</t>
  </si>
  <si>
    <t>NETWORKDAYS</t>
  </si>
  <si>
    <t>EDATE +3M(join date)</t>
  </si>
  <si>
    <t>'=DATEDIF(start,end,"D")</t>
  </si>
  <si>
    <t>"D" = total days between dates</t>
  </si>
  <si>
    <t>'=DATEDIF(start,end,"M")</t>
  </si>
  <si>
    <t>"M" = complete months between dates</t>
  </si>
  <si>
    <t>'=DATEDIF(start,end,"Y")</t>
  </si>
  <si>
    <t>"Y" = complete years -- use for tenure/age calculation</t>
  </si>
  <si>
    <t>'=DATEDIF(start,end,"YM")</t>
  </si>
  <si>
    <t>"YM" = months after subtracting full years -- e.g. 2 years 3 months</t>
  </si>
  <si>
    <t>'=DAYS(end_date,start_date)</t>
  </si>
  <si>
    <t>Simple day count -- end minus start (argument order reversed vs DATEDIF)</t>
  </si>
  <si>
    <t>'=NETWORKDAYS(start,end)</t>
  </si>
  <si>
    <t>Count working days only (Mon-Fri); excludes weekends</t>
  </si>
  <si>
    <t>'=WORKDAY(start_date,30)</t>
  </si>
  <si>
    <t>Date that is 30 working days from start (for SLA deadlines)</t>
  </si>
  <si>
    <t>'=EDATE(date,3)</t>
  </si>
  <si>
    <t>Date exactly 3 months later -- handles month-end correctly</t>
  </si>
  <si>
    <t>HOUR  |  MINUTE  |  SECOND  |  TIMEVALUE  --  Extract and Parse Time</t>
  </si>
  <si>
    <t>HOUR/MINUTE/SECOND extract time components from a time or datetime value.  TIMEVALUE converts a time stored as text (e.g. "14:30:00") into an Excel time serial.  Use these for session analysis, login tracking, and response time calculations.</t>
  </si>
  <si>
    <t>Last Login (text)</t>
  </si>
  <si>
    <t>HOUR</t>
  </si>
  <si>
    <t>MINUTE</t>
  </si>
  <si>
    <t>SECOND</t>
  </si>
  <si>
    <t>TIMEVALUE</t>
  </si>
  <si>
    <t>Session Period</t>
  </si>
  <si>
    <t>Business Hours?</t>
  </si>
  <si>
    <r>
      <rPr>
        <sz val="11"/>
        <color theme="1"/>
        <rFont val="Calibri"/>
        <charset val="1"/>
      </rPr>
      <t xml:space="preserve">Check whether the login time falls within </t>
    </r>
    <r>
      <rPr>
        <b/>
        <sz val="11"/>
        <color theme="1"/>
        <rFont val="Calibri"/>
        <charset val="1"/>
      </rPr>
      <t>working hours (9 AM to 6 PM)</t>
    </r>
  </si>
  <si>
    <t>'=HOUR(time_value)</t>
  </si>
  <si>
    <t>Returns 0-23 -- extract hour from a time/datetime</t>
  </si>
  <si>
    <t>'=MINUTE(time_value)</t>
  </si>
  <si>
    <t>Returns 0-59 -- extract minutes</t>
  </si>
  <si>
    <t>'=SECOND(time_value)</t>
  </si>
  <si>
    <t>Returns 0-59 -- extract seconds</t>
  </si>
  <si>
    <t>'=TIMEVALUE("14:30:00")</t>
  </si>
  <si>
    <t>Converts text time to Excel serial (0.604...) for calculations</t>
  </si>
  <si>
    <t>'=TIMEVALUE(MID(datetime_text,12,8))</t>
  </si>
  <si>
    <t>Extract time from datetime string like 2024-03-15 14:30:00</t>
  </si>
  <si>
    <t>'=IF(HOUR(t)&gt;=9,IF(HOUR(t)&lt;18,"Biz hrs","After hours"),"Before hours")</t>
  </si>
  <si>
    <t>Business hours classification</t>
  </si>
  <si>
    <t>'=NOW()-login_datetime</t>
  </si>
  <si>
    <t>Time elapsed since last login (as fraction of a day)</t>
  </si>
  <si>
    <t>'=(NOW()-login_datetime)*24</t>
  </si>
  <si>
    <t>Hours elapsed since last login</t>
  </si>
  <si>
    <t>Practice Exercises  --  Type your formula in the yellow cells</t>
  </si>
  <si>
    <t>All formulas reference the 'CRM Dataset' sheet.  Key columns:  A=Cust ID  B=Raw Name  C=Email  D=Phone  E=City  F=Region  G=Segment  H=Plan  K=Join Date  L=Last Order  M=Renewal Date  N=Revenue  O=Last Login  (rows 3-27)</t>
  </si>
  <si>
    <t xml:space="preserve">  LEFT, RIGHT, MID, LEN</t>
  </si>
  <si>
    <t>Q1</t>
  </si>
  <si>
    <t>Extract the first 3 characters from the Cust ID of row 3 (should return CRM)</t>
  </si>
  <si>
    <t>Type your formula here</t>
  </si>
  <si>
    <t>Easy</t>
  </si>
  <si>
    <t>Q2</t>
  </si>
  <si>
    <t>Find the length of the raw email in row 3 (includes spaces)</t>
  </si>
  <si>
    <t>Q3</t>
  </si>
  <si>
    <t>Extract the username part of the email in row 3 (everything before @)</t>
  </si>
  <si>
    <t>Medium</t>
  </si>
  <si>
    <t>Q4</t>
  </si>
  <si>
    <t>Extract the domain part of the email in row 3 (everything after @)</t>
  </si>
  <si>
    <t xml:space="preserve">  UPPER, LOWER, PROPER, TRIM, CLEAN</t>
  </si>
  <si>
    <t>Q5</t>
  </si>
  <si>
    <t>Standardise the raw name in row 3 to Proper Case with no extra spaces</t>
  </si>
  <si>
    <t>Q6</t>
  </si>
  <si>
    <t>Clean and standardise the email in row 3 to lowercase with no extra spaces</t>
  </si>
  <si>
    <t>Q7</t>
  </si>
  <si>
    <t>Check if the raw name in row 3 has extra spaces (return TRUE if it does)</t>
  </si>
  <si>
    <t xml:space="preserve">  FIND, SEARCH, SUBSTITUTE, REPLACE</t>
  </si>
  <si>
    <t>Q8</t>
  </si>
  <si>
    <t>Find the position of @ in the email of row 3</t>
  </si>
  <si>
    <t>Q9</t>
  </si>
  <si>
    <t>Standardise the phone number in row 3: remove +91, hyphens, spaces and brackets</t>
  </si>
  <si>
    <t>Q10</t>
  </si>
  <si>
    <t>Check if the email in row 3 contains 'gmail' (return Yes or No)</t>
  </si>
  <si>
    <t xml:space="preserve">  CONCAT, TEXTJOIN, TEXT</t>
  </si>
  <si>
    <t>Q11</t>
  </si>
  <si>
    <t>Build a label for row 3 using &amp; operator: Cust ID + " -- " + Proper Name</t>
  </si>
  <si>
    <t>Q12</t>
  </si>
  <si>
    <t>Format the Revenue of row 3 as text with commas (e.g. 1,25,000)</t>
  </si>
  <si>
    <t>Q13</t>
  </si>
  <si>
    <t>Build a full profile label using TEXTJOIN with " | " separator: ID, Name, City, Plan for row 3</t>
  </si>
  <si>
    <t>Q14</t>
  </si>
  <si>
    <t>Create a sentence: 'Joined on: ' + Join Date formatted as DD-MMM-YYYY for row 3</t>
  </si>
  <si>
    <t xml:space="preserve">  TODAY, NOW, DATE, TIME</t>
  </si>
  <si>
    <t>Q15</t>
  </si>
  <si>
    <t>Calculate how many days have passed since the Join Date of row 3</t>
  </si>
  <si>
    <t>Q16</t>
  </si>
  <si>
    <t>Calculate days remaining until the Renewal Date of row 3 (could be negative if expired)</t>
  </si>
  <si>
    <t>Q17</t>
  </si>
  <si>
    <t>Build a date using DATE function for 15th March 2025</t>
  </si>
  <si>
    <t xml:space="preserve">  YEAR, MONTH, DAY, WEEKDAY, WEEKNUM</t>
  </si>
  <si>
    <t>Q18</t>
  </si>
  <si>
    <t>Extract the year from the Join Date of row 3</t>
  </si>
  <si>
    <t>Q19</t>
  </si>
  <si>
    <t>Build a Quarter-Year label for the Join Date of row 3 (e.g. Q2-2022)</t>
  </si>
  <si>
    <t>Q20</t>
  </si>
  <si>
    <t>Find what day of the week the Join Date of row 3 falls on (1=Mon using type 2)</t>
  </si>
  <si>
    <t xml:space="preserve">  DATEDIF, DAYS, NETWORKDAYS, WORKDAY, EDATE</t>
  </si>
  <si>
    <t>Q21</t>
  </si>
  <si>
    <t>Calculate the total number of months between Join Date and Last Order date for row 3</t>
  </si>
  <si>
    <t>Q22</t>
  </si>
  <si>
    <t>Count the working days (Mon-Fri) between Join Date and Last Order for row 3</t>
  </si>
  <si>
    <t>Q23</t>
  </si>
  <si>
    <t>Calculate the renewal date that is 12 months after the Join Date of row 3 using EDATE</t>
  </si>
  <si>
    <t xml:space="preserve">  HOUR, MINUTE, SECOND, TIMEVALUE</t>
  </si>
  <si>
    <t>Q24</t>
  </si>
  <si>
    <t>Extract the hour from the Last Login datetime text of row 3</t>
  </si>
  <si>
    <t>Q25</t>
  </si>
  <si>
    <t>Classify the login time of row 3 as Morning (before 12), Afternoon (12-17) or Evening (after 17)</t>
  </si>
  <si>
    <t>Hard</t>
  </si>
  <si>
    <t>Text and Date Functions  --  Quick Reference Card</t>
  </si>
  <si>
    <t>Blue = Text Extraction.  Green = Text Cleaning.  Orange = Search and Replace.  Purple = Combine and Format.  Teal = Date Foundations.  Indigo = Date Parts.  Brown = Date Arithmetic.  Maroon = Time Functions.</t>
  </si>
  <si>
    <t>Function</t>
  </si>
  <si>
    <t>Syntax</t>
  </si>
  <si>
    <t>Purpose</t>
  </si>
  <si>
    <t>Category</t>
  </si>
  <si>
    <t>Best Used For</t>
  </si>
  <si>
    <t>Key Tip</t>
  </si>
  <si>
    <t>LEFT</t>
  </si>
  <si>
    <t>'=LEFT(text, num_chars)</t>
  </si>
  <si>
    <t>Extract chars from start of string</t>
  </si>
  <si>
    <t>Text</t>
  </si>
  <si>
    <t>Parse codes, prefixes, fixed-width fields</t>
  </si>
  <si>
    <t>Use with LEN/FIND for dynamic extraction</t>
  </si>
  <si>
    <t>RIGHT</t>
  </si>
  <si>
    <t>'=RIGHT(text, num_chars)</t>
  </si>
  <si>
    <t>Extract chars from end of string</t>
  </si>
  <si>
    <t>File extensions, suffixes, last N chars</t>
  </si>
  <si>
    <t>RIGHT(text,LEN(text)-FIND(chr,text)) = after char</t>
  </si>
  <si>
    <t>MID</t>
  </si>
  <si>
    <t>'=MID(text, start_num, num_chars)</t>
  </si>
  <si>
    <t>Extract from any position</t>
  </si>
  <si>
    <t>Email domains, substrings, serial numbers</t>
  </si>
  <si>
    <t>Combine with FIND to make start_num dynamic</t>
  </si>
  <si>
    <t>'=LEN(text)</t>
  </si>
  <si>
    <t>Return character count</t>
  </si>
  <si>
    <t>Validate field length, detect extra spaces</t>
  </si>
  <si>
    <t>LEN(A1)&lt;&gt;LEN(TRIM(A1)) detects extra spaces</t>
  </si>
  <si>
    <t>'=UPPER(text)</t>
  </si>
  <si>
    <t>Convert to ALL CAPS</t>
  </si>
  <si>
    <t>Key matching, heading display</t>
  </si>
  <si>
    <t>Use before VLOOKUP to make lookups case-insensitive</t>
  </si>
  <si>
    <t>'=LOWER(text)</t>
  </si>
  <si>
    <t>Convert to all lowercase</t>
  </si>
  <si>
    <t>Email normalisation, comparison</t>
  </si>
  <si>
    <t>Always LOWER+TRIM emails before any lookup</t>
  </si>
  <si>
    <t>'=PROPER(text)</t>
  </si>
  <si>
    <t>Capitalise Each Word</t>
  </si>
  <si>
    <t>Standardising customer names</t>
  </si>
  <si>
    <t>Combine with TRIM: =PROPER(TRIM(name))</t>
  </si>
  <si>
    <t>TRIM</t>
  </si>
  <si>
    <t>'=TRIM(text)</t>
  </si>
  <si>
    <t>Remove extra spaces (keeps single spaces)</t>
  </si>
  <si>
    <t>Clean imported data, CRM name fields</t>
  </si>
  <si>
    <t>TRIM removes internal doubles too, not just edges</t>
  </si>
  <si>
    <t>CLEAN</t>
  </si>
  <si>
    <t>'=CLEAN(text)</t>
  </si>
  <si>
    <t>Remove non-printable characters</t>
  </si>
  <si>
    <t>Data imported from external systems or PDFs</t>
  </si>
  <si>
    <t>Use with TRIM: =LOWER(TRIM(CLEAN(text)))</t>
  </si>
  <si>
    <t>FIND</t>
  </si>
  <si>
    <t>'=FIND(find_text, within_text, [start])</t>
  </si>
  <si>
    <t>Position of text (case-sensitive)</t>
  </si>
  <si>
    <t>Locating @ in emails, / in paths</t>
  </si>
  <si>
    <t>Returns error if not found -- wrap with IFERROR</t>
  </si>
  <si>
    <t>SEARCH</t>
  </si>
  <si>
    <t>'=SEARCH(find_text, within_text, [start])</t>
  </si>
  <si>
    <t>Position of text (case-insensitive)</t>
  </si>
  <si>
    <t>Contains checks, wildcard matching</t>
  </si>
  <si>
    <t>Use * and ? wildcards; FIND does not support them</t>
  </si>
  <si>
    <t>SUBSTITUTE</t>
  </si>
  <si>
    <t>'=SUBSTITUTE(text, old, new, [instance])</t>
  </si>
  <si>
    <t>Replace text occurrences</t>
  </si>
  <si>
    <t>Clean phone numbers, swap delimiters</t>
  </si>
  <si>
    <t>4th arg = which occurrence; omit to replace all</t>
  </si>
  <si>
    <t>REPLACE</t>
  </si>
  <si>
    <t>'=REPLACE(text, start, num_chars, new)</t>
  </si>
  <si>
    <t>Replace text at a specific position</t>
  </si>
  <si>
    <t>Mask data, reformat fixed-width codes</t>
  </si>
  <si>
    <t>Use when position is known; SUBSTITUTE when text known</t>
  </si>
  <si>
    <t>CONCAT</t>
  </si>
  <si>
    <t>'=concat(text1, text2, ...)</t>
  </si>
  <si>
    <t>Join text strings (no separator)</t>
  </si>
  <si>
    <t>Build IDs, labels, composite keys</t>
  </si>
  <si>
    <t>Replaced CONCATENATE -- supports ranges</t>
  </si>
  <si>
    <t>TEXTJOIN</t>
  </si>
  <si>
    <t>'=textjoin(delim, skip_blanks, range)</t>
  </si>
  <si>
    <t>Join range with delimiter</t>
  </si>
  <si>
    <t>CSV lists, display labels, audit trails</t>
  </si>
  <si>
    <t>Set skip_blanks=TRUE to ignore empty cells</t>
  </si>
  <si>
    <t>TEXT</t>
  </si>
  <si>
    <t>'=TEXT(value, format_code)</t>
  </si>
  <si>
    <t>Convert number/date to formatted text</t>
  </si>
  <si>
    <t>Dynamic labels, dashboard titles, reports</t>
  </si>
  <si>
    <t>TEXT(TODAY(),"DD-MMM-YYYY") for date in text</t>
  </si>
  <si>
    <t>&amp; operator</t>
  </si>
  <si>
    <t>'=A1&amp;" "&amp;B1</t>
  </si>
  <si>
    <t>Simplest text join (ampersand)</t>
  </si>
  <si>
    <t>Quick one-off joins without a function</t>
  </si>
  <si>
    <t>Equivalent to CONCAT but faster to type</t>
  </si>
  <si>
    <t>TODAY</t>
  </si>
  <si>
    <t>Return today's date</t>
  </si>
  <si>
    <t>Date</t>
  </si>
  <si>
    <t>Elapsed days, expiry checks, age calc</t>
  </si>
  <si>
    <t>Recalculates on every open -- use carefully in reports</t>
  </si>
  <si>
    <t>NOW</t>
  </si>
  <si>
    <t>Return current date and time</t>
  </si>
  <si>
    <t>Timestamps, datetime calculations</t>
  </si>
  <si>
    <t>NOW()-date gives days+time fraction since date</t>
  </si>
  <si>
    <t>DATE</t>
  </si>
  <si>
    <t>'=DATE(year, month, day)</t>
  </si>
  <si>
    <t>Build a date from numeric parts</t>
  </si>
  <si>
    <t>Reconstruct dates, end of month formulas</t>
  </si>
  <si>
    <t>DATE(y,m+3,d) safely adds 3 months</t>
  </si>
  <si>
    <t>TIME</t>
  </si>
  <si>
    <t>'=TIME(hour, minute, second)</t>
  </si>
  <si>
    <t>Build a time value from parts</t>
  </si>
  <si>
    <t>Build timestamps, shift boundaries</t>
  </si>
  <si>
    <t>TIME(9,0,0) = 9:00 AM as Excel serial</t>
  </si>
  <si>
    <t>'=YEAR(date)</t>
  </si>
  <si>
    <t>Extract year from date</t>
  </si>
  <si>
    <t>Annual grouping, cohort analysis</t>
  </si>
  <si>
    <t>Combine with TEXT: TEXT(d,"YYYY") for labels</t>
  </si>
  <si>
    <t>'=MONTH(date)</t>
  </si>
  <si>
    <t>Extract month number (1-12)</t>
  </si>
  <si>
    <t>Monthly trends, seasonality analysis</t>
  </si>
  <si>
    <t>INT((MONTH(d)-1)/3)+1 gives quarter number</t>
  </si>
  <si>
    <t>'=DAY(date)</t>
  </si>
  <si>
    <t>Extract day number (1-31)</t>
  </si>
  <si>
    <t>Day-of-month analysis, payroll</t>
  </si>
  <si>
    <t>Combine YEAR+MONTH+DAY with DATE to rebuild date</t>
  </si>
  <si>
    <t>WEEKDAY</t>
  </si>
  <si>
    <t>'=WEEKDAY(date, [return_type])</t>
  </si>
  <si>
    <t>Day of week as number</t>
  </si>
  <si>
    <t>Weekend flag, scheduling, SLA routing</t>
  </si>
  <si>
    <t>Use type=2 for 1=Mon (ISO); type=1 for 1=Sun</t>
  </si>
  <si>
    <t>'=WEEKNUM(date, [return_type])</t>
  </si>
  <si>
    <t>Week number of the year</t>
  </si>
  <si>
    <t>Weekly reporting, sprint tracking</t>
  </si>
  <si>
    <t>Type=2 for ISO weeks starting Monday</t>
  </si>
  <si>
    <t>DATEDIF</t>
  </si>
  <si>
    <t>'=DATEDIF(start, end, unit)</t>
  </si>
  <si>
    <t>Difference in D, M, Y, YM, MD, YD</t>
  </si>
  <si>
    <t>Tenure, age, contract duration</t>
  </si>
  <si>
    <t>Not in function wizard -- type manually; start &lt; end</t>
  </si>
  <si>
    <t>DAYS</t>
  </si>
  <si>
    <t>'=days(end_date, start_date)</t>
  </si>
  <si>
    <t>Simple day count between dates</t>
  </si>
  <si>
    <t>Quick elapsed day calculation</t>
  </si>
  <si>
    <t>Argument order is end,start (opposite of subtraction)</t>
  </si>
  <si>
    <t>'=NETWORKDAYS(start, end, [holidays])</t>
  </si>
  <si>
    <t>Count working days (Mon-Fri)</t>
  </si>
  <si>
    <t>SLA tracking, project timelines</t>
  </si>
  <si>
    <t>Add holiday range as 3rd arg to exclude public holidays</t>
  </si>
  <si>
    <t>WORKDAY</t>
  </si>
  <si>
    <t>'=WORKDAY(start_date, days, [holidays])</t>
  </si>
  <si>
    <t>Date N working days from start</t>
  </si>
  <si>
    <t>Deadline calculation, due dates</t>
  </si>
  <si>
    <t>WORKDAY.INTL lets you define custom weekends</t>
  </si>
  <si>
    <t>EDATE</t>
  </si>
  <si>
    <t>'=EDATE(start_date, months)</t>
  </si>
  <si>
    <t>Date N months from start</t>
  </si>
  <si>
    <t>Renewal dates, subscription expiry</t>
  </si>
  <si>
    <t>EDATE(date,12) = exactly 1 year later; handles Feb</t>
  </si>
  <si>
    <t>Extract hour (0-23)</t>
  </si>
  <si>
    <t>Session analysis, peak hour tracking</t>
  </si>
  <si>
    <t>Works on datetime values too -- extracts time part</t>
  </si>
  <si>
    <t>Extract minute (0-59)</t>
  </si>
  <si>
    <t>Response time breakdown</t>
  </si>
  <si>
    <t>Combine with HOUR for total minutes: HOUR*60+MINUTE</t>
  </si>
  <si>
    <t>Extract second (0-59)</t>
  </si>
  <si>
    <t>Precise timestamp parsing</t>
  </si>
  <si>
    <t>Rarely needed alone; use with TIMEVALUE for text times</t>
  </si>
  <si>
    <t>'=TIMEVALUE(time_text)</t>
  </si>
  <si>
    <t>Convert time text to Excel serial</t>
  </si>
  <si>
    <t>Parse datetime strings from databases/exports</t>
  </si>
  <si>
    <t>'=TIMEVALUE(MID(datetime,12,8)) extracts time from text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</si>
</sst>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mm/dd/yy"/>
    <numFmt numFmtId="181" formatCode="mm/dd/yy\ hh:mm\ AM/PM"/>
    <numFmt numFmtId="182" formatCode="dd/mm/yyyy\ hh:mm"/>
    <numFmt numFmtId="183" formatCode="yyyy/mm/dd"/>
    <numFmt numFmtId="184" formatCode="dd/mm/yyyy"/>
  </numFmts>
  <fonts count="40">
    <font>
      <sz val="11"/>
      <color theme="1"/>
      <name val="Calibri"/>
      <charset val="1"/>
    </font>
    <font>
      <b/>
      <sz val="14"/>
      <color rgb="FFFFFFFF"/>
      <name val="Arial"/>
      <charset val="1"/>
    </font>
    <font>
      <i/>
      <sz val="9"/>
      <color rgb="FF1A5276"/>
      <name val="Arial"/>
      <charset val="1"/>
    </font>
    <font>
      <b/>
      <sz val="10"/>
      <color rgb="FFFFFFFF"/>
      <name val="Arial"/>
      <charset val="1"/>
    </font>
    <font>
      <b/>
      <sz val="9"/>
      <color rgb="FF000000"/>
      <name val="Arial"/>
      <charset val="1"/>
    </font>
    <font>
      <i/>
      <sz val="8"/>
      <color rgb="FF000000"/>
      <name val="Arial"/>
      <charset val="1"/>
    </font>
    <font>
      <sz val="9"/>
      <color rgb="FF000000"/>
      <name val="Arial"/>
      <charset val="1"/>
    </font>
    <font>
      <i/>
      <sz val="9"/>
      <color rgb="FF00000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i/>
      <sz val="10"/>
      <color rgb="FF7D6608"/>
      <name val="Arial"/>
      <charset val="1"/>
    </font>
    <font>
      <b/>
      <sz val="9"/>
      <color rgb="FFFFFFFF"/>
      <name val="Arial"/>
      <charset val="1"/>
    </font>
    <font>
      <sz val="10"/>
      <color rgb="FF000000"/>
      <name val="Arial"/>
      <charset val="1"/>
    </font>
    <font>
      <b/>
      <sz val="12"/>
      <color rgb="FFFFFFFF"/>
      <name val="Arial"/>
      <charset val="1"/>
    </font>
    <font>
      <sz val="9"/>
      <color rgb="FF1F3864"/>
      <name val="Arial"/>
      <charset val="1"/>
    </font>
    <font>
      <i/>
      <sz val="9"/>
      <color rgb="FF4A4A4A"/>
      <name val="Arial"/>
      <charset val="1"/>
    </font>
    <font>
      <b/>
      <sz val="10"/>
      <color rgb="FFFFFFFF"/>
      <name val="Arial"/>
      <charset val="134"/>
    </font>
    <font>
      <b/>
      <sz val="11"/>
      <color theme="1"/>
      <name val="Calibri"/>
      <charset val="1"/>
    </font>
    <font>
      <sz val="10"/>
      <color rgb="FF000000"/>
      <name val="Arial"/>
      <charset val="134"/>
    </font>
    <font>
      <sz val="10"/>
      <color theme="1"/>
      <name val="Arial Unicode MS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1F3864"/>
        <bgColor rgb="FF283593"/>
      </patternFill>
    </fill>
    <fill>
      <patternFill patternType="solid">
        <fgColor rgb="FFD6E4F0"/>
        <bgColor rgb="FFD6EAF8"/>
      </patternFill>
    </fill>
    <fill>
      <patternFill patternType="solid">
        <fgColor rgb="FFC0D5E8"/>
        <bgColor rgb="FFC5CAE9"/>
      </patternFill>
    </fill>
    <fill>
      <patternFill patternType="solid">
        <fgColor rgb="FFD5F5E3"/>
        <bgColor rgb="FFD1F2EB"/>
      </patternFill>
    </fill>
    <fill>
      <patternFill patternType="solid">
        <fgColor rgb="FFC1EDD3"/>
        <bgColor rgb="FFD1F2EB"/>
      </patternFill>
    </fill>
    <fill>
      <patternFill patternType="solid">
        <fgColor rgb="FFFAD7A0"/>
        <bgColor rgb="FFF5CBA7"/>
      </patternFill>
    </fill>
    <fill>
      <patternFill patternType="solid">
        <fgColor rgb="FFFDEBD0"/>
        <bgColor rgb="FFFAE5D3"/>
      </patternFill>
    </fill>
    <fill>
      <patternFill patternType="solid">
        <fgColor rgb="FFD7BDE2"/>
        <bgColor rgb="FFD2B4DE"/>
      </patternFill>
    </fill>
    <fill>
      <patternFill patternType="solid">
        <fgColor rgb="FFE8DAEF"/>
        <bgColor rgb="FFFADADD"/>
      </patternFill>
    </fill>
    <fill>
      <patternFill patternType="solid">
        <fgColor rgb="FFA2D9CE"/>
        <bgColor rgb="FFA9DFBF"/>
      </patternFill>
    </fill>
    <fill>
      <patternFill patternType="solid">
        <fgColor rgb="FFD1F2EB"/>
        <bgColor rgb="FFD5F5E3"/>
      </patternFill>
    </fill>
    <fill>
      <patternFill patternType="solid">
        <fgColor rgb="FFC5CAE9"/>
        <bgColor rgb="FFC0D5E8"/>
      </patternFill>
    </fill>
    <fill>
      <patternFill patternType="solid">
        <fgColor rgb="FFE8EAF6"/>
        <bgColor rgb="FFF2F3F4"/>
      </patternFill>
    </fill>
    <fill>
      <patternFill patternType="solid">
        <fgColor rgb="FFFAE5D3"/>
        <bgColor rgb="FFFDEBD0"/>
      </patternFill>
    </fill>
    <fill>
      <patternFill patternType="solid">
        <fgColor rgb="FFF5CBA7"/>
        <bgColor rgb="FFFAD7A0"/>
      </patternFill>
    </fill>
    <fill>
      <patternFill patternType="solid">
        <fgColor rgb="FFF1948A"/>
        <bgColor rgb="FFD2B4DE"/>
      </patternFill>
    </fill>
    <fill>
      <patternFill patternType="solid">
        <fgColor rgb="FFFADADD"/>
        <bgColor rgb="FFFAE5D3"/>
      </patternFill>
    </fill>
    <fill>
      <patternFill patternType="solid">
        <fgColor rgb="FF2E75B6"/>
        <bgColor rgb="FF008080"/>
      </patternFill>
    </fill>
    <fill>
      <patternFill patternType="solid">
        <fgColor rgb="FF1E8449"/>
        <bgColor rgb="FF008080"/>
      </patternFill>
    </fill>
    <fill>
      <patternFill patternType="solid">
        <fgColor rgb="FFF2F3F4"/>
        <bgColor rgb="FFFAFAFA"/>
      </patternFill>
    </fill>
    <fill>
      <patternFill patternType="solid">
        <fgColor rgb="FFF9E79F"/>
        <bgColor rgb="FFFAD7A0"/>
      </patternFill>
    </fill>
    <fill>
      <patternFill patternType="solid">
        <fgColor rgb="FFB7560A"/>
        <bgColor rgb="FF7D6608"/>
      </patternFill>
    </fill>
    <fill>
      <patternFill patternType="solid">
        <fgColor rgb="FF922B21"/>
        <bgColor rgb="FF6E2F1A"/>
      </patternFill>
    </fill>
    <fill>
      <patternFill patternType="solid">
        <fgColor rgb="FF6B0F1A"/>
        <bgColor rgb="FF800000"/>
      </patternFill>
    </fill>
    <fill>
      <patternFill patternType="solid">
        <fgColor rgb="FFFFFFFF"/>
        <bgColor rgb="FFFAFAFA"/>
      </patternFill>
    </fill>
    <fill>
      <patternFill patternType="solid">
        <fgColor rgb="FF6E2F1A"/>
        <bgColor rgb="FF922B21"/>
      </patternFill>
    </fill>
    <fill>
      <patternFill patternType="solid">
        <fgColor rgb="FF283593"/>
        <bgColor rgb="FF1F3864"/>
      </patternFill>
    </fill>
    <fill>
      <patternFill patternType="solid">
        <fgColor rgb="FF0E6655"/>
        <bgColor rgb="FF1A5276"/>
      </patternFill>
    </fill>
    <fill>
      <patternFill patternType="solid">
        <fgColor rgb="FF6C3483"/>
        <bgColor rgb="FF993366"/>
      </patternFill>
    </fill>
    <fill>
      <patternFill patternType="solid">
        <fgColor rgb="FFD2B4DE"/>
        <bgColor rgb="FFD7BDE2"/>
      </patternFill>
    </fill>
    <fill>
      <patternFill patternType="solid">
        <fgColor rgb="FFA9DFBF"/>
        <bgColor rgb="FFA2D9CE"/>
      </patternFill>
    </fill>
    <fill>
      <patternFill patternType="solid">
        <fgColor rgb="FFD6EAF8"/>
        <bgColor rgb="FFD6E4F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7F8C8D"/>
      </left>
      <right style="medium">
        <color rgb="FF7F8C8D"/>
      </right>
      <top style="medium">
        <color rgb="FF7F8C8D"/>
      </top>
      <bottom style="medium">
        <color rgb="FF7F8C8D"/>
      </bottom>
      <diagonal/>
    </border>
    <border>
      <left style="medium">
        <color rgb="FFB7950B"/>
      </left>
      <right style="medium">
        <color rgb="FFB7950B"/>
      </right>
      <top style="medium">
        <color rgb="FFB7950B"/>
      </top>
      <bottom style="medium">
        <color rgb="FFB7950B"/>
      </bottom>
      <diagonal/>
    </border>
    <border>
      <left style="medium">
        <color rgb="FF7F8C8D"/>
      </left>
      <right style="thin">
        <color rgb="FFBFBFBF"/>
      </right>
      <top style="medium">
        <color rgb="FF7F8C8D"/>
      </top>
      <bottom style="medium">
        <color rgb="FF7F8C8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0" fillId="0" borderId="0" applyFont="0" applyFill="0" applyBorder="0" applyAlignment="0" applyProtection="0">
      <alignment vertical="center"/>
    </xf>
    <xf numFmtId="177" fontId="20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178" fontId="20" fillId="0" borderId="0" applyFont="0" applyFill="0" applyBorder="0" applyAlignment="0" applyProtection="0">
      <alignment vertical="center"/>
    </xf>
    <xf numFmtId="179" fontId="2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34" borderId="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35" borderId="9" applyNumberFormat="0" applyAlignment="0" applyProtection="0">
      <alignment vertical="center"/>
    </xf>
    <xf numFmtId="0" fontId="30" fillId="36" borderId="10" applyNumberFormat="0" applyAlignment="0" applyProtection="0">
      <alignment vertical="center"/>
    </xf>
    <xf numFmtId="0" fontId="31" fillId="36" borderId="9" applyNumberFormat="0" applyAlignment="0" applyProtection="0">
      <alignment vertical="center"/>
    </xf>
    <xf numFmtId="0" fontId="32" fillId="37" borderId="11" applyNumberFormat="0" applyAlignment="0" applyProtection="0">
      <alignment vertical="center"/>
    </xf>
    <xf numFmtId="0" fontId="33" fillId="0" borderId="12" applyNumberFormat="0" applyFill="0" applyAlignment="0" applyProtection="0">
      <alignment vertical="center"/>
    </xf>
    <xf numFmtId="0" fontId="34" fillId="0" borderId="13" applyNumberFormat="0" applyFill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38" fillId="44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38" fillId="48" borderId="0" applyNumberFormat="0" applyBorder="0" applyAlignment="0" applyProtection="0">
      <alignment vertical="center"/>
    </xf>
    <xf numFmtId="0" fontId="38" fillId="49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0" fontId="39" fillId="51" borderId="0" applyNumberFormat="0" applyBorder="0" applyAlignment="0" applyProtection="0">
      <alignment vertical="center"/>
    </xf>
    <xf numFmtId="0" fontId="38" fillId="52" borderId="0" applyNumberFormat="0" applyBorder="0" applyAlignment="0" applyProtection="0">
      <alignment vertical="center"/>
    </xf>
    <xf numFmtId="0" fontId="38" fillId="53" borderId="0" applyNumberFormat="0" applyBorder="0" applyAlignment="0" applyProtection="0">
      <alignment vertical="center"/>
    </xf>
    <xf numFmtId="0" fontId="39" fillId="54" borderId="0" applyNumberFormat="0" applyBorder="0" applyAlignment="0" applyProtection="0">
      <alignment vertical="center"/>
    </xf>
    <xf numFmtId="0" fontId="39" fillId="55" borderId="0" applyNumberFormat="0" applyBorder="0" applyAlignment="0" applyProtection="0">
      <alignment vertical="center"/>
    </xf>
    <xf numFmtId="0" fontId="38" fillId="56" borderId="0" applyNumberFormat="0" applyBorder="0" applyAlignment="0" applyProtection="0">
      <alignment vertical="center"/>
    </xf>
    <xf numFmtId="0" fontId="38" fillId="57" borderId="0" applyNumberFormat="0" applyBorder="0" applyAlignment="0" applyProtection="0">
      <alignment vertical="center"/>
    </xf>
    <xf numFmtId="0" fontId="39" fillId="58" borderId="0" applyNumberFormat="0" applyBorder="0" applyAlignment="0" applyProtection="0">
      <alignment vertical="center"/>
    </xf>
    <xf numFmtId="0" fontId="39" fillId="59" borderId="0" applyNumberFormat="0" applyBorder="0" applyAlignment="0" applyProtection="0">
      <alignment vertical="center"/>
    </xf>
    <xf numFmtId="0" fontId="38" fillId="60" borderId="0" applyNumberFormat="0" applyBorder="0" applyAlignment="0" applyProtection="0">
      <alignment vertical="center"/>
    </xf>
    <xf numFmtId="0" fontId="38" fillId="61" borderId="0" applyNumberFormat="0" applyBorder="0" applyAlignment="0" applyProtection="0">
      <alignment vertical="center"/>
    </xf>
    <xf numFmtId="0" fontId="39" fillId="62" borderId="0" applyNumberFormat="0" applyBorder="0" applyAlignment="0" applyProtection="0">
      <alignment vertical="center"/>
    </xf>
    <xf numFmtId="0" fontId="39" fillId="63" borderId="0" applyNumberFormat="0" applyBorder="0" applyAlignment="0" applyProtection="0">
      <alignment vertical="center"/>
    </xf>
    <xf numFmtId="0" fontId="38" fillId="64" borderId="0" applyNumberFormat="0" applyBorder="0" applyAlignment="0" applyProtection="0">
      <alignment vertical="center"/>
    </xf>
  </cellStyleXfs>
  <cellXfs count="17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 vertical="center" wrapText="1"/>
    </xf>
    <xf numFmtId="0" fontId="5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7" fillId="10" borderId="2" xfId="0" applyFont="1" applyFill="1" applyBorder="1" applyAlignment="1">
      <alignment horizontal="left" vertical="center" wrapText="1"/>
    </xf>
    <xf numFmtId="0" fontId="4" fillId="11" borderId="2" xfId="0" applyFont="1" applyFill="1" applyBorder="1" applyAlignment="1">
      <alignment horizontal="left" vertical="center" wrapText="1"/>
    </xf>
    <xf numFmtId="180" fontId="5" fillId="11" borderId="2" xfId="0" applyNumberFormat="1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left" vertical="center" wrapText="1"/>
    </xf>
    <xf numFmtId="0" fontId="4" fillId="12" borderId="2" xfId="0" applyFont="1" applyFill="1" applyBorder="1" applyAlignment="1">
      <alignment horizontal="left" vertical="center" wrapText="1"/>
    </xf>
    <xf numFmtId="181" fontId="5" fillId="12" borderId="2" xfId="0" applyNumberFormat="1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left" vertical="center" wrapText="1"/>
    </xf>
    <xf numFmtId="0" fontId="5" fillId="11" borderId="2" xfId="0" applyFont="1" applyFill="1" applyBorder="1" applyAlignment="1">
      <alignment horizontal="left" vertical="center" wrapText="1"/>
    </xf>
    <xf numFmtId="0" fontId="5" fillId="12" borderId="2" xfId="0" applyFont="1" applyFill="1" applyBorder="1" applyAlignment="1">
      <alignment horizontal="left" vertical="center" wrapText="1"/>
    </xf>
    <xf numFmtId="0" fontId="4" fillId="13" borderId="2" xfId="0" applyFont="1" applyFill="1" applyBorder="1" applyAlignment="1">
      <alignment horizontal="left" vertical="center" wrapText="1"/>
    </xf>
    <xf numFmtId="0" fontId="5" fillId="13" borderId="2" xfId="0" applyFont="1" applyFill="1" applyBorder="1" applyAlignment="1">
      <alignment horizontal="left" vertical="center" wrapText="1"/>
    </xf>
    <xf numFmtId="0" fontId="6" fillId="13" borderId="2" xfId="0" applyFont="1" applyFill="1" applyBorder="1" applyAlignment="1">
      <alignment horizontal="left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4" fillId="14" borderId="2" xfId="0" applyFont="1" applyFill="1" applyBorder="1" applyAlignment="1">
      <alignment horizontal="left" vertical="center" wrapText="1"/>
    </xf>
    <xf numFmtId="0" fontId="5" fillId="14" borderId="2" xfId="0" applyFont="1" applyFill="1" applyBorder="1" applyAlignment="1">
      <alignment horizontal="left" vertical="center" wrapText="1"/>
    </xf>
    <xf numFmtId="0" fontId="6" fillId="14" borderId="2" xfId="0" applyFont="1" applyFill="1" applyBorder="1" applyAlignment="1">
      <alignment horizontal="left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left" vertical="center" wrapText="1"/>
    </xf>
    <xf numFmtId="0" fontId="4" fillId="15" borderId="2" xfId="0" applyFont="1" applyFill="1" applyBorder="1" applyAlignment="1">
      <alignment horizontal="left" vertical="center" wrapText="1"/>
    </xf>
    <xf numFmtId="0" fontId="5" fillId="15" borderId="2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4" fillId="16" borderId="2" xfId="0" applyFont="1" applyFill="1" applyBorder="1" applyAlignment="1">
      <alignment horizontal="left" vertical="center" wrapText="1"/>
    </xf>
    <xf numFmtId="0" fontId="5" fillId="16" borderId="2" xfId="0" applyFont="1" applyFill="1" applyBorder="1" applyAlignment="1">
      <alignment horizontal="left" vertical="center" wrapText="1"/>
    </xf>
    <xf numFmtId="0" fontId="6" fillId="16" borderId="2" xfId="0" applyFont="1" applyFill="1" applyBorder="1" applyAlignment="1">
      <alignment horizontal="left" vertical="center" wrapText="1"/>
    </xf>
    <xf numFmtId="0" fontId="6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4" fillId="17" borderId="2" xfId="0" applyFont="1" applyFill="1" applyBorder="1" applyAlignment="1">
      <alignment horizontal="left" vertical="center" wrapText="1"/>
    </xf>
    <xf numFmtId="0" fontId="5" fillId="17" borderId="2" xfId="0" applyFont="1" applyFill="1" applyBorder="1" applyAlignment="1">
      <alignment horizontal="left" vertical="center" wrapText="1"/>
    </xf>
    <xf numFmtId="0" fontId="6" fillId="17" borderId="2" xfId="0" applyFont="1" applyFill="1" applyBorder="1" applyAlignment="1">
      <alignment horizontal="left" vertical="center" wrapText="1"/>
    </xf>
    <xf numFmtId="0" fontId="6" fillId="17" borderId="2" xfId="0" applyFont="1" applyFill="1" applyBorder="1" applyAlignment="1">
      <alignment horizontal="center" vertical="center" wrapText="1"/>
    </xf>
    <xf numFmtId="0" fontId="7" fillId="17" borderId="2" xfId="0" applyFont="1" applyFill="1" applyBorder="1" applyAlignment="1">
      <alignment horizontal="left" vertical="center" wrapText="1"/>
    </xf>
    <xf numFmtId="0" fontId="4" fillId="18" borderId="2" xfId="0" applyFont="1" applyFill="1" applyBorder="1" applyAlignment="1">
      <alignment horizontal="left" vertical="center" wrapText="1"/>
    </xf>
    <xf numFmtId="0" fontId="5" fillId="18" borderId="2" xfId="0" applyFont="1" applyFill="1" applyBorder="1" applyAlignment="1">
      <alignment horizontal="left" vertical="center" wrapText="1"/>
    </xf>
    <xf numFmtId="0" fontId="6" fillId="18" borderId="2" xfId="0" applyFont="1" applyFill="1" applyBorder="1" applyAlignment="1">
      <alignment horizontal="left" vertical="center" wrapText="1"/>
    </xf>
    <xf numFmtId="0" fontId="6" fillId="18" borderId="2" xfId="0" applyFont="1" applyFill="1" applyBorder="1" applyAlignment="1">
      <alignment horizontal="center" vertical="center" wrapText="1"/>
    </xf>
    <xf numFmtId="0" fontId="7" fillId="18" borderId="2" xfId="0" applyFont="1" applyFill="1" applyBorder="1" applyAlignment="1">
      <alignment horizontal="left" vertical="center" wrapText="1"/>
    </xf>
    <xf numFmtId="0" fontId="8" fillId="19" borderId="3" xfId="0" applyFont="1" applyFill="1" applyBorder="1" applyAlignment="1">
      <alignment horizontal="left" vertical="center"/>
    </xf>
    <xf numFmtId="0" fontId="3" fillId="20" borderId="3" xfId="0" applyFont="1" applyFill="1" applyBorder="1" applyAlignment="1">
      <alignment horizontal="center" vertical="center"/>
    </xf>
    <xf numFmtId="0" fontId="9" fillId="21" borderId="2" xfId="0" applyFont="1" applyFill="1" applyBorder="1" applyAlignment="1">
      <alignment horizontal="left" vertical="center" wrapText="1"/>
    </xf>
    <xf numFmtId="0" fontId="10" fillId="22" borderId="4" xfId="0" applyFont="1" applyFill="1" applyBorder="1" applyAlignment="1">
      <alignment horizontal="left" vertical="center" wrapText="1"/>
    </xf>
    <xf numFmtId="0" fontId="11" fillId="20" borderId="3" xfId="0" applyFont="1" applyFill="1" applyBorder="1" applyAlignment="1">
      <alignment horizontal="center" vertical="center"/>
    </xf>
    <xf numFmtId="0" fontId="3" fillId="23" borderId="3" xfId="0" applyFont="1" applyFill="1" applyBorder="1" applyAlignment="1">
      <alignment horizontal="center" vertical="center"/>
    </xf>
    <xf numFmtId="0" fontId="11" fillId="23" borderId="3" xfId="0" applyFont="1" applyFill="1" applyBorder="1" applyAlignment="1">
      <alignment horizontal="center" vertical="center"/>
    </xf>
    <xf numFmtId="0" fontId="3" fillId="24" borderId="3" xfId="0" applyFont="1" applyFill="1" applyBorder="1" applyAlignment="1">
      <alignment horizontal="center" vertical="center"/>
    </xf>
    <xf numFmtId="0" fontId="11" fillId="24" borderId="3" xfId="0" applyFont="1" applyFill="1" applyBorder="1" applyAlignment="1">
      <alignment horizontal="center" vertical="center"/>
    </xf>
    <xf numFmtId="0" fontId="1" fillId="25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left" vertical="center" wrapText="1"/>
    </xf>
    <xf numFmtId="0" fontId="3" fillId="25" borderId="3" xfId="0" applyFont="1" applyFill="1" applyBorder="1" applyAlignment="1">
      <alignment horizontal="center" vertical="center" wrapText="1"/>
    </xf>
    <xf numFmtId="0" fontId="12" fillId="26" borderId="2" xfId="0" applyFont="1" applyFill="1" applyBorder="1" applyAlignment="1">
      <alignment horizontal="center" vertical="center" wrapText="1"/>
    </xf>
    <xf numFmtId="0" fontId="12" fillId="26" borderId="2" xfId="0" applyFont="1" applyFill="1" applyBorder="1" applyAlignment="1">
      <alignment horizontal="left" vertical="center" wrapText="1"/>
    </xf>
    <xf numFmtId="0" fontId="12" fillId="18" borderId="2" xfId="0" applyFont="1" applyFill="1" applyBorder="1" applyAlignment="1">
      <alignment horizontal="center" vertical="center" wrapText="1"/>
    </xf>
    <xf numFmtId="182" fontId="12" fillId="17" borderId="2" xfId="0" applyNumberFormat="1" applyFont="1" applyFill="1" applyBorder="1" applyAlignment="1">
      <alignment horizontal="center" vertical="center" wrapText="1"/>
    </xf>
    <xf numFmtId="0" fontId="12" fillId="21" borderId="2" xfId="0" applyFont="1" applyFill="1" applyBorder="1" applyAlignment="1">
      <alignment horizontal="center" vertical="center" wrapText="1"/>
    </xf>
    <xf numFmtId="0" fontId="12" fillId="21" borderId="2" xfId="0" applyFont="1" applyFill="1" applyBorder="1" applyAlignment="1">
      <alignment horizontal="left" vertical="center" wrapText="1"/>
    </xf>
    <xf numFmtId="0" fontId="12" fillId="17" borderId="2" xfId="0" applyFont="1" applyFill="1" applyBorder="1" applyAlignment="1">
      <alignment horizontal="center" vertical="center" wrapText="1"/>
    </xf>
    <xf numFmtId="0" fontId="13" fillId="25" borderId="1" xfId="0" applyFont="1" applyFill="1" applyBorder="1" applyAlignment="1">
      <alignment horizontal="left" vertical="center"/>
    </xf>
    <xf numFmtId="0" fontId="14" fillId="18" borderId="5" xfId="0" applyFont="1" applyFill="1" applyBorder="1" applyAlignment="1">
      <alignment horizontal="left" vertical="center" wrapText="1"/>
    </xf>
    <xf numFmtId="0" fontId="15" fillId="21" borderId="2" xfId="0" applyFont="1" applyFill="1" applyBorder="1" applyAlignment="1">
      <alignment horizontal="left" vertical="center" wrapText="1"/>
    </xf>
    <xf numFmtId="0" fontId="1" fillId="27" borderId="1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left" vertical="center" wrapText="1"/>
    </xf>
    <xf numFmtId="0" fontId="3" fillId="27" borderId="3" xfId="0" applyFont="1" applyFill="1" applyBorder="1" applyAlignment="1">
      <alignment horizontal="center" vertical="center" wrapText="1"/>
    </xf>
    <xf numFmtId="0" fontId="16" fillId="27" borderId="3" xfId="0" applyFont="1" applyFill="1" applyBorder="1" applyAlignment="1">
      <alignment horizontal="center" vertical="center" wrapText="1"/>
    </xf>
    <xf numFmtId="183" fontId="12" fillId="26" borderId="2" xfId="0" applyNumberFormat="1" applyFont="1" applyFill="1" applyBorder="1" applyAlignment="1">
      <alignment horizontal="center" vertical="center" wrapText="1"/>
    </xf>
    <xf numFmtId="0" fontId="12" fillId="15" borderId="2" xfId="0" applyFont="1" applyFill="1" applyBorder="1" applyAlignment="1">
      <alignment horizontal="center" vertical="center" wrapText="1"/>
    </xf>
    <xf numFmtId="184" fontId="12" fillId="15" borderId="2" xfId="0" applyNumberFormat="1" applyFont="1" applyFill="1" applyBorder="1" applyAlignment="1">
      <alignment horizontal="center" vertical="center" wrapText="1"/>
    </xf>
    <xf numFmtId="183" fontId="12" fillId="21" borderId="2" xfId="0" applyNumberFormat="1" applyFont="1" applyFill="1" applyBorder="1" applyAlignment="1">
      <alignment horizontal="center" vertical="center" wrapText="1"/>
    </xf>
    <xf numFmtId="0" fontId="12" fillId="16" borderId="2" xfId="0" applyFont="1" applyFill="1" applyBorder="1" applyAlignment="1">
      <alignment horizontal="center" vertical="center" wrapText="1"/>
    </xf>
    <xf numFmtId="184" fontId="12" fillId="16" borderId="2" xfId="0" applyNumberFormat="1" applyFont="1" applyFill="1" applyBorder="1" applyAlignment="1">
      <alignment horizontal="center" vertical="center" wrapText="1"/>
    </xf>
    <xf numFmtId="0" fontId="13" fillId="27" borderId="1" xfId="0" applyFont="1" applyFill="1" applyBorder="1" applyAlignment="1">
      <alignment horizontal="left" vertical="center"/>
    </xf>
    <xf numFmtId="0" fontId="14" fillId="15" borderId="5" xfId="0" applyFont="1" applyFill="1" applyBorder="1" applyAlignment="1">
      <alignment horizontal="left" vertical="center" wrapText="1"/>
    </xf>
    <xf numFmtId="0" fontId="1" fillId="28" borderId="1" xfId="0" applyFont="1" applyFill="1" applyBorder="1" applyAlignment="1">
      <alignment horizontal="center" vertical="center"/>
    </xf>
    <xf numFmtId="0" fontId="2" fillId="14" borderId="2" xfId="0" applyFont="1" applyFill="1" applyBorder="1" applyAlignment="1">
      <alignment horizontal="left" vertical="center" wrapText="1"/>
    </xf>
    <xf numFmtId="0" fontId="3" fillId="28" borderId="3" xfId="0" applyFont="1" applyFill="1" applyBorder="1" applyAlignment="1">
      <alignment horizontal="center" vertical="center" wrapText="1"/>
    </xf>
    <xf numFmtId="0" fontId="12" fillId="14" borderId="2" xfId="0" applyFont="1" applyFill="1" applyBorder="1" applyAlignment="1">
      <alignment horizontal="center" vertical="center" wrapText="1"/>
    </xf>
    <xf numFmtId="0" fontId="12" fillId="13" borderId="2" xfId="0" applyFont="1" applyFill="1" applyBorder="1" applyAlignment="1">
      <alignment horizontal="center" vertical="center" wrapText="1"/>
    </xf>
    <xf numFmtId="0" fontId="13" fillId="28" borderId="1" xfId="0" applyFont="1" applyFill="1" applyBorder="1" applyAlignment="1">
      <alignment horizontal="left" vertical="center"/>
    </xf>
    <xf numFmtId="0" fontId="14" fillId="14" borderId="5" xfId="0" applyFont="1" applyFill="1" applyBorder="1" applyAlignment="1">
      <alignment horizontal="left" vertical="center" wrapText="1"/>
    </xf>
    <xf numFmtId="0" fontId="1" fillId="29" borderId="1" xfId="0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left" vertical="center" wrapText="1"/>
    </xf>
    <xf numFmtId="0" fontId="3" fillId="29" borderId="3" xfId="0" applyFont="1" applyFill="1" applyBorder="1" applyAlignment="1">
      <alignment horizontal="center" vertical="center" wrapText="1"/>
    </xf>
    <xf numFmtId="0" fontId="12" fillId="12" borderId="2" xfId="0" applyFont="1" applyFill="1" applyBorder="1" applyAlignment="1">
      <alignment horizontal="center" vertical="center" wrapText="1"/>
    </xf>
    <xf numFmtId="180" fontId="12" fillId="12" borderId="2" xfId="0" applyNumberFormat="1" applyFont="1" applyFill="1" applyBorder="1" applyAlignment="1">
      <alignment horizontal="center" vertical="center" wrapText="1"/>
    </xf>
    <xf numFmtId="181" fontId="12" fillId="12" borderId="2" xfId="0" applyNumberFormat="1" applyFont="1" applyFill="1" applyBorder="1" applyAlignment="1">
      <alignment horizontal="center" vertical="center" wrapText="1"/>
    </xf>
    <xf numFmtId="0" fontId="12" fillId="11" borderId="2" xfId="0" applyFont="1" applyFill="1" applyBorder="1" applyAlignment="1">
      <alignment horizontal="center" vertical="center" wrapText="1"/>
    </xf>
    <xf numFmtId="180" fontId="12" fillId="11" borderId="2" xfId="0" applyNumberFormat="1" applyFont="1" applyFill="1" applyBorder="1" applyAlignment="1">
      <alignment horizontal="center" vertical="center" wrapText="1"/>
    </xf>
    <xf numFmtId="181" fontId="12" fillId="11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0" fontId="13" fillId="29" borderId="1" xfId="0" applyFont="1" applyFill="1" applyBorder="1" applyAlignment="1">
      <alignment horizontal="left" vertical="center"/>
    </xf>
    <xf numFmtId="0" fontId="14" fillId="12" borderId="5" xfId="0" applyFont="1" applyFill="1" applyBorder="1" applyAlignment="1">
      <alignment horizontal="left" vertical="center" wrapText="1"/>
    </xf>
    <xf numFmtId="0" fontId="1" fillId="30" borderId="1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 vertical="center" wrapText="1"/>
    </xf>
    <xf numFmtId="0" fontId="3" fillId="30" borderId="3" xfId="0" applyFont="1" applyFill="1" applyBorder="1" applyAlignment="1">
      <alignment horizontal="center" vertical="center" wrapText="1"/>
    </xf>
    <xf numFmtId="0" fontId="12" fillId="31" borderId="2" xfId="0" applyFont="1" applyFill="1" applyBorder="1" applyAlignment="1">
      <alignment horizontal="left" vertical="center" wrapText="1"/>
    </xf>
    <xf numFmtId="0" fontId="12" fillId="10" borderId="2" xfId="0" applyFont="1" applyFill="1" applyBorder="1" applyAlignment="1">
      <alignment horizontal="left" vertical="center" wrapText="1"/>
    </xf>
    <xf numFmtId="0" fontId="13" fillId="30" borderId="1" xfId="0" applyFont="1" applyFill="1" applyBorder="1" applyAlignment="1">
      <alignment horizontal="left" vertical="center"/>
    </xf>
    <xf numFmtId="0" fontId="14" fillId="10" borderId="5" xfId="0" applyFont="1" applyFill="1" applyBorder="1" applyAlignment="1">
      <alignment horizontal="left" vertical="center" wrapText="1"/>
    </xf>
    <xf numFmtId="0" fontId="1" fillId="23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left" vertical="center" wrapText="1"/>
    </xf>
    <xf numFmtId="0" fontId="3" fillId="23" borderId="3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left" vertical="center" wrapText="1"/>
    </xf>
    <xf numFmtId="0" fontId="12" fillId="7" borderId="2" xfId="0" applyFont="1" applyFill="1" applyBorder="1" applyAlignment="1">
      <alignment horizontal="center" vertical="center" wrapText="1"/>
    </xf>
    <xf numFmtId="0" fontId="12" fillId="7" borderId="2" xfId="0" applyFont="1" applyFill="1" applyBorder="1" applyAlignment="1">
      <alignment horizontal="left" vertical="center" wrapText="1"/>
    </xf>
    <xf numFmtId="0" fontId="17" fillId="0" borderId="0" xfId="0" applyFont="1"/>
    <xf numFmtId="0" fontId="18" fillId="21" borderId="2" xfId="0" applyFont="1" applyFill="1" applyBorder="1" applyAlignment="1">
      <alignment horizontal="left" vertical="center" wrapText="1"/>
    </xf>
    <xf numFmtId="0" fontId="19" fillId="0" borderId="0" xfId="0" applyFont="1"/>
    <xf numFmtId="0" fontId="19" fillId="0" borderId="0" xfId="0" applyFont="1" applyAlignment="1">
      <alignment horizontal="left" vertical="center" indent="1"/>
    </xf>
    <xf numFmtId="0" fontId="13" fillId="23" borderId="1" xfId="0" applyFont="1" applyFill="1" applyBorder="1" applyAlignment="1">
      <alignment horizontal="left" vertical="center"/>
    </xf>
    <xf numFmtId="0" fontId="14" fillId="8" borderId="5" xfId="0" applyFont="1" applyFill="1" applyBorder="1" applyAlignment="1">
      <alignment horizontal="left" vertical="center" wrapText="1"/>
    </xf>
    <xf numFmtId="0" fontId="1" fillId="20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left" vertical="center" wrapText="1"/>
    </xf>
    <xf numFmtId="0" fontId="3" fillId="20" borderId="3" xfId="0" applyFont="1" applyFill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left" vertical="center" wrapText="1"/>
    </xf>
    <xf numFmtId="0" fontId="12" fillId="32" borderId="2" xfId="0" applyFont="1" applyFill="1" applyBorder="1" applyAlignment="1">
      <alignment horizontal="left" vertical="center" wrapText="1"/>
    </xf>
    <xf numFmtId="0" fontId="13" fillId="20" borderId="1" xfId="0" applyFont="1" applyFill="1" applyBorder="1" applyAlignment="1">
      <alignment horizontal="left" vertical="center"/>
    </xf>
    <xf numFmtId="0" fontId="14" fillId="5" borderId="5" xfId="0" applyFont="1" applyFill="1" applyBorder="1" applyAlignment="1">
      <alignment horizontal="left" vertical="center" wrapText="1"/>
    </xf>
    <xf numFmtId="0" fontId="1" fillId="19" borderId="1" xfId="0" applyFont="1" applyFill="1" applyBorder="1" applyAlignment="1">
      <alignment horizontal="center" vertical="center"/>
    </xf>
    <xf numFmtId="0" fontId="3" fillId="19" borderId="3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left" vertical="center" wrapText="1"/>
    </xf>
    <xf numFmtId="0" fontId="12" fillId="33" borderId="2" xfId="0" applyFont="1" applyFill="1" applyBorder="1" applyAlignment="1">
      <alignment horizontal="center" vertical="center" wrapText="1"/>
    </xf>
    <xf numFmtId="0" fontId="12" fillId="33" borderId="2" xfId="0" applyFont="1" applyFill="1" applyBorder="1" applyAlignment="1">
      <alignment horizontal="left" vertical="center" wrapText="1"/>
    </xf>
    <xf numFmtId="0" fontId="13" fillId="19" borderId="1" xfId="0" applyFont="1" applyFill="1" applyBorder="1" applyAlignment="1">
      <alignment horizontal="left" vertical="center"/>
    </xf>
    <xf numFmtId="0" fontId="14" fillId="3" borderId="5" xfId="0" applyFont="1" applyFill="1" applyBorder="1" applyAlignment="1">
      <alignment horizontal="left" vertical="center" wrapText="1"/>
    </xf>
    <xf numFmtId="183" fontId="12" fillId="26" borderId="2" xfId="0" applyNumberFormat="1" applyFont="1" applyFill="1" applyBorder="1" applyAlignment="1">
      <alignment horizontal="left" vertical="center" wrapText="1"/>
    </xf>
    <xf numFmtId="183" fontId="12" fillId="21" borderId="2" xfId="0" applyNumberFormat="1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6B0F1A"/>
      <rgbColor rgb="00008000"/>
      <rgbColor rgb="00000080"/>
      <rgbColor rgb="007D6608"/>
      <rgbColor rgb="00800080"/>
      <rgbColor rgb="000E6655"/>
      <rgbColor rgb="00BFBFBF"/>
      <rgbColor rgb="007F8C8D"/>
      <rgbColor rgb="00C0D5E8"/>
      <rgbColor rgb="006C3483"/>
      <rgbColor rgb="00FDEBD0"/>
      <rgbColor rgb="00D1F2EB"/>
      <rgbColor rgb="00660066"/>
      <rgbColor rgb="00F1948A"/>
      <rgbColor rgb="001A5276"/>
      <rgbColor rgb="00C5CAE9"/>
      <rgbColor rgb="00000080"/>
      <rgbColor rgb="00FF00FF"/>
      <rgbColor rgb="00FADADD"/>
      <rgbColor rgb="00F2F3F4"/>
      <rgbColor rgb="00800080"/>
      <rgbColor rgb="00800000"/>
      <rgbColor rgb="00008080"/>
      <rgbColor rgb="000000FF"/>
      <rgbColor rgb="00FAFAFA"/>
      <rgbColor rgb="00D6EAF8"/>
      <rgbColor rgb="00D5F5E3"/>
      <rgbColor rgb="00F9E79F"/>
      <rgbColor rgb="00A2D9CE"/>
      <rgbColor rgb="00D7BDE2"/>
      <rgbColor rgb="00D2B4DE"/>
      <rgbColor rgb="00F5CBA7"/>
      <rgbColor rgb="002E75B6"/>
      <rgbColor rgb="00D6E4F0"/>
      <rgbColor rgb="00C1EDD3"/>
      <rgbColor rgb="00FAD7A0"/>
      <rgbColor rgb="00B7950B"/>
      <rgbColor rgb="00B7560A"/>
      <rgbColor rgb="00E8DAEF"/>
      <rgbColor rgb="00A9DFBF"/>
      <rgbColor rgb="001F3864"/>
      <rgbColor rgb="001E8449"/>
      <rgbColor rgb="00003300"/>
      <rgbColor rgb="006E2F1A"/>
      <rgbColor rgb="00922B21"/>
      <rgbColor rgb="00993366"/>
      <rgbColor rgb="00283593"/>
      <rgbColor rgb="00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O28"/>
  <sheetViews>
    <sheetView showGridLines="0" workbookViewId="0">
      <pane ySplit="2" topLeftCell="A3" activePane="bottomLeft" state="frozen"/>
      <selection/>
      <selection pane="bottomLeft" activeCell="I21" sqref="I21"/>
    </sheetView>
  </sheetViews>
  <sheetFormatPr defaultColWidth="8.66363636363636" defaultRowHeight="14.5"/>
  <cols>
    <col min="1" max="1" width="9" customWidth="1"/>
    <col min="2" max="2" width="22" customWidth="1"/>
    <col min="3" max="3" width="28" customWidth="1"/>
    <col min="4" max="4" width="18" customWidth="1"/>
    <col min="5" max="5" width="12" customWidth="1"/>
    <col min="6" max="6" width="9" customWidth="1"/>
    <col min="7" max="7" width="12" customWidth="1"/>
    <col min="8" max="8" width="10" customWidth="1"/>
    <col min="9" max="9" width="12" customWidth="1"/>
    <col min="10" max="10" width="14" customWidth="1"/>
    <col min="11" max="12" width="12" customWidth="1"/>
    <col min="13" max="13" width="13" customWidth="1"/>
    <col min="14" max="14" width="11" customWidth="1"/>
    <col min="15" max="15" width="20" customWidth="1"/>
  </cols>
  <sheetData>
    <row r="1" ht="37.5" customHeight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0" customHeight="1" spans="1:1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21.75" customHeight="1" spans="1:15">
      <c r="A3" s="167" t="s">
        <v>2</v>
      </c>
      <c r="B3" s="167" t="s">
        <v>3</v>
      </c>
      <c r="C3" s="167" t="s">
        <v>4</v>
      </c>
      <c r="D3" s="167" t="s">
        <v>5</v>
      </c>
      <c r="E3" s="167" t="s">
        <v>6</v>
      </c>
      <c r="F3" s="167" t="s">
        <v>7</v>
      </c>
      <c r="G3" s="167" t="s">
        <v>8</v>
      </c>
      <c r="H3" s="167" t="s">
        <v>9</v>
      </c>
      <c r="I3" s="167" t="s">
        <v>10</v>
      </c>
      <c r="J3" s="167" t="s">
        <v>11</v>
      </c>
      <c r="K3" s="167" t="s">
        <v>12</v>
      </c>
      <c r="L3" s="167" t="s">
        <v>13</v>
      </c>
      <c r="M3" s="167" t="s">
        <v>14</v>
      </c>
      <c r="N3" s="167" t="s">
        <v>15</v>
      </c>
      <c r="O3" s="167" t="s">
        <v>16</v>
      </c>
    </row>
    <row r="4" ht="15.75" customHeight="1" spans="1:15">
      <c r="A4" s="98" t="s">
        <v>17</v>
      </c>
      <c r="B4" s="99" t="s">
        <v>18</v>
      </c>
      <c r="C4" s="99" t="s">
        <v>19</v>
      </c>
      <c r="D4" s="99" t="s">
        <v>20</v>
      </c>
      <c r="E4" s="99" t="s">
        <v>21</v>
      </c>
      <c r="F4" s="98" t="s">
        <v>22</v>
      </c>
      <c r="G4" s="98" t="s">
        <v>23</v>
      </c>
      <c r="H4" s="98" t="s">
        <v>24</v>
      </c>
      <c r="I4" s="98" t="s">
        <v>25</v>
      </c>
      <c r="J4" s="98" t="s">
        <v>26</v>
      </c>
      <c r="K4" s="174">
        <v>44451</v>
      </c>
      <c r="L4" s="174">
        <v>44617</v>
      </c>
      <c r="M4" s="174">
        <v>44691</v>
      </c>
      <c r="N4" s="98">
        <v>133260</v>
      </c>
      <c r="O4" s="99" t="s">
        <v>27</v>
      </c>
    </row>
    <row r="5" ht="15.75" customHeight="1" spans="1:15">
      <c r="A5" s="102" t="s">
        <v>28</v>
      </c>
      <c r="B5" s="103" t="s">
        <v>29</v>
      </c>
      <c r="C5" s="103" t="s">
        <v>30</v>
      </c>
      <c r="D5" s="103" t="s">
        <v>31</v>
      </c>
      <c r="E5" s="103" t="s">
        <v>32</v>
      </c>
      <c r="F5" s="102" t="s">
        <v>33</v>
      </c>
      <c r="G5" s="102" t="s">
        <v>23</v>
      </c>
      <c r="H5" s="102" t="s">
        <v>34</v>
      </c>
      <c r="I5" s="102" t="s">
        <v>25</v>
      </c>
      <c r="J5" s="102" t="s">
        <v>35</v>
      </c>
      <c r="K5" s="175">
        <v>44895</v>
      </c>
      <c r="L5" s="175">
        <v>45142</v>
      </c>
      <c r="M5" s="175">
        <v>45249</v>
      </c>
      <c r="N5" s="102">
        <v>143599</v>
      </c>
      <c r="O5" s="103" t="s">
        <v>36</v>
      </c>
    </row>
    <row r="6" ht="15.75" customHeight="1" spans="1:15">
      <c r="A6" s="98" t="s">
        <v>37</v>
      </c>
      <c r="B6" s="99" t="s">
        <v>38</v>
      </c>
      <c r="C6" s="99" t="s">
        <v>39</v>
      </c>
      <c r="D6" s="99" t="s">
        <v>40</v>
      </c>
      <c r="E6" s="99" t="s">
        <v>41</v>
      </c>
      <c r="F6" s="98" t="s">
        <v>33</v>
      </c>
      <c r="G6" s="98" t="s">
        <v>23</v>
      </c>
      <c r="H6" s="98" t="s">
        <v>42</v>
      </c>
      <c r="I6" s="98" t="s">
        <v>25</v>
      </c>
      <c r="J6" s="98" t="s">
        <v>43</v>
      </c>
      <c r="K6" s="174">
        <v>44744</v>
      </c>
      <c r="L6" s="174">
        <v>44856</v>
      </c>
      <c r="M6" s="174">
        <v>45122</v>
      </c>
      <c r="N6" s="98">
        <v>38853</v>
      </c>
      <c r="O6" s="99" t="s">
        <v>44</v>
      </c>
    </row>
    <row r="7" ht="15.75" customHeight="1" spans="1:15">
      <c r="A7" s="102" t="s">
        <v>45</v>
      </c>
      <c r="B7" s="103" t="s">
        <v>46</v>
      </c>
      <c r="C7" s="103" t="s">
        <v>47</v>
      </c>
      <c r="D7" s="103" t="s">
        <v>48</v>
      </c>
      <c r="E7" s="103" t="s">
        <v>49</v>
      </c>
      <c r="F7" s="102" t="s">
        <v>50</v>
      </c>
      <c r="G7" s="102" t="s">
        <v>34</v>
      </c>
      <c r="H7" s="102" t="s">
        <v>51</v>
      </c>
      <c r="I7" s="102" t="s">
        <v>52</v>
      </c>
      <c r="J7" s="102" t="s">
        <v>35</v>
      </c>
      <c r="K7" s="175">
        <v>44378</v>
      </c>
      <c r="L7" s="175">
        <v>44923</v>
      </c>
      <c r="M7" s="175">
        <v>45043</v>
      </c>
      <c r="N7" s="102">
        <v>114844</v>
      </c>
      <c r="O7" s="103" t="s">
        <v>53</v>
      </c>
    </row>
    <row r="8" ht="15.75" customHeight="1" spans="1:15">
      <c r="A8" s="98" t="s">
        <v>54</v>
      </c>
      <c r="B8" s="99" t="s">
        <v>55</v>
      </c>
      <c r="C8" s="99" t="s">
        <v>56</v>
      </c>
      <c r="D8" s="99" t="s">
        <v>57</v>
      </c>
      <c r="E8" s="99" t="s">
        <v>58</v>
      </c>
      <c r="F8" s="98" t="s">
        <v>33</v>
      </c>
      <c r="G8" s="98" t="s">
        <v>34</v>
      </c>
      <c r="H8" s="98" t="s">
        <v>51</v>
      </c>
      <c r="I8" s="98" t="s">
        <v>52</v>
      </c>
      <c r="J8" s="98" t="s">
        <v>43</v>
      </c>
      <c r="K8" s="174">
        <v>44534</v>
      </c>
      <c r="L8" s="174">
        <v>44703</v>
      </c>
      <c r="M8" s="174">
        <v>45000</v>
      </c>
      <c r="N8" s="98">
        <v>147991</v>
      </c>
      <c r="O8" s="99" t="s">
        <v>59</v>
      </c>
    </row>
    <row r="9" ht="15.75" customHeight="1" spans="1:15">
      <c r="A9" s="102" t="s">
        <v>60</v>
      </c>
      <c r="B9" s="103" t="s">
        <v>61</v>
      </c>
      <c r="C9" s="103" t="s">
        <v>62</v>
      </c>
      <c r="D9" s="103" t="s">
        <v>63</v>
      </c>
      <c r="E9" s="103" t="s">
        <v>64</v>
      </c>
      <c r="F9" s="102" t="s">
        <v>65</v>
      </c>
      <c r="G9" s="102" t="s">
        <v>66</v>
      </c>
      <c r="H9" s="102" t="s">
        <v>67</v>
      </c>
      <c r="I9" s="102" t="s">
        <v>25</v>
      </c>
      <c r="J9" s="102" t="s">
        <v>68</v>
      </c>
      <c r="K9" s="175">
        <v>45081</v>
      </c>
      <c r="L9" s="175">
        <v>45846</v>
      </c>
      <c r="M9" s="175">
        <v>46183</v>
      </c>
      <c r="N9" s="102">
        <v>42660</v>
      </c>
      <c r="O9" s="103" t="s">
        <v>69</v>
      </c>
    </row>
    <row r="10" ht="15.75" customHeight="1" spans="1:15">
      <c r="A10" s="98" t="s">
        <v>70</v>
      </c>
      <c r="B10" s="99" t="s">
        <v>71</v>
      </c>
      <c r="C10" s="99" t="s">
        <v>72</v>
      </c>
      <c r="D10" s="99" t="s">
        <v>73</v>
      </c>
      <c r="E10" s="99" t="s">
        <v>74</v>
      </c>
      <c r="F10" s="98" t="s">
        <v>75</v>
      </c>
      <c r="G10" s="98" t="s">
        <v>76</v>
      </c>
      <c r="H10" s="98" t="s">
        <v>67</v>
      </c>
      <c r="I10" s="98" t="s">
        <v>77</v>
      </c>
      <c r="J10" s="98" t="s">
        <v>43</v>
      </c>
      <c r="K10" s="174">
        <v>44708</v>
      </c>
      <c r="L10" s="174">
        <v>44977</v>
      </c>
      <c r="M10" s="174">
        <v>45138</v>
      </c>
      <c r="N10" s="98">
        <v>7922</v>
      </c>
      <c r="O10" s="99" t="s">
        <v>78</v>
      </c>
    </row>
    <row r="11" ht="15.75" customHeight="1" spans="1:15">
      <c r="A11" s="102" t="s">
        <v>79</v>
      </c>
      <c r="B11" s="103" t="s">
        <v>80</v>
      </c>
      <c r="C11" s="103" t="s">
        <v>81</v>
      </c>
      <c r="D11" s="103" t="s">
        <v>82</v>
      </c>
      <c r="E11" s="103" t="s">
        <v>83</v>
      </c>
      <c r="F11" s="102" t="s">
        <v>65</v>
      </c>
      <c r="G11" s="102" t="s">
        <v>34</v>
      </c>
      <c r="H11" s="102" t="s">
        <v>51</v>
      </c>
      <c r="I11" s="102" t="s">
        <v>25</v>
      </c>
      <c r="J11" s="102" t="s">
        <v>43</v>
      </c>
      <c r="K11" s="175">
        <v>44605</v>
      </c>
      <c r="L11" s="175">
        <v>45030</v>
      </c>
      <c r="M11" s="175">
        <v>45272</v>
      </c>
      <c r="N11" s="102">
        <v>194178</v>
      </c>
      <c r="O11" s="103" t="s">
        <v>84</v>
      </c>
    </row>
    <row r="12" ht="15.75" customHeight="1" spans="1:15">
      <c r="A12" s="98" t="s">
        <v>85</v>
      </c>
      <c r="B12" s="99" t="s">
        <v>86</v>
      </c>
      <c r="C12" s="99" t="s">
        <v>87</v>
      </c>
      <c r="D12" s="99" t="s">
        <v>88</v>
      </c>
      <c r="E12" s="99" t="s">
        <v>89</v>
      </c>
      <c r="F12" s="98" t="s">
        <v>33</v>
      </c>
      <c r="G12" s="98" t="s">
        <v>66</v>
      </c>
      <c r="H12" s="98" t="s">
        <v>34</v>
      </c>
      <c r="I12" s="98" t="s">
        <v>52</v>
      </c>
      <c r="J12" s="98" t="s">
        <v>90</v>
      </c>
      <c r="K12" s="174">
        <v>44305</v>
      </c>
      <c r="L12" s="174">
        <v>45039</v>
      </c>
      <c r="M12" s="174">
        <v>45229</v>
      </c>
      <c r="N12" s="98">
        <v>26004</v>
      </c>
      <c r="O12" s="99" t="s">
        <v>91</v>
      </c>
    </row>
    <row r="13" ht="15.75" customHeight="1" spans="1:15">
      <c r="A13" s="102" t="s">
        <v>92</v>
      </c>
      <c r="B13" s="103" t="s">
        <v>93</v>
      </c>
      <c r="C13" s="103" t="s">
        <v>94</v>
      </c>
      <c r="D13" s="103" t="s">
        <v>95</v>
      </c>
      <c r="E13" s="103" t="s">
        <v>64</v>
      </c>
      <c r="F13" s="102" t="s">
        <v>75</v>
      </c>
      <c r="G13" s="102" t="s">
        <v>66</v>
      </c>
      <c r="H13" s="102" t="s">
        <v>34</v>
      </c>
      <c r="I13" s="102" t="s">
        <v>52</v>
      </c>
      <c r="J13" s="102" t="s">
        <v>35</v>
      </c>
      <c r="K13" s="175">
        <v>45004</v>
      </c>
      <c r="L13" s="175">
        <v>45522</v>
      </c>
      <c r="M13" s="175">
        <v>45825</v>
      </c>
      <c r="N13" s="102">
        <v>165170</v>
      </c>
      <c r="O13" s="103" t="s">
        <v>96</v>
      </c>
    </row>
    <row r="14" ht="15.75" customHeight="1" spans="1:15">
      <c r="A14" s="98" t="s">
        <v>97</v>
      </c>
      <c r="B14" s="99" t="s">
        <v>98</v>
      </c>
      <c r="C14" s="99" t="s">
        <v>99</v>
      </c>
      <c r="D14" s="99" t="s">
        <v>100</v>
      </c>
      <c r="E14" s="99" t="s">
        <v>83</v>
      </c>
      <c r="F14" s="98" t="s">
        <v>75</v>
      </c>
      <c r="G14" s="98" t="s">
        <v>76</v>
      </c>
      <c r="H14" s="98" t="s">
        <v>51</v>
      </c>
      <c r="I14" s="98" t="s">
        <v>101</v>
      </c>
      <c r="J14" s="98" t="s">
        <v>35</v>
      </c>
      <c r="K14" s="174">
        <v>44399</v>
      </c>
      <c r="L14" s="174">
        <v>44782</v>
      </c>
      <c r="M14" s="174">
        <v>44814</v>
      </c>
      <c r="N14" s="98">
        <v>114238</v>
      </c>
      <c r="O14" s="99" t="s">
        <v>102</v>
      </c>
    </row>
    <row r="15" ht="15.75" customHeight="1" spans="1:15">
      <c r="A15" s="102" t="s">
        <v>103</v>
      </c>
      <c r="B15" s="103" t="s">
        <v>104</v>
      </c>
      <c r="C15" s="103" t="s">
        <v>105</v>
      </c>
      <c r="D15" s="103" t="s">
        <v>106</v>
      </c>
      <c r="E15" s="103" t="s">
        <v>41</v>
      </c>
      <c r="F15" s="102" t="s">
        <v>75</v>
      </c>
      <c r="G15" s="102" t="s">
        <v>76</v>
      </c>
      <c r="H15" s="102" t="s">
        <v>24</v>
      </c>
      <c r="I15" s="102" t="s">
        <v>52</v>
      </c>
      <c r="J15" s="102" t="s">
        <v>107</v>
      </c>
      <c r="K15" s="175">
        <v>44741</v>
      </c>
      <c r="L15" s="175">
        <v>44978</v>
      </c>
      <c r="M15" s="175">
        <v>45008</v>
      </c>
      <c r="N15" s="102">
        <v>74181</v>
      </c>
      <c r="O15" s="103" t="s">
        <v>108</v>
      </c>
    </row>
    <row r="16" ht="15.75" customHeight="1" spans="1:15">
      <c r="A16" s="98" t="s">
        <v>109</v>
      </c>
      <c r="B16" s="99" t="s">
        <v>110</v>
      </c>
      <c r="C16" s="99" t="s">
        <v>111</v>
      </c>
      <c r="D16" s="99" t="s">
        <v>112</v>
      </c>
      <c r="E16" s="99" t="s">
        <v>113</v>
      </c>
      <c r="F16" s="98" t="s">
        <v>50</v>
      </c>
      <c r="G16" s="98" t="s">
        <v>34</v>
      </c>
      <c r="H16" s="98" t="s">
        <v>42</v>
      </c>
      <c r="I16" s="98" t="s">
        <v>101</v>
      </c>
      <c r="J16" s="98" t="s">
        <v>43</v>
      </c>
      <c r="K16" s="174">
        <v>44304</v>
      </c>
      <c r="L16" s="174">
        <v>44648</v>
      </c>
      <c r="M16" s="174">
        <v>44716</v>
      </c>
      <c r="N16" s="98">
        <v>151074</v>
      </c>
      <c r="O16" s="99" t="s">
        <v>114</v>
      </c>
    </row>
    <row r="17" ht="15.75" customHeight="1" spans="1:15">
      <c r="A17" s="102" t="s">
        <v>115</v>
      </c>
      <c r="B17" s="103" t="s">
        <v>116</v>
      </c>
      <c r="C17" s="103" t="s">
        <v>117</v>
      </c>
      <c r="D17" s="103" t="s">
        <v>118</v>
      </c>
      <c r="E17" s="103" t="s">
        <v>64</v>
      </c>
      <c r="F17" s="102" t="s">
        <v>33</v>
      </c>
      <c r="G17" s="102" t="s">
        <v>66</v>
      </c>
      <c r="H17" s="102" t="s">
        <v>42</v>
      </c>
      <c r="I17" s="102" t="s">
        <v>52</v>
      </c>
      <c r="J17" s="102" t="s">
        <v>26</v>
      </c>
      <c r="K17" s="175">
        <v>44468</v>
      </c>
      <c r="L17" s="175">
        <v>44969</v>
      </c>
      <c r="M17" s="175">
        <v>45167</v>
      </c>
      <c r="N17" s="102">
        <v>192444</v>
      </c>
      <c r="O17" s="103" t="s">
        <v>119</v>
      </c>
    </row>
    <row r="18" ht="15.75" customHeight="1" spans="1:15">
      <c r="A18" s="98" t="s">
        <v>120</v>
      </c>
      <c r="B18" s="99" t="s">
        <v>121</v>
      </c>
      <c r="C18" s="99" t="s">
        <v>122</v>
      </c>
      <c r="D18" s="99" t="s">
        <v>123</v>
      </c>
      <c r="E18" s="99" t="s">
        <v>32</v>
      </c>
      <c r="F18" s="98" t="s">
        <v>33</v>
      </c>
      <c r="G18" s="98" t="s">
        <v>34</v>
      </c>
      <c r="H18" s="98" t="s">
        <v>24</v>
      </c>
      <c r="I18" s="98" t="s">
        <v>124</v>
      </c>
      <c r="J18" s="98" t="s">
        <v>125</v>
      </c>
      <c r="K18" s="174">
        <v>44687</v>
      </c>
      <c r="L18" s="174">
        <v>45303</v>
      </c>
      <c r="M18" s="174">
        <v>45653</v>
      </c>
      <c r="N18" s="98">
        <v>142147</v>
      </c>
      <c r="O18" s="99" t="s">
        <v>126</v>
      </c>
    </row>
    <row r="19" ht="15.75" customHeight="1" spans="1:15">
      <c r="A19" s="102" t="s">
        <v>127</v>
      </c>
      <c r="B19" s="103" t="s">
        <v>128</v>
      </c>
      <c r="C19" s="103" t="s">
        <v>129</v>
      </c>
      <c r="D19" s="103" t="s">
        <v>130</v>
      </c>
      <c r="E19" s="103" t="s">
        <v>21</v>
      </c>
      <c r="F19" s="102" t="s">
        <v>50</v>
      </c>
      <c r="G19" s="102" t="s">
        <v>23</v>
      </c>
      <c r="H19" s="102" t="s">
        <v>34</v>
      </c>
      <c r="I19" s="102" t="s">
        <v>52</v>
      </c>
      <c r="J19" s="102" t="s">
        <v>43</v>
      </c>
      <c r="K19" s="175">
        <v>44780</v>
      </c>
      <c r="L19" s="175">
        <v>45506</v>
      </c>
      <c r="M19" s="175">
        <v>45808</v>
      </c>
      <c r="N19" s="102">
        <v>48511</v>
      </c>
      <c r="O19" s="103" t="s">
        <v>131</v>
      </c>
    </row>
    <row r="20" ht="15.75" customHeight="1" spans="1:15">
      <c r="A20" s="98" t="s">
        <v>132</v>
      </c>
      <c r="B20" s="99" t="s">
        <v>133</v>
      </c>
      <c r="C20" s="99" t="s">
        <v>134</v>
      </c>
      <c r="D20" s="99" t="s">
        <v>135</v>
      </c>
      <c r="E20" s="99" t="s">
        <v>32</v>
      </c>
      <c r="F20" s="98" t="s">
        <v>50</v>
      </c>
      <c r="G20" s="98" t="s">
        <v>66</v>
      </c>
      <c r="H20" s="98" t="s">
        <v>51</v>
      </c>
      <c r="I20" s="98" t="s">
        <v>124</v>
      </c>
      <c r="J20" s="98" t="s">
        <v>68</v>
      </c>
      <c r="K20" s="174">
        <v>44765</v>
      </c>
      <c r="L20" s="174">
        <v>45094</v>
      </c>
      <c r="M20" s="174">
        <v>45205</v>
      </c>
      <c r="N20" s="98">
        <v>132051</v>
      </c>
      <c r="O20" s="99" t="s">
        <v>136</v>
      </c>
    </row>
    <row r="21" ht="15.75" customHeight="1" spans="1:15">
      <c r="A21" s="102" t="s">
        <v>137</v>
      </c>
      <c r="B21" s="103" t="s">
        <v>138</v>
      </c>
      <c r="C21" s="103" t="s">
        <v>139</v>
      </c>
      <c r="D21" s="103" t="s">
        <v>140</v>
      </c>
      <c r="E21" s="103" t="s">
        <v>41</v>
      </c>
      <c r="F21" s="102" t="s">
        <v>50</v>
      </c>
      <c r="G21" s="102" t="s">
        <v>34</v>
      </c>
      <c r="H21" s="102" t="s">
        <v>51</v>
      </c>
      <c r="I21" s="102" t="s">
        <v>124</v>
      </c>
      <c r="J21" s="102" t="s">
        <v>107</v>
      </c>
      <c r="K21" s="175">
        <v>44915</v>
      </c>
      <c r="L21" s="175">
        <v>45307</v>
      </c>
      <c r="M21" s="175">
        <v>45671</v>
      </c>
      <c r="N21" s="102">
        <v>147953</v>
      </c>
      <c r="O21" s="103" t="s">
        <v>141</v>
      </c>
    </row>
    <row r="22" ht="15.75" customHeight="1" spans="1:15">
      <c r="A22" s="98" t="s">
        <v>142</v>
      </c>
      <c r="B22" s="99" t="s">
        <v>143</v>
      </c>
      <c r="C22" s="99" t="s">
        <v>144</v>
      </c>
      <c r="D22" s="99" t="s">
        <v>145</v>
      </c>
      <c r="E22" s="99" t="s">
        <v>113</v>
      </c>
      <c r="F22" s="98" t="s">
        <v>65</v>
      </c>
      <c r="G22" s="98" t="s">
        <v>76</v>
      </c>
      <c r="H22" s="98" t="s">
        <v>34</v>
      </c>
      <c r="I22" s="98" t="s">
        <v>25</v>
      </c>
      <c r="J22" s="98" t="s">
        <v>43</v>
      </c>
      <c r="K22" s="174">
        <v>44931</v>
      </c>
      <c r="L22" s="174">
        <v>45198</v>
      </c>
      <c r="M22" s="174">
        <v>45542</v>
      </c>
      <c r="N22" s="98">
        <v>168856</v>
      </c>
      <c r="O22" s="99" t="s">
        <v>146</v>
      </c>
    </row>
    <row r="23" ht="15.75" customHeight="1" spans="1:15">
      <c r="A23" s="102" t="s">
        <v>147</v>
      </c>
      <c r="B23" s="103" t="s">
        <v>148</v>
      </c>
      <c r="C23" s="103" t="s">
        <v>149</v>
      </c>
      <c r="D23" s="103" t="s">
        <v>150</v>
      </c>
      <c r="E23" s="103" t="s">
        <v>89</v>
      </c>
      <c r="F23" s="102" t="s">
        <v>22</v>
      </c>
      <c r="G23" s="102" t="s">
        <v>34</v>
      </c>
      <c r="H23" s="102" t="s">
        <v>51</v>
      </c>
      <c r="I23" s="102" t="s">
        <v>77</v>
      </c>
      <c r="J23" s="102" t="s">
        <v>125</v>
      </c>
      <c r="K23" s="175">
        <v>44730</v>
      </c>
      <c r="L23" s="175">
        <v>45508</v>
      </c>
      <c r="M23" s="175">
        <v>45544</v>
      </c>
      <c r="N23" s="102">
        <v>197152</v>
      </c>
      <c r="O23" s="103" t="s">
        <v>151</v>
      </c>
    </row>
    <row r="24" ht="15.75" customHeight="1" spans="1:15">
      <c r="A24" s="98" t="s">
        <v>152</v>
      </c>
      <c r="B24" s="99" t="s">
        <v>153</v>
      </c>
      <c r="C24" s="99" t="s">
        <v>154</v>
      </c>
      <c r="D24" s="99" t="s">
        <v>155</v>
      </c>
      <c r="E24" s="99" t="s">
        <v>49</v>
      </c>
      <c r="F24" s="98" t="s">
        <v>65</v>
      </c>
      <c r="G24" s="98" t="s">
        <v>66</v>
      </c>
      <c r="H24" s="98" t="s">
        <v>67</v>
      </c>
      <c r="I24" s="98" t="s">
        <v>101</v>
      </c>
      <c r="J24" s="98" t="s">
        <v>107</v>
      </c>
      <c r="K24" s="174">
        <v>44456</v>
      </c>
      <c r="L24" s="174">
        <v>44806</v>
      </c>
      <c r="M24" s="174">
        <v>45137</v>
      </c>
      <c r="N24" s="98">
        <v>39798</v>
      </c>
      <c r="O24" s="99" t="s">
        <v>156</v>
      </c>
    </row>
    <row r="25" ht="15.75" customHeight="1" spans="1:15">
      <c r="A25" s="102" t="s">
        <v>157</v>
      </c>
      <c r="B25" s="103" t="s">
        <v>158</v>
      </c>
      <c r="C25" s="103" t="s">
        <v>159</v>
      </c>
      <c r="D25" s="103" t="s">
        <v>160</v>
      </c>
      <c r="E25" s="103" t="s">
        <v>83</v>
      </c>
      <c r="F25" s="102" t="s">
        <v>33</v>
      </c>
      <c r="G25" s="102" t="s">
        <v>23</v>
      </c>
      <c r="H25" s="102" t="s">
        <v>34</v>
      </c>
      <c r="I25" s="102" t="s">
        <v>101</v>
      </c>
      <c r="J25" s="102" t="s">
        <v>35</v>
      </c>
      <c r="K25" s="175">
        <v>45017</v>
      </c>
      <c r="L25" s="175">
        <v>45121</v>
      </c>
      <c r="M25" s="175">
        <v>45171</v>
      </c>
      <c r="N25" s="102">
        <v>90709</v>
      </c>
      <c r="O25" s="103" t="s">
        <v>161</v>
      </c>
    </row>
    <row r="26" ht="15.75" customHeight="1" spans="1:15">
      <c r="A26" s="98" t="s">
        <v>162</v>
      </c>
      <c r="B26" s="99" t="s">
        <v>163</v>
      </c>
      <c r="C26" s="99" t="s">
        <v>164</v>
      </c>
      <c r="D26" s="99" t="s">
        <v>165</v>
      </c>
      <c r="E26" s="99" t="s">
        <v>58</v>
      </c>
      <c r="F26" s="98" t="s">
        <v>65</v>
      </c>
      <c r="G26" s="98" t="s">
        <v>76</v>
      </c>
      <c r="H26" s="98" t="s">
        <v>51</v>
      </c>
      <c r="I26" s="98" t="s">
        <v>77</v>
      </c>
      <c r="J26" s="98" t="s">
        <v>125</v>
      </c>
      <c r="K26" s="174">
        <v>44979</v>
      </c>
      <c r="L26" s="174">
        <v>45304</v>
      </c>
      <c r="M26" s="174">
        <v>45538</v>
      </c>
      <c r="N26" s="98">
        <v>19305</v>
      </c>
      <c r="O26" s="99" t="s">
        <v>166</v>
      </c>
    </row>
    <row r="27" ht="15.75" customHeight="1" spans="1:15">
      <c r="A27" s="102" t="s">
        <v>167</v>
      </c>
      <c r="B27" s="103" t="s">
        <v>168</v>
      </c>
      <c r="C27" s="103" t="s">
        <v>169</v>
      </c>
      <c r="D27" s="103" t="s">
        <v>170</v>
      </c>
      <c r="E27" s="103" t="s">
        <v>64</v>
      </c>
      <c r="F27" s="102" t="s">
        <v>75</v>
      </c>
      <c r="G27" s="102" t="s">
        <v>34</v>
      </c>
      <c r="H27" s="102" t="s">
        <v>34</v>
      </c>
      <c r="I27" s="102" t="s">
        <v>124</v>
      </c>
      <c r="J27" s="102" t="s">
        <v>26</v>
      </c>
      <c r="K27" s="175">
        <v>44226</v>
      </c>
      <c r="L27" s="175">
        <v>44462</v>
      </c>
      <c r="M27" s="175">
        <v>44559</v>
      </c>
      <c r="N27" s="102">
        <v>117886</v>
      </c>
      <c r="O27" s="103" t="s">
        <v>171</v>
      </c>
    </row>
    <row r="28" ht="15.75" customHeight="1" spans="1:15">
      <c r="A28" s="98" t="s">
        <v>172</v>
      </c>
      <c r="B28" s="99" t="s">
        <v>173</v>
      </c>
      <c r="C28" s="99" t="s">
        <v>174</v>
      </c>
      <c r="D28" s="99" t="s">
        <v>175</v>
      </c>
      <c r="E28" s="99" t="s">
        <v>58</v>
      </c>
      <c r="F28" s="98" t="s">
        <v>33</v>
      </c>
      <c r="G28" s="98" t="s">
        <v>66</v>
      </c>
      <c r="H28" s="98" t="s">
        <v>24</v>
      </c>
      <c r="I28" s="98" t="s">
        <v>25</v>
      </c>
      <c r="J28" s="98" t="s">
        <v>43</v>
      </c>
      <c r="K28" s="174">
        <v>44799</v>
      </c>
      <c r="L28" s="174">
        <v>45067</v>
      </c>
      <c r="M28" s="174">
        <v>45271</v>
      </c>
      <c r="N28" s="98">
        <v>136586</v>
      </c>
      <c r="O28" s="99" t="s">
        <v>176</v>
      </c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5B6"/>
  </sheetPr>
  <dimension ref="A1:J37"/>
  <sheetViews>
    <sheetView showGridLines="0" topLeftCell="B1" workbookViewId="0">
      <pane ySplit="3" topLeftCell="A4" activePane="bottomLeft" state="frozen"/>
      <selection/>
      <selection pane="bottomLeft" activeCell="G15" sqref="G15"/>
    </sheetView>
  </sheetViews>
  <sheetFormatPr defaultColWidth="8.66363636363636" defaultRowHeight="14.5"/>
  <cols>
    <col min="1" max="1" width="12.3363636363636" customWidth="1"/>
    <col min="2" max="2" width="29.1090909090909" customWidth="1"/>
    <col min="3" max="3" width="10" customWidth="1"/>
    <col min="4" max="5" width="14" customWidth="1"/>
    <col min="6" max="6" width="16" customWidth="1"/>
    <col min="7" max="7" width="18" customWidth="1"/>
    <col min="9" max="9" width="16.4454545454545" customWidth="1"/>
  </cols>
  <sheetData>
    <row r="1" ht="37.5" customHeight="1" spans="1:10">
      <c r="A1" s="166" t="s">
        <v>177</v>
      </c>
      <c r="B1" s="166"/>
      <c r="C1" s="166"/>
      <c r="D1" s="166"/>
      <c r="E1" s="166"/>
      <c r="F1" s="166"/>
      <c r="G1" s="166"/>
    </row>
    <row r="2" ht="30" customHeight="1" spans="1:10">
      <c r="A2" s="2" t="s">
        <v>178</v>
      </c>
      <c r="B2" s="2"/>
      <c r="C2" s="2"/>
      <c r="D2" s="2"/>
      <c r="E2" s="2"/>
      <c r="F2" s="2"/>
      <c r="G2" s="2"/>
    </row>
    <row r="3" ht="21.75" customHeight="1" spans="1:10">
      <c r="A3" s="167" t="s">
        <v>2</v>
      </c>
      <c r="B3" s="167" t="s">
        <v>179</v>
      </c>
      <c r="C3" s="167" t="s">
        <v>180</v>
      </c>
      <c r="D3" s="167" t="s">
        <v>181</v>
      </c>
      <c r="E3" s="167" t="s">
        <v>182</v>
      </c>
      <c r="F3" s="167" t="s">
        <v>183</v>
      </c>
      <c r="G3" s="167" t="s">
        <v>184</v>
      </c>
    </row>
    <row r="4" ht="15.75" customHeight="1" spans="1:10">
      <c r="A4" s="98" t="s">
        <v>17</v>
      </c>
      <c r="B4" s="99" t="s">
        <v>19</v>
      </c>
      <c r="C4" s="168">
        <f>LEN('CRM Dataset'!C4)</f>
        <v>29</v>
      </c>
      <c r="D4" s="168" t="str">
        <f>LEFT(TRIM('CRM Dataset'!C4),5)</f>
        <v>alice</v>
      </c>
      <c r="E4" s="168" t="str">
        <f>RIGHT(TRIM('CRM Dataset'!C4),8)</f>
        <v>mail.com</v>
      </c>
      <c r="F4" s="169" t="str">
        <f>MID(TRIM('CRM Dataset'!C4),FIND("@",TRIM('CRM Dataset'!C4))+1,LEN(TRIM('CRM Dataset'!C4)))</f>
        <v>hotmail.com</v>
      </c>
      <c r="G4" s="169" t="str">
        <f>LEFT(TRIM('CRM Dataset'!C4),FIND("@",TRIM('CRM Dataset'!C4))-1)</f>
        <v>alice.johnson</v>
      </c>
    </row>
    <row r="5" ht="15.75" customHeight="1" spans="1:10">
      <c r="A5" s="102" t="s">
        <v>28</v>
      </c>
      <c r="B5" s="103" t="s">
        <v>30</v>
      </c>
      <c r="C5" s="170">
        <f>LEN('CRM Dataset'!C5)</f>
        <v>21</v>
      </c>
      <c r="D5" s="170" t="str">
        <f>LEFT(TRIM('CRM Dataset'!C5),5)</f>
        <v>bob.s</v>
      </c>
      <c r="E5" s="170" t="str">
        <f>RIGHT(TRIM('CRM Dataset'!C5),8)</f>
        <v>@biz.net</v>
      </c>
      <c r="F5" s="169" t="str">
        <f>MID(TRIM('CRM Dataset'!C5),FIND("@",TRIM('CRM Dataset'!C5))+1,LEN(TRIM('CRM Dataset'!C5)))</f>
        <v>biz.net</v>
      </c>
      <c r="G5" s="171" t="str">
        <f>LEFT(TRIM('CRM Dataset'!C5),FIND("@",TRIM('CRM Dataset'!C5))-1)</f>
        <v>bob.smith</v>
      </c>
    </row>
    <row r="6" ht="15.75" customHeight="1" spans="1:10">
      <c r="A6" s="98" t="s">
        <v>37</v>
      </c>
      <c r="B6" s="99" t="s">
        <v>39</v>
      </c>
      <c r="C6" s="168">
        <f>LEN('CRM Dataset'!C6)</f>
        <v>25</v>
      </c>
      <c r="D6" s="168" t="str">
        <f>LEFT(TRIM('CRM Dataset'!C6),5)</f>
        <v>carol</v>
      </c>
      <c r="E6" s="168" t="str">
        <f>RIGHT(TRIM('CRM Dataset'!C6),8)</f>
        <v>mail.com</v>
      </c>
      <c r="F6" s="169" t="str">
        <f>MID(TRIM('CRM Dataset'!C6),FIND("@",TRIM('CRM Dataset'!C6))+1,LEN(TRIM('CRM Dataset'!C6)))</f>
        <v>gmail.com</v>
      </c>
      <c r="G6" s="169" t="str">
        <f>LEFT(TRIM('CRM Dataset'!C6),FIND("@",TRIM('CRM Dataset'!C6))-1)</f>
        <v>carol.white</v>
      </c>
    </row>
    <row r="7" ht="15.75" customHeight="1" spans="1:10">
      <c r="A7" s="102" t="s">
        <v>45</v>
      </c>
      <c r="B7" s="103" t="s">
        <v>47</v>
      </c>
      <c r="C7" s="170">
        <f>LEN('CRM Dataset'!C7)</f>
        <v>27</v>
      </c>
      <c r="D7" s="170" t="str">
        <f>LEFT(TRIM('CRM Dataset'!C7),5)</f>
        <v>david</v>
      </c>
      <c r="E7" s="170" t="str">
        <f>RIGHT(TRIM('CRM Dataset'!C7),8)</f>
        <v>mail.com</v>
      </c>
      <c r="F7" s="169" t="str">
        <f>MID(TRIM('CRM Dataset'!C7),FIND("@",TRIM('CRM Dataset'!C7))+1,LEN(TRIM('CRM Dataset'!C7)))</f>
        <v>webmail.com</v>
      </c>
      <c r="G7" s="171" t="str">
        <f>LEFT(TRIM('CRM Dataset'!C7),FIND("@",TRIM('CRM Dataset'!C7))-1)</f>
        <v>david.brown</v>
      </c>
      <c r="I7" s="167" t="s">
        <v>181</v>
      </c>
      <c r="J7" s="153" t="s">
        <v>185</v>
      </c>
    </row>
    <row r="8" ht="15.75" customHeight="1" spans="1:10">
      <c r="A8" s="98" t="s">
        <v>54</v>
      </c>
      <c r="B8" s="99" t="s">
        <v>56</v>
      </c>
      <c r="C8" s="168">
        <f>LEN('CRM Dataset'!C8)</f>
        <v>24</v>
      </c>
      <c r="D8" s="168" t="str">
        <f>LEFT(TRIM('CRM Dataset'!C8),5)</f>
        <v>eva.g</v>
      </c>
      <c r="E8" s="168" t="str">
        <f>RIGHT(TRIM('CRM Dataset'!C8),8)</f>
        <v>mpany.io</v>
      </c>
      <c r="F8" s="169" t="str">
        <f>MID(TRIM('CRM Dataset'!C8),FIND("@",TRIM('CRM Dataset'!C8))+1,LEN(TRIM('CRM Dataset'!C8)))</f>
        <v>company.io</v>
      </c>
      <c r="G8" s="169" t="str">
        <f>LEFT(TRIM('CRM Dataset'!C8),FIND("@",TRIM('CRM Dataset'!C8))-1)</f>
        <v>eva.green</v>
      </c>
    </row>
    <row r="9" ht="15.75" customHeight="1" spans="1:10">
      <c r="A9" s="102" t="s">
        <v>60</v>
      </c>
      <c r="B9" s="103" t="s">
        <v>62</v>
      </c>
      <c r="C9" s="170">
        <f>LEN('CRM Dataset'!C9)</f>
        <v>25</v>
      </c>
      <c r="D9" s="170" t="str">
        <f>LEFT(TRIM('CRM Dataset'!C9),5)</f>
        <v>frank</v>
      </c>
      <c r="E9" s="170" t="str">
        <f>RIGHT(TRIM('CRM Dataset'!C9),8)</f>
        <v>mail.com</v>
      </c>
      <c r="F9" s="169" t="str">
        <f>MID(TRIM('CRM Dataset'!C9),FIND("@",TRIM('CRM Dataset'!C9))+1,LEN(TRIM('CRM Dataset'!C9)))</f>
        <v>webmail.com</v>
      </c>
      <c r="G9" s="171" t="str">
        <f>LEFT(TRIM('CRM Dataset'!C9),FIND("@",TRIM('CRM Dataset'!C9))-1)</f>
        <v>frank.lee</v>
      </c>
      <c r="I9" s="167" t="s">
        <v>182</v>
      </c>
      <c r="J9" s="153" t="s">
        <v>186</v>
      </c>
    </row>
    <row r="10" ht="15.75" customHeight="1" spans="1:10">
      <c r="A10" s="98" t="s">
        <v>70</v>
      </c>
      <c r="B10" s="99" t="s">
        <v>72</v>
      </c>
      <c r="C10" s="168">
        <f>LEN('CRM Dataset'!C10)</f>
        <v>25</v>
      </c>
      <c r="D10" s="168" t="str">
        <f>LEFT(TRIM('CRM Dataset'!C10),5)</f>
        <v>grace</v>
      </c>
      <c r="E10" s="168" t="str">
        <f>RIGHT(TRIM('CRM Dataset'!C10),8)</f>
        <v>mail.com</v>
      </c>
      <c r="F10" s="169" t="str">
        <f>MID(TRIM('CRM Dataset'!C10),FIND("@",TRIM('CRM Dataset'!C10))+1,LEN(TRIM('CRM Dataset'!C10)))</f>
        <v>hotmail.com</v>
      </c>
      <c r="G10" s="169" t="str">
        <f>LEFT(TRIM('CRM Dataset'!C10),FIND("@",TRIM('CRM Dataset'!C10))-1)</f>
        <v>grace.kim</v>
      </c>
    </row>
    <row r="11" ht="15.75" customHeight="1" spans="1:10">
      <c r="A11" s="102" t="s">
        <v>79</v>
      </c>
      <c r="B11" s="103" t="s">
        <v>81</v>
      </c>
      <c r="C11" s="170">
        <v>23</v>
      </c>
      <c r="D11" s="170" t="s">
        <v>187</v>
      </c>
      <c r="E11" s="170" t="s">
        <v>188</v>
      </c>
      <c r="F11" s="169" t="str">
        <f>MID(TRIM('CRM Dataset'!C11),FIND("@",TRIM('CRM Dataset'!C11))+1,LEN(TRIM('CRM Dataset'!C11)))</f>
        <v>corp.in</v>
      </c>
      <c r="G11" s="171" t="s">
        <v>189</v>
      </c>
      <c r="I11" s="167" t="s">
        <v>180</v>
      </c>
      <c r="J11" s="153" t="s">
        <v>190</v>
      </c>
    </row>
    <row r="12" ht="15.75" customHeight="1" spans="1:10">
      <c r="A12" s="98" t="s">
        <v>85</v>
      </c>
      <c r="B12" s="99" t="s">
        <v>87</v>
      </c>
      <c r="C12" s="168">
        <v>27</v>
      </c>
      <c r="D12" s="168" t="s">
        <v>191</v>
      </c>
      <c r="E12" s="168" t="s">
        <v>192</v>
      </c>
      <c r="F12" s="169" t="str">
        <f>MID(TRIM('CRM Dataset'!C12),FIND("@",TRIM('CRM Dataset'!C12))+1,LEN(TRIM('CRM Dataset'!C12)))</f>
        <v>hotmail.com</v>
      </c>
      <c r="G12" s="169" t="s">
        <v>193</v>
      </c>
    </row>
    <row r="13" ht="15.75" customHeight="1" spans="1:10">
      <c r="A13" s="102" t="s">
        <v>92</v>
      </c>
      <c r="B13" s="103" t="s">
        <v>94</v>
      </c>
      <c r="C13" s="170">
        <v>26</v>
      </c>
      <c r="D13" s="170" t="s">
        <v>194</v>
      </c>
      <c r="E13" s="170" t="s">
        <v>195</v>
      </c>
      <c r="F13" s="169" t="str">
        <f>MID(TRIM('CRM Dataset'!C13),FIND("@",TRIM('CRM Dataset'!C13))+1,LEN(TRIM('CRM Dataset'!C13)))</f>
        <v>company.io</v>
      </c>
      <c r="G13" s="171" t="s">
        <v>196</v>
      </c>
      <c r="I13" s="167" t="s">
        <v>184</v>
      </c>
      <c r="J13" s="153" t="s">
        <v>197</v>
      </c>
    </row>
    <row r="14" ht="15.75" customHeight="1" spans="1:10">
      <c r="A14" s="98" t="s">
        <v>97</v>
      </c>
      <c r="B14" s="99" t="s">
        <v>99</v>
      </c>
      <c r="C14" s="168">
        <f>LEN(TRIM(B14))</f>
        <v>24</v>
      </c>
      <c r="D14" s="168" t="str">
        <f>TRIM(LEFT(B14,5))</f>
        <v>kar</v>
      </c>
      <c r="E14" s="168" t="str">
        <f>TRIM(RIGHT(B14,8))</f>
        <v>il.com</v>
      </c>
      <c r="F14" s="169" t="str">
        <f>MID(TRIM(B14),FIND("@",TRIM(B14))+1,LEN(TRIM(B14)))</f>
        <v>webmail.com</v>
      </c>
      <c r="G14" s="169" t="str">
        <f>LEFT(TRIM(B14),FIND("@",TRIM(B14))-1)</f>
        <v>karen.taylor</v>
      </c>
    </row>
    <row r="15" ht="15.75" customHeight="1" spans="1:10">
      <c r="A15" s="102" t="s">
        <v>103</v>
      </c>
      <c r="B15" s="103" t="s">
        <v>105</v>
      </c>
      <c r="C15" s="170">
        <f>LEN(TRIM(B15))</f>
        <v>18</v>
      </c>
      <c r="D15" s="168" t="str">
        <f t="shared" ref="D15:D28" si="0">TRIM(LEFT(B15,5))</f>
        <v>lia</v>
      </c>
      <c r="E15" s="168" t="str">
        <f t="shared" ref="E15:E28" si="1">TRIM(RIGHT(B15,8))</f>
        <v>orp.in</v>
      </c>
      <c r="F15" s="169" t="str">
        <f t="shared" ref="F15:F28" si="2">MID(TRIM(B15),FIND("@",TRIM(B15))+1,LEN(TRIM(B15)))</f>
        <v>corp.in</v>
      </c>
      <c r="G15" s="171" t="str">
        <f>LEFT(TRIM(B15),FIND("@",TRIM(B15))-1)</f>
        <v>liam.moore</v>
      </c>
      <c r="I15" s="167" t="s">
        <v>183</v>
      </c>
      <c r="J15" s="153" t="s">
        <v>198</v>
      </c>
    </row>
    <row r="16" ht="15.75" customHeight="1" spans="1:10">
      <c r="A16" s="98" t="s">
        <v>109</v>
      </c>
      <c r="B16" s="99" t="s">
        <v>111</v>
      </c>
      <c r="C16" s="170">
        <f t="shared" ref="C16:C28" si="3">LEN(TRIM(B16))</f>
        <v>23</v>
      </c>
      <c r="D16" s="168" t="str">
        <f t="shared" si="0"/>
        <v>mia</v>
      </c>
      <c r="E16" s="168" t="str">
        <f t="shared" si="1"/>
        <v>any.io</v>
      </c>
      <c r="F16" s="169" t="str">
        <f t="shared" si="2"/>
        <v>company.io</v>
      </c>
      <c r="G16" s="169" t="str">
        <f>LEFT(TRIM(B16),FIND("@",TRIM(B16))-1)</f>
        <v>mia.anderson</v>
      </c>
    </row>
    <row r="17" ht="15.75" customHeight="1" spans="1:10">
      <c r="A17" s="102" t="s">
        <v>115</v>
      </c>
      <c r="B17" s="103" t="s">
        <v>117</v>
      </c>
      <c r="C17" s="170">
        <f t="shared" si="3"/>
        <v>19</v>
      </c>
      <c r="D17" s="168" t="str">
        <f t="shared" si="0"/>
        <v>noa</v>
      </c>
      <c r="E17" s="168" t="str">
        <f t="shared" si="1"/>
        <v>orp.in</v>
      </c>
      <c r="F17" s="169" t="str">
        <f t="shared" si="2"/>
        <v>corp.in</v>
      </c>
      <c r="G17" s="169" t="str">
        <f t="shared" ref="G17:G28" si="4">LEFT(TRIM(B17),FIND("@",TRIM(B17))-1)</f>
        <v>noah.thomas</v>
      </c>
      <c r="J17" s="153"/>
    </row>
    <row r="18" ht="15.75" customHeight="1" spans="1:10">
      <c r="A18" s="98" t="s">
        <v>120</v>
      </c>
      <c r="B18" s="99" t="s">
        <v>122</v>
      </c>
      <c r="C18" s="170">
        <f t="shared" si="3"/>
        <v>21</v>
      </c>
      <c r="D18" s="168" t="str">
        <f t="shared" si="0"/>
        <v>oli</v>
      </c>
      <c r="E18" s="168" t="str">
        <f t="shared" si="1"/>
        <v>orp.in</v>
      </c>
      <c r="F18" s="169" t="str">
        <f t="shared" si="2"/>
        <v>corp.in</v>
      </c>
      <c r="G18" s="169" t="str">
        <f t="shared" si="4"/>
        <v>olivia.harris</v>
      </c>
    </row>
    <row r="19" ht="15.75" customHeight="1" spans="1:10">
      <c r="A19" s="102" t="s">
        <v>127</v>
      </c>
      <c r="B19" s="103" t="s">
        <v>129</v>
      </c>
      <c r="C19" s="170">
        <f t="shared" si="3"/>
        <v>19</v>
      </c>
      <c r="D19" s="168" t="str">
        <f t="shared" si="0"/>
        <v>pet</v>
      </c>
      <c r="E19" s="168" t="str">
        <f t="shared" si="1"/>
        <v>iz.net</v>
      </c>
      <c r="F19" s="169" t="str">
        <f t="shared" si="2"/>
        <v>biz.net</v>
      </c>
      <c r="G19" s="169" t="str">
        <f t="shared" si="4"/>
        <v>peter.clark</v>
      </c>
    </row>
    <row r="20" ht="15.75" customHeight="1" spans="1:10">
      <c r="A20" s="98" t="s">
        <v>132</v>
      </c>
      <c r="B20" s="99" t="s">
        <v>134</v>
      </c>
      <c r="C20" s="170">
        <f t="shared" si="3"/>
        <v>21</v>
      </c>
      <c r="D20" s="168" t="str">
        <f t="shared" si="0"/>
        <v>qui</v>
      </c>
      <c r="E20" s="168" t="str">
        <f t="shared" si="1"/>
        <v>il.com</v>
      </c>
      <c r="F20" s="169" t="str">
        <f t="shared" si="2"/>
        <v>gmail.com</v>
      </c>
      <c r="G20" s="169" t="str">
        <f t="shared" si="4"/>
        <v>quinn.lewis</v>
      </c>
    </row>
    <row r="21" ht="15.75" customHeight="1" spans="1:10">
      <c r="A21" s="102" t="s">
        <v>137</v>
      </c>
      <c r="B21" s="103" t="s">
        <v>139</v>
      </c>
      <c r="C21" s="170">
        <f t="shared" si="3"/>
        <v>23</v>
      </c>
      <c r="D21" s="168" t="str">
        <f t="shared" si="0"/>
        <v>rya</v>
      </c>
      <c r="E21" s="168" t="str">
        <f t="shared" si="1"/>
        <v>il.com</v>
      </c>
      <c r="F21" s="169" t="str">
        <f t="shared" si="2"/>
        <v>hotmail.com</v>
      </c>
      <c r="G21" s="169" t="str">
        <f t="shared" si="4"/>
        <v>ryan.walker</v>
      </c>
    </row>
    <row r="22" ht="15.75" customHeight="1" spans="1:10">
      <c r="A22" s="98" t="s">
        <v>142</v>
      </c>
      <c r="B22" s="99" t="s">
        <v>144</v>
      </c>
      <c r="C22" s="170">
        <f t="shared" si="3"/>
        <v>21</v>
      </c>
      <c r="D22" s="168" t="str">
        <f t="shared" si="0"/>
        <v>sar</v>
      </c>
      <c r="E22" s="168" t="str">
        <f t="shared" si="1"/>
        <v>ok.com</v>
      </c>
      <c r="F22" s="169" t="str">
        <f t="shared" si="2"/>
        <v>outlook.com</v>
      </c>
      <c r="G22" s="169" t="str">
        <f t="shared" si="4"/>
        <v>sara.hall</v>
      </c>
    </row>
    <row r="23" ht="15.75" customHeight="1" spans="1:10">
      <c r="A23" s="102" t="s">
        <v>147</v>
      </c>
      <c r="B23" s="103" t="s">
        <v>149</v>
      </c>
      <c r="C23" s="170">
        <f t="shared" si="3"/>
        <v>21</v>
      </c>
      <c r="D23" s="168" t="str">
        <f t="shared" si="0"/>
        <v>tom</v>
      </c>
      <c r="E23" s="168" t="str">
        <f t="shared" si="1"/>
        <v>ok.com</v>
      </c>
      <c r="F23" s="169" t="str">
        <f t="shared" si="2"/>
        <v>outlook.com</v>
      </c>
      <c r="G23" s="169" t="str">
        <f t="shared" si="4"/>
        <v>tom.young</v>
      </c>
    </row>
    <row r="24" ht="15.75" customHeight="1" spans="1:10">
      <c r="A24" s="98" t="s">
        <v>152</v>
      </c>
      <c r="B24" s="99" t="s">
        <v>154</v>
      </c>
      <c r="C24" s="170">
        <f t="shared" si="3"/>
        <v>21</v>
      </c>
      <c r="D24" s="168" t="str">
        <f t="shared" si="0"/>
        <v>uma</v>
      </c>
      <c r="E24" s="168" t="str">
        <f t="shared" si="1"/>
        <v>ok.com</v>
      </c>
      <c r="F24" s="169" t="str">
        <f t="shared" si="2"/>
        <v>outlook.com</v>
      </c>
      <c r="G24" s="169" t="str">
        <f t="shared" si="4"/>
        <v>uma.scott</v>
      </c>
    </row>
    <row r="25" ht="15.75" customHeight="1" spans="1:10">
      <c r="A25" s="102" t="s">
        <v>157</v>
      </c>
      <c r="B25" s="103" t="s">
        <v>159</v>
      </c>
      <c r="C25" s="170">
        <f t="shared" si="3"/>
        <v>22</v>
      </c>
      <c r="D25" s="168" t="str">
        <f t="shared" si="0"/>
        <v>vic</v>
      </c>
      <c r="E25" s="168" t="str">
        <f t="shared" si="1"/>
        <v>any.io</v>
      </c>
      <c r="F25" s="169" t="str">
        <f t="shared" si="2"/>
        <v>company.io</v>
      </c>
      <c r="G25" s="169" t="str">
        <f t="shared" si="4"/>
        <v>victor.king</v>
      </c>
    </row>
    <row r="26" ht="15.75" customHeight="1" spans="1:10">
      <c r="A26" s="98" t="s">
        <v>162</v>
      </c>
      <c r="B26" s="99" t="s">
        <v>164</v>
      </c>
      <c r="C26" s="170">
        <f t="shared" si="3"/>
        <v>24</v>
      </c>
      <c r="D26" s="168" t="str">
        <f t="shared" si="0"/>
        <v>wen</v>
      </c>
      <c r="E26" s="168" t="str">
        <f t="shared" si="1"/>
        <v>ok.com</v>
      </c>
      <c r="F26" s="169" t="str">
        <f t="shared" si="2"/>
        <v>outlook.com</v>
      </c>
      <c r="G26" s="169" t="str">
        <f t="shared" si="4"/>
        <v>wendy.wright</v>
      </c>
    </row>
    <row r="27" ht="15.75" customHeight="1" spans="1:10">
      <c r="A27" s="102" t="s">
        <v>167</v>
      </c>
      <c r="B27" s="103" t="s">
        <v>169</v>
      </c>
      <c r="C27" s="170">
        <f t="shared" si="3"/>
        <v>22</v>
      </c>
      <c r="D27" s="168" t="str">
        <f t="shared" si="0"/>
        <v>xan</v>
      </c>
      <c r="E27" s="168" t="str">
        <f t="shared" si="1"/>
        <v>oo.com</v>
      </c>
      <c r="F27" s="169" t="str">
        <f t="shared" si="2"/>
        <v>yahoo.com</v>
      </c>
      <c r="G27" s="169" t="str">
        <f t="shared" si="4"/>
        <v>xander.lopez</v>
      </c>
    </row>
    <row r="28" ht="15.75" customHeight="1" spans="1:10">
      <c r="A28" s="98" t="s">
        <v>172</v>
      </c>
      <c r="B28" s="99" t="s">
        <v>174</v>
      </c>
      <c r="C28" s="170">
        <f t="shared" si="3"/>
        <v>17</v>
      </c>
      <c r="D28" s="168" t="str">
        <f t="shared" si="0"/>
        <v>yar</v>
      </c>
      <c r="E28" s="168" t="str">
        <f t="shared" si="1"/>
        <v>orp.in</v>
      </c>
      <c r="F28" s="169" t="str">
        <f t="shared" si="2"/>
        <v>corp.in</v>
      </c>
      <c r="G28" s="169" t="str">
        <f t="shared" si="4"/>
        <v>yara.hill</v>
      </c>
    </row>
    <row r="29" ht="15.25"/>
    <row r="30" ht="25.5" customHeight="1" spans="1:10">
      <c r="A30" s="172" t="s">
        <v>199</v>
      </c>
      <c r="B30" s="172"/>
      <c r="C30" s="172"/>
      <c r="D30" s="172"/>
      <c r="E30" s="172"/>
      <c r="F30" s="172"/>
      <c r="G30" s="172"/>
    </row>
    <row r="31" ht="27.75" customHeight="1" spans="1:10">
      <c r="A31" s="173" t="s">
        <v>200</v>
      </c>
      <c r="B31" s="173"/>
      <c r="C31" s="173"/>
      <c r="D31" s="107" t="s">
        <v>201</v>
      </c>
      <c r="E31" s="107"/>
      <c r="F31" s="107"/>
      <c r="G31" s="107"/>
    </row>
    <row r="32" ht="27.75" customHeight="1" spans="1:10">
      <c r="A32" s="173" t="s">
        <v>202</v>
      </c>
      <c r="B32" s="173"/>
      <c r="C32" s="173"/>
      <c r="D32" s="107" t="s">
        <v>203</v>
      </c>
      <c r="E32" s="107"/>
      <c r="F32" s="107"/>
      <c r="G32" s="107"/>
    </row>
    <row r="33" ht="27.75" customHeight="1" spans="1:7">
      <c r="A33" s="173" t="s">
        <v>204</v>
      </c>
      <c r="B33" s="173"/>
      <c r="C33" s="173"/>
      <c r="D33" s="107" t="s">
        <v>205</v>
      </c>
      <c r="E33" s="107"/>
      <c r="F33" s="107"/>
      <c r="G33" s="107"/>
    </row>
    <row r="34" ht="27.75" customHeight="1" spans="1:7">
      <c r="A34" s="173" t="s">
        <v>206</v>
      </c>
      <c r="B34" s="173"/>
      <c r="C34" s="173"/>
      <c r="D34" s="107" t="s">
        <v>207</v>
      </c>
      <c r="E34" s="107"/>
      <c r="F34" s="107"/>
      <c r="G34" s="107"/>
    </row>
    <row r="35" ht="27.75" customHeight="1" spans="1:7">
      <c r="A35" s="173" t="s">
        <v>208</v>
      </c>
      <c r="B35" s="173"/>
      <c r="C35" s="173"/>
      <c r="D35" s="107" t="s">
        <v>209</v>
      </c>
      <c r="E35" s="107"/>
      <c r="F35" s="107"/>
      <c r="G35" s="107"/>
    </row>
    <row r="36" ht="27.75" customHeight="1" spans="1:7">
      <c r="A36" s="173" t="s">
        <v>210</v>
      </c>
      <c r="B36" s="173"/>
      <c r="C36" s="173"/>
      <c r="D36" s="107" t="s">
        <v>211</v>
      </c>
      <c r="E36" s="107"/>
      <c r="F36" s="107"/>
      <c r="G36" s="107"/>
    </row>
    <row r="37" ht="27.75" customHeight="1" spans="1:7">
      <c r="A37" s="173" t="s">
        <v>212</v>
      </c>
      <c r="B37" s="173"/>
      <c r="C37" s="173"/>
      <c r="D37" s="107" t="s">
        <v>213</v>
      </c>
      <c r="E37" s="107"/>
      <c r="F37" s="107"/>
      <c r="G37" s="107"/>
    </row>
  </sheetData>
  <mergeCells count="17">
    <mergeCell ref="A1:G1"/>
    <mergeCell ref="A2:G2"/>
    <mergeCell ref="A30:G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E8449"/>
  </sheetPr>
  <dimension ref="A1:J38"/>
  <sheetViews>
    <sheetView showGridLines="0" topLeftCell="B1" workbookViewId="0">
      <pane ySplit="3" topLeftCell="A13" activePane="bottomLeft" state="frozen"/>
      <selection/>
      <selection pane="bottomLeft" activeCell="H19" sqref="H19"/>
    </sheetView>
  </sheetViews>
  <sheetFormatPr defaultColWidth="8.66363636363636" defaultRowHeight="14.5"/>
  <cols>
    <col min="1" max="1" width="9" customWidth="1"/>
    <col min="2" max="2" width="22" customWidth="1"/>
    <col min="3" max="6" width="20" customWidth="1"/>
    <col min="7" max="7" width="22" customWidth="1"/>
    <col min="9" max="9" width="15.6636363636364" customWidth="1"/>
  </cols>
  <sheetData>
    <row r="1" ht="37.5" customHeight="1" spans="1:10">
      <c r="A1" s="159" t="s">
        <v>214</v>
      </c>
      <c r="B1" s="159"/>
      <c r="C1" s="159"/>
      <c r="D1" s="159"/>
      <c r="E1" s="159"/>
      <c r="F1" s="159"/>
      <c r="G1" s="159"/>
    </row>
    <row r="2" ht="30" customHeight="1" spans="1:10">
      <c r="A2" s="160" t="s">
        <v>215</v>
      </c>
      <c r="B2" s="160"/>
      <c r="C2" s="160"/>
      <c r="D2" s="160"/>
      <c r="E2" s="160"/>
      <c r="F2" s="160"/>
      <c r="G2" s="160"/>
    </row>
    <row r="3" ht="21.75" customHeight="1" spans="1:10">
      <c r="A3" s="161" t="s">
        <v>2</v>
      </c>
      <c r="B3" s="161" t="s">
        <v>216</v>
      </c>
      <c r="C3" s="161" t="s">
        <v>217</v>
      </c>
      <c r="D3" s="161" t="s">
        <v>218</v>
      </c>
      <c r="E3" s="161" t="s">
        <v>219</v>
      </c>
      <c r="F3" s="161" t="s">
        <v>220</v>
      </c>
      <c r="G3" s="161" t="s">
        <v>221</v>
      </c>
    </row>
    <row r="4" ht="15.75" customHeight="1" spans="1:10">
      <c r="A4" s="98" t="s">
        <v>17</v>
      </c>
      <c r="B4" s="99" t="s">
        <v>18</v>
      </c>
      <c r="C4" s="162" t="s">
        <v>222</v>
      </c>
      <c r="D4" s="162" t="s">
        <v>223</v>
      </c>
      <c r="E4" s="162" t="s">
        <v>18</v>
      </c>
      <c r="F4" s="162" t="s">
        <v>18</v>
      </c>
      <c r="G4" s="162" t="s">
        <v>18</v>
      </c>
    </row>
    <row r="5" ht="15.75" customHeight="1" spans="1:10">
      <c r="A5" s="102" t="s">
        <v>28</v>
      </c>
      <c r="B5" s="103" t="s">
        <v>29</v>
      </c>
      <c r="C5" s="163" t="s">
        <v>224</v>
      </c>
      <c r="D5" s="163" t="s">
        <v>225</v>
      </c>
      <c r="E5" s="163" t="s">
        <v>29</v>
      </c>
      <c r="F5" s="163" t="s">
        <v>29</v>
      </c>
      <c r="G5" s="163" t="s">
        <v>29</v>
      </c>
    </row>
    <row r="6" ht="15.75" customHeight="1" spans="1:10">
      <c r="A6" s="98" t="s">
        <v>37</v>
      </c>
      <c r="B6" s="99" t="s">
        <v>38</v>
      </c>
      <c r="C6" s="162" t="s">
        <v>38</v>
      </c>
      <c r="D6" s="162" t="s">
        <v>226</v>
      </c>
      <c r="E6" s="162" t="s">
        <v>227</v>
      </c>
      <c r="F6" s="162" t="s">
        <v>228</v>
      </c>
      <c r="G6" s="162" t="s">
        <v>229</v>
      </c>
    </row>
    <row r="7" ht="15.75" customHeight="1" spans="1:10">
      <c r="A7" s="102" t="s">
        <v>45</v>
      </c>
      <c r="B7" s="103" t="s">
        <v>46</v>
      </c>
      <c r="C7" s="163" t="s">
        <v>230</v>
      </c>
      <c r="D7" s="163" t="s">
        <v>231</v>
      </c>
      <c r="E7" s="163" t="s">
        <v>46</v>
      </c>
      <c r="F7" s="163" t="s">
        <v>46</v>
      </c>
      <c r="G7" s="163" t="s">
        <v>46</v>
      </c>
    </row>
    <row r="8" ht="15.75" customHeight="1" spans="1:10">
      <c r="A8" s="98" t="s">
        <v>54</v>
      </c>
      <c r="B8" s="99" t="s">
        <v>55</v>
      </c>
      <c r="C8" s="162" t="str">
        <f>UPPER(B8)</f>
        <v>  EVA GREEN  </v>
      </c>
      <c r="D8" s="162" t="str">
        <f>LOWER(B8)</f>
        <v>  eva green  </v>
      </c>
      <c r="E8" s="162" t="str">
        <f>PROPER(B8)</f>
        <v>  Eva Green  </v>
      </c>
      <c r="F8" s="162" t="str">
        <f>TRIM(B8)</f>
        <v>EVA GREEN</v>
      </c>
      <c r="G8" s="162" t="str">
        <f>PROPER(TRIM(B8))</f>
        <v>Eva Green</v>
      </c>
      <c r="I8" s="161" t="s">
        <v>217</v>
      </c>
      <c r="J8" s="153" t="s">
        <v>232</v>
      </c>
    </row>
    <row r="9" ht="15.75" customHeight="1" spans="1:10">
      <c r="A9" s="102" t="s">
        <v>60</v>
      </c>
      <c r="B9" s="103" t="s">
        <v>61</v>
      </c>
      <c r="C9" s="162" t="str">
        <f t="shared" ref="C9:C28" si="0">UPPER(B9)</f>
        <v>  FRANK  LEE  </v>
      </c>
      <c r="D9" s="162" t="str">
        <f t="shared" ref="D9:D28" si="1">LOWER(B9)</f>
        <v>  frank  lee  </v>
      </c>
      <c r="E9" s="162" t="str">
        <f t="shared" ref="E9:E28" si="2">PROPER(B9)</f>
        <v>  Frank  Lee  </v>
      </c>
      <c r="F9" s="162" t="str">
        <f t="shared" ref="F9:F28" si="3">TRIM(B9)</f>
        <v>Frank Lee</v>
      </c>
      <c r="G9" s="162" t="str">
        <f t="shared" ref="G9:G28" si="4">PROPER(TRIM(B9))</f>
        <v>Frank Lee</v>
      </c>
    </row>
    <row r="10" ht="15.75" customHeight="1" spans="1:10">
      <c r="A10" s="98" t="s">
        <v>70</v>
      </c>
      <c r="B10" s="99" t="s">
        <v>71</v>
      </c>
      <c r="C10" s="162" t="str">
        <f t="shared" si="0"/>
        <v>  GRACE KIM  </v>
      </c>
      <c r="D10" s="162" t="str">
        <f t="shared" si="1"/>
        <v>  grace kim  </v>
      </c>
      <c r="E10" s="162" t="str">
        <f t="shared" si="2"/>
        <v>  Grace Kim  </v>
      </c>
      <c r="F10" s="162" t="str">
        <f t="shared" si="3"/>
        <v>GRACE KIM</v>
      </c>
      <c r="G10" s="162" t="str">
        <f t="shared" si="4"/>
        <v>Grace Kim</v>
      </c>
      <c r="I10" s="161" t="s">
        <v>218</v>
      </c>
      <c r="J10" s="153" t="s">
        <v>233</v>
      </c>
    </row>
    <row r="11" ht="15.75" customHeight="1" spans="1:10">
      <c r="A11" s="102" t="s">
        <v>79</v>
      </c>
      <c r="B11" s="103" t="s">
        <v>80</v>
      </c>
      <c r="C11" s="162" t="str">
        <f t="shared" si="0"/>
        <v>HENRY DAVIS</v>
      </c>
      <c r="D11" s="162" t="str">
        <f t="shared" si="1"/>
        <v>henry davis</v>
      </c>
      <c r="E11" s="162" t="str">
        <f t="shared" si="2"/>
        <v>Henry Davis</v>
      </c>
      <c r="F11" s="162" t="str">
        <f t="shared" si="3"/>
        <v>henry davis</v>
      </c>
      <c r="G11" s="162" t="str">
        <f t="shared" si="4"/>
        <v>Henry Davis</v>
      </c>
    </row>
    <row r="12" ht="15.75" customHeight="1" spans="1:10">
      <c r="A12" s="98" t="s">
        <v>85</v>
      </c>
      <c r="B12" s="99" t="s">
        <v>86</v>
      </c>
      <c r="C12" s="162" t="str">
        <f t="shared" si="0"/>
        <v>  ISLA  MARTIN  </v>
      </c>
      <c r="D12" s="162" t="str">
        <f t="shared" si="1"/>
        <v>  isla  martin  </v>
      </c>
      <c r="E12" s="162" t="str">
        <f t="shared" si="2"/>
        <v>  Isla  Martin  </v>
      </c>
      <c r="F12" s="162" t="str">
        <f t="shared" si="3"/>
        <v>Isla Martin</v>
      </c>
      <c r="G12" s="162" t="str">
        <f t="shared" si="4"/>
        <v>Isla Martin</v>
      </c>
      <c r="I12" s="161" t="s">
        <v>219</v>
      </c>
      <c r="J12" s="153" t="s">
        <v>234</v>
      </c>
    </row>
    <row r="13" ht="15.75" customHeight="1" spans="1:10">
      <c r="A13" s="102" t="s">
        <v>92</v>
      </c>
      <c r="B13" s="103" t="s">
        <v>93</v>
      </c>
      <c r="C13" s="162" t="str">
        <f t="shared" si="0"/>
        <v>  JACK WILSON  </v>
      </c>
      <c r="D13" s="162" t="str">
        <f t="shared" si="1"/>
        <v>  jack wilson  </v>
      </c>
      <c r="E13" s="162" t="str">
        <f t="shared" si="2"/>
        <v>  Jack Wilson  </v>
      </c>
      <c r="F13" s="162" t="str">
        <f t="shared" si="3"/>
        <v>JACK WILSON</v>
      </c>
      <c r="G13" s="162" t="str">
        <f t="shared" si="4"/>
        <v>Jack Wilson</v>
      </c>
    </row>
    <row r="14" ht="15.75" customHeight="1" spans="1:10">
      <c r="A14" s="98" t="s">
        <v>97</v>
      </c>
      <c r="B14" s="99" t="s">
        <v>98</v>
      </c>
      <c r="C14" s="162" t="str">
        <f t="shared" si="0"/>
        <v>KAREN TAYLOR</v>
      </c>
      <c r="D14" s="162" t="str">
        <f t="shared" si="1"/>
        <v>karen taylor</v>
      </c>
      <c r="E14" s="162" t="str">
        <f t="shared" si="2"/>
        <v>Karen Taylor</v>
      </c>
      <c r="F14" s="162" t="str">
        <f t="shared" si="3"/>
        <v>Karen Taylor</v>
      </c>
      <c r="G14" s="162" t="str">
        <f t="shared" si="4"/>
        <v>Karen Taylor</v>
      </c>
      <c r="I14" s="161" t="s">
        <v>220</v>
      </c>
      <c r="J14" s="153" t="s">
        <v>235</v>
      </c>
    </row>
    <row r="15" ht="15.75" customHeight="1" spans="1:10">
      <c r="A15" s="102" t="s">
        <v>103</v>
      </c>
      <c r="B15" s="103" t="s">
        <v>104</v>
      </c>
      <c r="C15" s="162" t="str">
        <f t="shared" si="0"/>
        <v>  LIAM  MOORE  </v>
      </c>
      <c r="D15" s="162" t="str">
        <f t="shared" si="1"/>
        <v>  liam  moore  </v>
      </c>
      <c r="E15" s="162" t="str">
        <f t="shared" si="2"/>
        <v>  Liam  Moore  </v>
      </c>
      <c r="F15" s="162" t="str">
        <f t="shared" si="3"/>
        <v>Liam Moore</v>
      </c>
      <c r="G15" s="162" t="str">
        <f t="shared" si="4"/>
        <v>Liam Moore</v>
      </c>
    </row>
    <row r="16" ht="15.75" customHeight="1" spans="1:10">
      <c r="A16" s="98" t="s">
        <v>109</v>
      </c>
      <c r="B16" s="99" t="s">
        <v>110</v>
      </c>
      <c r="C16" s="162" t="str">
        <f t="shared" si="0"/>
        <v>MIA ANDERSON</v>
      </c>
      <c r="D16" s="162" t="str">
        <f t="shared" si="1"/>
        <v>mia anderson</v>
      </c>
      <c r="E16" s="162" t="str">
        <f t="shared" si="2"/>
        <v>Mia Anderson</v>
      </c>
      <c r="F16" s="162" t="str">
        <f t="shared" si="3"/>
        <v>Mia Anderson</v>
      </c>
      <c r="G16" s="162" t="str">
        <f t="shared" si="4"/>
        <v>Mia Anderson</v>
      </c>
      <c r="I16" s="161" t="s">
        <v>221</v>
      </c>
      <c r="J16" s="153" t="s">
        <v>236</v>
      </c>
    </row>
    <row r="17" ht="15.75" customHeight="1" spans="1:7">
      <c r="A17" s="102" t="s">
        <v>115</v>
      </c>
      <c r="B17" s="103" t="s">
        <v>116</v>
      </c>
      <c r="C17" s="162" t="str">
        <f t="shared" si="0"/>
        <v>NOAH THOMAS</v>
      </c>
      <c r="D17" s="162" t="str">
        <f t="shared" si="1"/>
        <v>noah thomas</v>
      </c>
      <c r="E17" s="162" t="str">
        <f t="shared" si="2"/>
        <v>Noah Thomas</v>
      </c>
      <c r="F17" s="162" t="str">
        <f t="shared" si="3"/>
        <v>Noah Thomas</v>
      </c>
      <c r="G17" s="162" t="str">
        <f t="shared" si="4"/>
        <v>Noah Thomas</v>
      </c>
    </row>
    <row r="18" ht="15.75" customHeight="1" spans="1:7">
      <c r="A18" s="98" t="s">
        <v>120</v>
      </c>
      <c r="B18" s="99" t="s">
        <v>121</v>
      </c>
      <c r="C18" s="162" t="str">
        <f t="shared" si="0"/>
        <v>OLIVIA HARRIS</v>
      </c>
      <c r="D18" s="162" t="str">
        <f t="shared" si="1"/>
        <v>olivia harris</v>
      </c>
      <c r="E18" s="162" t="str">
        <f t="shared" si="2"/>
        <v>Olivia Harris</v>
      </c>
      <c r="F18" s="162" t="str">
        <f t="shared" si="3"/>
        <v>olivia harris</v>
      </c>
      <c r="G18" s="162" t="str">
        <f t="shared" si="4"/>
        <v>Olivia Harris</v>
      </c>
    </row>
    <row r="19" ht="15.75" customHeight="1" spans="1:7">
      <c r="A19" s="102" t="s">
        <v>127</v>
      </c>
      <c r="B19" s="103" t="s">
        <v>128</v>
      </c>
      <c r="C19" s="162" t="str">
        <f t="shared" si="0"/>
        <v>PETER CLARK</v>
      </c>
      <c r="D19" s="162" t="str">
        <f t="shared" si="1"/>
        <v>peter clark</v>
      </c>
      <c r="E19" s="162" t="str">
        <f t="shared" si="2"/>
        <v>Peter Clark</v>
      </c>
      <c r="F19" s="162" t="str">
        <f t="shared" si="3"/>
        <v>Peter Clark</v>
      </c>
      <c r="G19" s="162" t="str">
        <f t="shared" si="4"/>
        <v>Peter Clark</v>
      </c>
    </row>
    <row r="20" ht="15.75" customHeight="1" spans="1:7">
      <c r="A20" s="98" t="s">
        <v>132</v>
      </c>
      <c r="B20" s="99" t="s">
        <v>133</v>
      </c>
      <c r="C20" s="162" t="str">
        <f t="shared" si="0"/>
        <v>  QUINN  LEWIS  </v>
      </c>
      <c r="D20" s="162" t="str">
        <f t="shared" si="1"/>
        <v>  quinn  lewis  </v>
      </c>
      <c r="E20" s="162" t="str">
        <f t="shared" si="2"/>
        <v>  Quinn  Lewis  </v>
      </c>
      <c r="F20" s="162" t="str">
        <f t="shared" si="3"/>
        <v>Quinn Lewis</v>
      </c>
      <c r="G20" s="162" t="str">
        <f t="shared" si="4"/>
        <v>Quinn Lewis</v>
      </c>
    </row>
    <row r="21" ht="15.75" customHeight="1" spans="1:7">
      <c r="A21" s="102" t="s">
        <v>137</v>
      </c>
      <c r="B21" s="103" t="s">
        <v>138</v>
      </c>
      <c r="C21" s="162" t="str">
        <f t="shared" si="0"/>
        <v>  RYAN  WALKER  </v>
      </c>
      <c r="D21" s="162" t="str">
        <f t="shared" si="1"/>
        <v>  ryan  walker  </v>
      </c>
      <c r="E21" s="162" t="str">
        <f t="shared" si="2"/>
        <v>  Ryan  Walker  </v>
      </c>
      <c r="F21" s="162" t="str">
        <f t="shared" si="3"/>
        <v>Ryan Walker</v>
      </c>
      <c r="G21" s="162" t="str">
        <f t="shared" si="4"/>
        <v>Ryan Walker</v>
      </c>
    </row>
    <row r="22" ht="15.75" customHeight="1" spans="1:7">
      <c r="A22" s="98" t="s">
        <v>142</v>
      </c>
      <c r="B22" s="99" t="s">
        <v>143</v>
      </c>
      <c r="C22" s="162" t="str">
        <f t="shared" si="0"/>
        <v>SARA HALL</v>
      </c>
      <c r="D22" s="162" t="str">
        <f t="shared" si="1"/>
        <v>sara hall</v>
      </c>
      <c r="E22" s="162" t="str">
        <f t="shared" si="2"/>
        <v>Sara Hall</v>
      </c>
      <c r="F22" s="162" t="str">
        <f t="shared" si="3"/>
        <v>Sara Hall</v>
      </c>
      <c r="G22" s="162" t="str">
        <f t="shared" si="4"/>
        <v>Sara Hall</v>
      </c>
    </row>
    <row r="23" ht="15.75" customHeight="1" spans="1:7">
      <c r="A23" s="102" t="s">
        <v>147</v>
      </c>
      <c r="B23" s="103" t="s">
        <v>148</v>
      </c>
      <c r="C23" s="162" t="str">
        <f t="shared" si="0"/>
        <v>TOM YOUNG</v>
      </c>
      <c r="D23" s="162" t="str">
        <f t="shared" si="1"/>
        <v>tom young</v>
      </c>
      <c r="E23" s="162" t="str">
        <f t="shared" si="2"/>
        <v>Tom Young</v>
      </c>
      <c r="F23" s="162" t="str">
        <f t="shared" si="3"/>
        <v>Tom Young</v>
      </c>
      <c r="G23" s="162" t="str">
        <f t="shared" si="4"/>
        <v>Tom Young</v>
      </c>
    </row>
    <row r="24" ht="15.75" customHeight="1" spans="1:7">
      <c r="A24" s="98" t="s">
        <v>152</v>
      </c>
      <c r="B24" s="99" t="s">
        <v>153</v>
      </c>
      <c r="C24" s="162" t="str">
        <f t="shared" si="0"/>
        <v>UMA SCOTT</v>
      </c>
      <c r="D24" s="162" t="str">
        <f t="shared" si="1"/>
        <v>uma scott</v>
      </c>
      <c r="E24" s="162" t="str">
        <f t="shared" si="2"/>
        <v>Uma Scott</v>
      </c>
      <c r="F24" s="162" t="str">
        <f t="shared" si="3"/>
        <v>Uma Scott</v>
      </c>
      <c r="G24" s="162" t="str">
        <f t="shared" si="4"/>
        <v>Uma Scott</v>
      </c>
    </row>
    <row r="25" ht="15.75" customHeight="1" spans="1:7">
      <c r="A25" s="102" t="s">
        <v>157</v>
      </c>
      <c r="B25" s="103" t="s">
        <v>158</v>
      </c>
      <c r="C25" s="162" t="str">
        <f t="shared" si="0"/>
        <v>VICTOR KING</v>
      </c>
      <c r="D25" s="162" t="str">
        <f t="shared" si="1"/>
        <v>victor king</v>
      </c>
      <c r="E25" s="162" t="str">
        <f t="shared" si="2"/>
        <v>Victor King</v>
      </c>
      <c r="F25" s="162" t="str">
        <f t="shared" si="3"/>
        <v>Victor King</v>
      </c>
      <c r="G25" s="162" t="str">
        <f t="shared" si="4"/>
        <v>Victor King</v>
      </c>
    </row>
    <row r="26" ht="15.75" customHeight="1" spans="1:7">
      <c r="A26" s="98" t="s">
        <v>162</v>
      </c>
      <c r="B26" s="99" t="s">
        <v>163</v>
      </c>
      <c r="C26" s="162" t="str">
        <f t="shared" si="0"/>
        <v>WENDY WRIGHT</v>
      </c>
      <c r="D26" s="162" t="str">
        <f t="shared" si="1"/>
        <v>wendy wright</v>
      </c>
      <c r="E26" s="162" t="str">
        <f t="shared" si="2"/>
        <v>Wendy Wright</v>
      </c>
      <c r="F26" s="162" t="str">
        <f t="shared" si="3"/>
        <v>Wendy Wright</v>
      </c>
      <c r="G26" s="162" t="str">
        <f t="shared" si="4"/>
        <v>Wendy Wright</v>
      </c>
    </row>
    <row r="27" ht="15.75" customHeight="1" spans="1:7">
      <c r="A27" s="102" t="s">
        <v>167</v>
      </c>
      <c r="B27" s="103" t="s">
        <v>168</v>
      </c>
      <c r="C27" s="162" t="str">
        <f t="shared" si="0"/>
        <v>XANDER LOPEZ</v>
      </c>
      <c r="D27" s="162" t="str">
        <f t="shared" si="1"/>
        <v>xander lopez</v>
      </c>
      <c r="E27" s="162" t="str">
        <f t="shared" si="2"/>
        <v>Xander Lopez</v>
      </c>
      <c r="F27" s="162" t="str">
        <f t="shared" si="3"/>
        <v>xander lopez</v>
      </c>
      <c r="G27" s="162" t="str">
        <f t="shared" si="4"/>
        <v>Xander Lopez</v>
      </c>
    </row>
    <row r="28" ht="15.75" customHeight="1" spans="1:7">
      <c r="A28" s="98" t="s">
        <v>172</v>
      </c>
      <c r="B28" s="99" t="s">
        <v>173</v>
      </c>
      <c r="C28" s="162" t="str">
        <f t="shared" si="0"/>
        <v>  YARA HILL  </v>
      </c>
      <c r="D28" s="162" t="str">
        <f t="shared" si="1"/>
        <v>  yara hill  </v>
      </c>
      <c r="E28" s="162" t="str">
        <f t="shared" si="2"/>
        <v>  Yara Hill  </v>
      </c>
      <c r="F28" s="162" t="str">
        <f t="shared" si="3"/>
        <v>YARA HILL</v>
      </c>
      <c r="G28" s="162" t="str">
        <f t="shared" si="4"/>
        <v>Yara Hill</v>
      </c>
    </row>
    <row r="29" ht="15.25"/>
    <row r="30" ht="25.5" customHeight="1" spans="1:7">
      <c r="A30" s="164" t="s">
        <v>199</v>
      </c>
      <c r="B30" s="164"/>
      <c r="C30" s="164"/>
      <c r="D30" s="164"/>
      <c r="E30" s="164"/>
      <c r="F30" s="164"/>
      <c r="G30" s="164"/>
    </row>
    <row r="31" ht="27.75" customHeight="1" spans="1:7">
      <c r="A31" s="165" t="s">
        <v>237</v>
      </c>
      <c r="B31" s="165"/>
      <c r="C31" s="165"/>
      <c r="D31" s="107" t="s">
        <v>238</v>
      </c>
      <c r="E31" s="107"/>
      <c r="F31" s="107"/>
      <c r="G31" s="107"/>
    </row>
    <row r="32" ht="27.75" customHeight="1" spans="1:7">
      <c r="A32" s="165" t="s">
        <v>239</v>
      </c>
      <c r="B32" s="165"/>
      <c r="C32" s="165"/>
      <c r="D32" s="107" t="s">
        <v>240</v>
      </c>
      <c r="E32" s="107"/>
      <c r="F32" s="107"/>
      <c r="G32" s="107"/>
    </row>
    <row r="33" ht="27.75" customHeight="1" spans="1:7">
      <c r="A33" s="165" t="s">
        <v>241</v>
      </c>
      <c r="B33" s="165"/>
      <c r="C33" s="165"/>
      <c r="D33" s="107" t="s">
        <v>242</v>
      </c>
      <c r="E33" s="107"/>
      <c r="F33" s="107"/>
      <c r="G33" s="107"/>
    </row>
    <row r="34" ht="27.75" customHeight="1" spans="1:7">
      <c r="A34" s="165" t="s">
        <v>243</v>
      </c>
      <c r="B34" s="165"/>
      <c r="C34" s="165"/>
      <c r="D34" s="107" t="s">
        <v>244</v>
      </c>
      <c r="E34" s="107"/>
      <c r="F34" s="107"/>
      <c r="G34" s="107"/>
    </row>
    <row r="35" ht="27.75" customHeight="1" spans="1:7">
      <c r="A35" s="165" t="s">
        <v>245</v>
      </c>
      <c r="B35" s="165"/>
      <c r="C35" s="165"/>
      <c r="D35" s="107" t="s">
        <v>246</v>
      </c>
      <c r="E35" s="107"/>
      <c r="F35" s="107"/>
      <c r="G35" s="107"/>
    </row>
    <row r="36" ht="27.75" customHeight="1" spans="1:7">
      <c r="A36" s="165" t="s">
        <v>247</v>
      </c>
      <c r="B36" s="165"/>
      <c r="C36" s="165"/>
      <c r="D36" s="107" t="s">
        <v>248</v>
      </c>
      <c r="E36" s="107"/>
      <c r="F36" s="107"/>
      <c r="G36" s="107"/>
    </row>
    <row r="37" ht="27.75" customHeight="1" spans="1:7">
      <c r="A37" s="165" t="s">
        <v>249</v>
      </c>
      <c r="B37" s="165"/>
      <c r="C37" s="165"/>
      <c r="D37" s="107" t="s">
        <v>250</v>
      </c>
      <c r="E37" s="107"/>
      <c r="F37" s="107"/>
      <c r="G37" s="107"/>
    </row>
    <row r="38" ht="27.75" customHeight="1" spans="1:7">
      <c r="A38" s="165" t="s">
        <v>251</v>
      </c>
      <c r="B38" s="165"/>
      <c r="C38" s="165"/>
      <c r="D38" s="107" t="s">
        <v>252</v>
      </c>
      <c r="E38" s="107"/>
      <c r="F38" s="107"/>
      <c r="G38" s="107"/>
    </row>
  </sheetData>
  <mergeCells count="19">
    <mergeCell ref="A1:G1"/>
    <mergeCell ref="A2:G2"/>
    <mergeCell ref="A30:G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7560A"/>
  </sheetPr>
  <dimension ref="A1:O38"/>
  <sheetViews>
    <sheetView showGridLines="0" tabSelected="1" topLeftCell="B1" workbookViewId="0">
      <pane ySplit="3" topLeftCell="A4" activePane="bottomLeft" state="frozen"/>
      <selection/>
      <selection pane="bottomLeft" activeCell="G8" sqref="G8"/>
    </sheetView>
  </sheetViews>
  <sheetFormatPr defaultColWidth="8.66363636363636" defaultRowHeight="14.5"/>
  <cols>
    <col min="1" max="1" width="9" customWidth="1"/>
    <col min="2" max="2" width="22.6636363636364" customWidth="1"/>
    <col min="3" max="3" width="29.3363636363636" customWidth="1"/>
    <col min="4" max="4" width="12" customWidth="1"/>
    <col min="5" max="5" width="15.2181818181818" customWidth="1"/>
    <col min="6" max="6" width="24.1090909090909" customWidth="1"/>
    <col min="7" max="7" width="23" customWidth="1"/>
    <col min="8" max="8" width="20" customWidth="1"/>
    <col min="10" max="10" width="24.5545454545455" customWidth="1"/>
  </cols>
  <sheetData>
    <row r="1" ht="37.5" customHeight="1" spans="1:11">
      <c r="A1" s="146" t="s">
        <v>253</v>
      </c>
      <c r="B1" s="146"/>
      <c r="C1" s="146"/>
      <c r="D1" s="146"/>
      <c r="E1" s="146"/>
      <c r="F1" s="146"/>
      <c r="G1" s="146"/>
      <c r="H1" s="146"/>
    </row>
    <row r="2" ht="30" customHeight="1" spans="1:11">
      <c r="A2" s="147" t="s">
        <v>254</v>
      </c>
      <c r="B2" s="147"/>
      <c r="C2" s="147"/>
      <c r="D2" s="147"/>
      <c r="E2" s="147"/>
      <c r="F2" s="147"/>
      <c r="G2" s="147"/>
      <c r="H2" s="147"/>
    </row>
    <row r="3" ht="21.75" customHeight="1" spans="1:11">
      <c r="A3" s="148" t="s">
        <v>2</v>
      </c>
      <c r="B3" s="148" t="s">
        <v>255</v>
      </c>
      <c r="C3" s="148" t="s">
        <v>179</v>
      </c>
      <c r="D3" s="148" t="s">
        <v>256</v>
      </c>
      <c r="E3" s="148" t="s">
        <v>257</v>
      </c>
      <c r="F3" s="148" t="s">
        <v>258</v>
      </c>
      <c r="G3" s="148" t="s">
        <v>259</v>
      </c>
      <c r="H3" s="148" t="s">
        <v>260</v>
      </c>
    </row>
    <row r="4" ht="15.75" customHeight="1" spans="1:11">
      <c r="A4" s="98" t="s">
        <v>17</v>
      </c>
      <c r="B4" s="99" t="s">
        <v>20</v>
      </c>
      <c r="C4" s="99" t="s">
        <v>19</v>
      </c>
      <c r="D4" s="149">
        <v>14</v>
      </c>
      <c r="E4" s="149">
        <v>22</v>
      </c>
      <c r="F4" s="150" t="s">
        <v>261</v>
      </c>
      <c r="G4" s="150" t="s">
        <v>262</v>
      </c>
      <c r="H4" s="149" t="s">
        <v>263</v>
      </c>
    </row>
    <row r="5" ht="15.75" customHeight="1" spans="1:11">
      <c r="A5" s="102" t="s">
        <v>28</v>
      </c>
      <c r="B5" s="103" t="s">
        <v>31</v>
      </c>
      <c r="C5" s="103" t="s">
        <v>30</v>
      </c>
      <c r="D5" s="149">
        <v>10</v>
      </c>
      <c r="E5" s="151" t="s">
        <v>264</v>
      </c>
      <c r="F5" s="152" t="s">
        <v>265</v>
      </c>
      <c r="G5" s="152" t="s">
        <v>266</v>
      </c>
      <c r="H5" s="151" t="s">
        <v>263</v>
      </c>
    </row>
    <row r="6" ht="15.75" customHeight="1" spans="1:11">
      <c r="A6" s="98" t="s">
        <v>37</v>
      </c>
      <c r="B6" s="99" t="s">
        <v>40</v>
      </c>
      <c r="C6" s="99" t="s">
        <v>39</v>
      </c>
      <c r="D6" s="149">
        <v>12</v>
      </c>
      <c r="E6" s="149">
        <v>18</v>
      </c>
      <c r="F6" s="150" t="s">
        <v>267</v>
      </c>
      <c r="G6" s="150" t="s">
        <v>268</v>
      </c>
      <c r="H6" s="149" t="s">
        <v>269</v>
      </c>
    </row>
    <row r="7" ht="15.75" customHeight="1" spans="1:11">
      <c r="A7" s="102" t="s">
        <v>45</v>
      </c>
      <c r="B7" s="103" t="s">
        <v>48</v>
      </c>
      <c r="C7" s="103" t="s">
        <v>47</v>
      </c>
      <c r="D7" s="149">
        <v>12</v>
      </c>
      <c r="E7" s="151">
        <v>20</v>
      </c>
      <c r="F7" s="152" t="s">
        <v>48</v>
      </c>
      <c r="G7" s="152" t="s">
        <v>270</v>
      </c>
      <c r="H7" s="151" t="s">
        <v>263</v>
      </c>
      <c r="J7" s="148" t="s">
        <v>256</v>
      </c>
      <c r="K7" s="153" t="s">
        <v>271</v>
      </c>
    </row>
    <row r="8" ht="15.75" customHeight="1" spans="1:11">
      <c r="A8" s="98" t="s">
        <v>54</v>
      </c>
      <c r="B8" s="99" t="s">
        <v>57</v>
      </c>
      <c r="C8" s="99" t="s">
        <v>56</v>
      </c>
      <c r="D8" s="149">
        <f>IFERROR(FIND("@",TRIM(C8)),"Not Found")</f>
        <v>10</v>
      </c>
      <c r="E8" s="149" t="str">
        <f>IFERROR(SEARCH(".com",TRIM(C8)),"Not found")</f>
        <v>Not found</v>
      </c>
      <c r="F8" s="150" t="str">
        <f>_wpsfn.SUBSTITUTES(RIGHT(B8,11),"-")</f>
        <v>9762918409</v>
      </c>
      <c r="G8" s="150" t="str">
        <f>SUBSTITUTE(C8,LEFT(TRIM(C8),9),"***")</f>
        <v>  ***@company.io  </v>
      </c>
      <c r="H8" s="149" t="s">
        <v>272</v>
      </c>
      <c r="K8" t="s">
        <v>273</v>
      </c>
    </row>
    <row r="9" ht="15.75" customHeight="1" spans="1:11">
      <c r="A9" s="102" t="s">
        <v>60</v>
      </c>
      <c r="B9" s="103" t="s">
        <v>63</v>
      </c>
      <c r="C9" s="103" t="s">
        <v>62</v>
      </c>
      <c r="D9" s="149">
        <f t="shared" ref="D9:D28" si="0">IFERROR(FIND("@",TRIM(C9)),"Not Found")</f>
        <v>10</v>
      </c>
      <c r="E9" s="149">
        <f t="shared" ref="E9:E28" si="1">IFERROR(SEARCH(".com",TRIM(C9)),"Not found")</f>
        <v>18</v>
      </c>
      <c r="F9" s="150" t="str">
        <f>_wpsfn.SUBSTITUTES(RIGHT(B9,11),"-")</f>
        <v>9159933789</v>
      </c>
      <c r="G9" s="150" t="str">
        <f t="shared" ref="G9:G28" si="2">SUBSTITUTE(C9,LEFT(TRIM(C9),9),"***")</f>
        <v>  ***@webmail.com  </v>
      </c>
      <c r="H9" s="151"/>
    </row>
    <row r="10" ht="15.75" customHeight="1" spans="1:11">
      <c r="A10" s="98" t="s">
        <v>70</v>
      </c>
      <c r="B10" s="99" t="s">
        <v>73</v>
      </c>
      <c r="C10" s="99" t="s">
        <v>72</v>
      </c>
      <c r="D10" s="149">
        <f t="shared" si="0"/>
        <v>10</v>
      </c>
      <c r="E10" s="149">
        <f t="shared" si="1"/>
        <v>18</v>
      </c>
      <c r="F10" s="150"/>
      <c r="G10" s="150" t="str">
        <f t="shared" si="2"/>
        <v>  ***@hotmail.com  </v>
      </c>
      <c r="H10" s="149"/>
      <c r="J10" s="148" t="s">
        <v>257</v>
      </c>
      <c r="K10" s="153" t="s">
        <v>274</v>
      </c>
    </row>
    <row r="11" ht="15.75" customHeight="1" spans="1:11">
      <c r="A11" s="102" t="s">
        <v>79</v>
      </c>
      <c r="B11" s="103" t="s">
        <v>82</v>
      </c>
      <c r="C11" s="154" t="s">
        <v>275</v>
      </c>
      <c r="D11" s="149" t="str">
        <f t="shared" si="0"/>
        <v>Not Found</v>
      </c>
      <c r="E11" s="149" t="str">
        <f t="shared" si="1"/>
        <v>Not found</v>
      </c>
      <c r="F11" s="152" t="str">
        <f>_wpsfn.SUBSTITUTES(RIGHT(B11,11),"-")</f>
        <v>9461586830</v>
      </c>
      <c r="G11" s="150" t="str">
        <f t="shared" si="2"/>
        <v>  ***is#corp.in  </v>
      </c>
      <c r="H11" s="151"/>
      <c r="K11" t="s">
        <v>276</v>
      </c>
    </row>
    <row r="12" ht="15.75" customHeight="1" spans="1:11">
      <c r="A12" s="98" t="s">
        <v>85</v>
      </c>
      <c r="B12" s="99" t="s">
        <v>88</v>
      </c>
      <c r="C12" s="99" t="s">
        <v>87</v>
      </c>
      <c r="D12" s="149">
        <f t="shared" si="0"/>
        <v>12</v>
      </c>
      <c r="E12" s="149">
        <f t="shared" si="1"/>
        <v>20</v>
      </c>
      <c r="F12" s="152" t="str">
        <f>_wpsfn.SUBSTITUTES(RIGHT(B12,11),"-")</f>
        <v>9801543876</v>
      </c>
      <c r="G12" s="150" t="str">
        <f t="shared" si="2"/>
        <v>  ***in@hotmail.com  </v>
      </c>
      <c r="H12" s="149"/>
    </row>
    <row r="13" ht="15.75" customHeight="1" spans="1:11">
      <c r="A13" s="102" t="s">
        <v>92</v>
      </c>
      <c r="B13" s="103" t="s">
        <v>95</v>
      </c>
      <c r="C13" s="103" t="s">
        <v>94</v>
      </c>
      <c r="D13" s="149">
        <f t="shared" si="0"/>
        <v>12</v>
      </c>
      <c r="E13" s="149" t="str">
        <f t="shared" si="1"/>
        <v>Not found</v>
      </c>
      <c r="F13" s="152"/>
      <c r="G13" s="150" t="str">
        <f t="shared" si="2"/>
        <v>  ***on@company.io  </v>
      </c>
      <c r="H13" s="151"/>
      <c r="J13" s="148" t="s">
        <v>260</v>
      </c>
      <c r="K13" s="153" t="s">
        <v>277</v>
      </c>
    </row>
    <row r="14" ht="15.75" customHeight="1" spans="1:11">
      <c r="A14" s="98" t="s">
        <v>97</v>
      </c>
      <c r="B14" s="99" t="s">
        <v>100</v>
      </c>
      <c r="C14" s="99" t="s">
        <v>99</v>
      </c>
      <c r="D14" s="149">
        <f t="shared" si="0"/>
        <v>13</v>
      </c>
      <c r="E14" s="149">
        <f t="shared" si="1"/>
        <v>21</v>
      </c>
      <c r="F14" s="150" t="str">
        <f>_wpsfn.SUBSTITUTES(RIGHT(B15,11),"-")</f>
        <v>9103885085</v>
      </c>
      <c r="G14" s="150" t="str">
        <f t="shared" si="2"/>
        <v>  ***lor@webmail.com  </v>
      </c>
      <c r="H14" s="149"/>
      <c r="K14" t="s">
        <v>278</v>
      </c>
    </row>
    <row r="15" ht="15.75" customHeight="1" spans="1:11">
      <c r="A15" s="102" t="s">
        <v>103</v>
      </c>
      <c r="B15" s="103" t="s">
        <v>106</v>
      </c>
      <c r="C15" s="154" t="s">
        <v>279</v>
      </c>
      <c r="D15" s="149" t="str">
        <f t="shared" si="0"/>
        <v>Not Found</v>
      </c>
      <c r="E15" s="149" t="str">
        <f t="shared" si="1"/>
        <v>Not found</v>
      </c>
      <c r="F15" s="150" t="str">
        <f t="shared" ref="F15:F22" si="3">_wpsfn.SUBSTITUTES(RIGHT(B16,11),"-")</f>
        <v>9315053957</v>
      </c>
      <c r="G15" s="150" t="str">
        <f t="shared" si="2"/>
        <v>  ***e.corp.in  </v>
      </c>
      <c r="H15" s="151"/>
    </row>
    <row r="16" ht="15.75" customHeight="1" spans="1:11">
      <c r="A16" s="98" t="s">
        <v>109</v>
      </c>
      <c r="B16" s="99" t="s">
        <v>112</v>
      </c>
      <c r="C16" s="99" t="s">
        <v>111</v>
      </c>
      <c r="D16" s="149">
        <f t="shared" si="0"/>
        <v>13</v>
      </c>
      <c r="E16" s="149" t="str">
        <f t="shared" si="1"/>
        <v>Not found</v>
      </c>
      <c r="F16" s="150" t="str">
        <f t="shared" si="3"/>
        <v>9527828713</v>
      </c>
      <c r="G16" s="150" t="str">
        <f t="shared" si="2"/>
        <v>  ***son@company.io  </v>
      </c>
      <c r="H16" s="149"/>
      <c r="J16" s="148" t="s">
        <v>259</v>
      </c>
      <c r="K16" t="s">
        <v>280</v>
      </c>
    </row>
    <row r="17" ht="15.75" customHeight="1" spans="1:15">
      <c r="A17" s="102" t="s">
        <v>115</v>
      </c>
      <c r="B17" s="103" t="s">
        <v>118</v>
      </c>
      <c r="C17" s="103" t="s">
        <v>117</v>
      </c>
      <c r="D17" s="149">
        <f t="shared" si="0"/>
        <v>12</v>
      </c>
      <c r="E17" s="149" t="str">
        <f t="shared" si="1"/>
        <v>Not found</v>
      </c>
      <c r="F17" s="150" t="str">
        <f t="shared" si="3"/>
        <v>9297208362</v>
      </c>
      <c r="G17" s="150" t="str">
        <f t="shared" si="2"/>
        <v>  ***as@corp.in  </v>
      </c>
      <c r="H17" s="151"/>
      <c r="K17" t="s">
        <v>281</v>
      </c>
    </row>
    <row r="18" ht="15.75" customHeight="1" spans="1:15">
      <c r="A18" s="98" t="s">
        <v>120</v>
      </c>
      <c r="B18" s="99" t="s">
        <v>123</v>
      </c>
      <c r="C18" s="99" t="s">
        <v>122</v>
      </c>
      <c r="D18" s="149">
        <f t="shared" si="0"/>
        <v>14</v>
      </c>
      <c r="E18" s="149" t="str">
        <f t="shared" si="1"/>
        <v>Not found</v>
      </c>
      <c r="F18" s="150" t="str">
        <f t="shared" si="3"/>
        <v>9803496718</v>
      </c>
      <c r="G18" s="150" t="str">
        <f t="shared" si="2"/>
        <v>  ***rris@corp.in  </v>
      </c>
      <c r="H18" s="149"/>
      <c r="K18" s="155" t="s">
        <v>282</v>
      </c>
    </row>
    <row r="19" ht="15.75" customHeight="1" spans="1:15">
      <c r="A19" s="102" t="s">
        <v>127</v>
      </c>
      <c r="B19" s="103" t="s">
        <v>130</v>
      </c>
      <c r="C19" s="103" t="s">
        <v>129</v>
      </c>
      <c r="D19" s="149">
        <f t="shared" si="0"/>
        <v>12</v>
      </c>
      <c r="E19" s="149" t="str">
        <f t="shared" si="1"/>
        <v>Not found</v>
      </c>
      <c r="F19" s="150"/>
      <c r="G19" s="150" t="str">
        <f t="shared" si="2"/>
        <v>  ***rk@biz.net  </v>
      </c>
      <c r="H19" s="151"/>
    </row>
    <row r="20" ht="15.75" customHeight="1" spans="1:15">
      <c r="A20" s="98" t="s">
        <v>132</v>
      </c>
      <c r="B20" s="99" t="s">
        <v>135</v>
      </c>
      <c r="C20" s="99" t="s">
        <v>134</v>
      </c>
      <c r="D20" s="149">
        <f t="shared" si="0"/>
        <v>12</v>
      </c>
      <c r="E20" s="149">
        <f t="shared" si="1"/>
        <v>18</v>
      </c>
      <c r="F20" s="150"/>
      <c r="G20" s="150" t="str">
        <f t="shared" si="2"/>
        <v>  ***is@gmail.com  </v>
      </c>
      <c r="H20" s="149"/>
    </row>
    <row r="21" ht="15.75" customHeight="1" spans="1:15">
      <c r="A21" s="102" t="s">
        <v>137</v>
      </c>
      <c r="B21" s="103" t="s">
        <v>140</v>
      </c>
      <c r="C21" s="103" t="s">
        <v>139</v>
      </c>
      <c r="D21" s="149">
        <f t="shared" si="0"/>
        <v>12</v>
      </c>
      <c r="E21" s="149">
        <f t="shared" si="1"/>
        <v>20</v>
      </c>
      <c r="F21" s="150"/>
      <c r="G21" s="150" t="str">
        <f t="shared" si="2"/>
        <v>  ***er@hotmail.com  </v>
      </c>
      <c r="H21" s="151"/>
      <c r="J21" s="148" t="s">
        <v>258</v>
      </c>
      <c r="K21" t="s">
        <v>283</v>
      </c>
    </row>
    <row r="22" ht="15.75" customHeight="1" spans="1:15">
      <c r="A22" s="98" t="s">
        <v>142</v>
      </c>
      <c r="B22" s="99" t="s">
        <v>145</v>
      </c>
      <c r="C22" s="99" t="s">
        <v>144</v>
      </c>
      <c r="D22" s="149">
        <f t="shared" si="0"/>
        <v>10</v>
      </c>
      <c r="E22" s="149">
        <f t="shared" si="1"/>
        <v>18</v>
      </c>
      <c r="F22" s="150"/>
      <c r="G22" s="150" t="str">
        <f t="shared" si="2"/>
        <v>  ***@outlook.com  </v>
      </c>
      <c r="H22" s="149"/>
      <c r="K22" s="156">
        <v>91</v>
      </c>
      <c r="L22" s="156" t="s">
        <v>284</v>
      </c>
      <c r="M22" s="156" t="s">
        <v>285</v>
      </c>
      <c r="N22" s="156" t="s">
        <v>286</v>
      </c>
      <c r="O22" s="136" t="s">
        <v>287</v>
      </c>
    </row>
    <row r="23" ht="15.75" customHeight="1" spans="1:15">
      <c r="A23" s="102" t="s">
        <v>147</v>
      </c>
      <c r="B23" s="103" t="s">
        <v>150</v>
      </c>
      <c r="C23" s="103" t="s">
        <v>149</v>
      </c>
      <c r="D23" s="149">
        <f t="shared" si="0"/>
        <v>10</v>
      </c>
      <c r="E23" s="149">
        <f t="shared" si="1"/>
        <v>18</v>
      </c>
      <c r="F23" s="152"/>
      <c r="G23" s="150" t="str">
        <f t="shared" si="2"/>
        <v>  ***@outlook.com  </v>
      </c>
      <c r="H23" s="151"/>
      <c r="K23" t="s">
        <v>288</v>
      </c>
    </row>
    <row r="24" ht="15.75" customHeight="1" spans="1:15">
      <c r="A24" s="98" t="s">
        <v>152</v>
      </c>
      <c r="B24" s="99" t="s">
        <v>155</v>
      </c>
      <c r="C24" s="99" t="s">
        <v>154</v>
      </c>
      <c r="D24" s="149">
        <f t="shared" si="0"/>
        <v>10</v>
      </c>
      <c r="E24" s="149">
        <f t="shared" si="1"/>
        <v>18</v>
      </c>
      <c r="F24" s="150"/>
      <c r="G24" s="150" t="str">
        <f t="shared" si="2"/>
        <v>  ***@outlook.com  </v>
      </c>
      <c r="H24" s="149"/>
    </row>
    <row r="25" ht="15.75" customHeight="1" spans="1:15">
      <c r="A25" s="102" t="s">
        <v>157</v>
      </c>
      <c r="B25" s="103" t="s">
        <v>160</v>
      </c>
      <c r="C25" s="103" t="s">
        <v>159</v>
      </c>
      <c r="D25" s="149">
        <f t="shared" si="0"/>
        <v>12</v>
      </c>
      <c r="E25" s="149" t="str">
        <f t="shared" si="1"/>
        <v>Not found</v>
      </c>
      <c r="F25" s="152"/>
      <c r="G25" s="150" t="str">
        <f t="shared" si="2"/>
        <v>  ***ng@company.io  </v>
      </c>
      <c r="H25" s="151"/>
    </row>
    <row r="26" ht="15.75" customHeight="1" spans="1:15">
      <c r="A26" s="98" t="s">
        <v>162</v>
      </c>
      <c r="B26" s="99" t="s">
        <v>165</v>
      </c>
      <c r="C26" s="99" t="s">
        <v>164</v>
      </c>
      <c r="D26" s="149">
        <f t="shared" si="0"/>
        <v>13</v>
      </c>
      <c r="E26" s="149">
        <f t="shared" si="1"/>
        <v>21</v>
      </c>
      <c r="F26" s="150"/>
      <c r="G26" s="150" t="str">
        <f t="shared" si="2"/>
        <v>  ***ght@outlook.com  </v>
      </c>
      <c r="H26" s="149"/>
      <c r="K26" s="136"/>
    </row>
    <row r="27" ht="15.75" customHeight="1" spans="1:15">
      <c r="A27" s="102" t="s">
        <v>167</v>
      </c>
      <c r="B27" s="103" t="s">
        <v>170</v>
      </c>
      <c r="C27" s="103" t="s">
        <v>169</v>
      </c>
      <c r="D27" s="149">
        <f t="shared" si="0"/>
        <v>13</v>
      </c>
      <c r="E27" s="149">
        <f t="shared" si="1"/>
        <v>19</v>
      </c>
      <c r="F27" s="152"/>
      <c r="G27" s="150" t="str">
        <f t="shared" si="2"/>
        <v>  ***pez@yahoo.com  </v>
      </c>
      <c r="H27" s="151"/>
    </row>
    <row r="28" ht="15.75" customHeight="1" spans="1:15">
      <c r="A28" s="98" t="s">
        <v>172</v>
      </c>
      <c r="B28" s="99" t="s">
        <v>175</v>
      </c>
      <c r="C28" s="99" t="s">
        <v>174</v>
      </c>
      <c r="D28" s="149">
        <f t="shared" si="0"/>
        <v>10</v>
      </c>
      <c r="E28" s="149" t="str">
        <f t="shared" si="1"/>
        <v>Not found</v>
      </c>
      <c r="F28" s="150"/>
      <c r="G28" s="150" t="str">
        <f t="shared" si="2"/>
        <v>  ***@corp.in  </v>
      </c>
      <c r="H28" s="149"/>
      <c r="K28" s="136"/>
    </row>
    <row r="29" ht="15.25"/>
    <row r="30" ht="25.5" customHeight="1" spans="1:15">
      <c r="A30" s="157" t="s">
        <v>199</v>
      </c>
      <c r="B30" s="157"/>
      <c r="C30" s="157"/>
      <c r="D30" s="157"/>
      <c r="E30" s="157"/>
      <c r="F30" s="157"/>
      <c r="G30" s="157"/>
      <c r="H30" s="157"/>
      <c r="K30" s="136"/>
    </row>
    <row r="31" ht="27.75" customHeight="1" spans="1:15">
      <c r="A31" s="158" t="s">
        <v>289</v>
      </c>
      <c r="B31" s="158"/>
      <c r="C31" s="158"/>
      <c r="D31" s="107" t="s">
        <v>290</v>
      </c>
      <c r="E31" s="107"/>
      <c r="F31" s="107"/>
      <c r="G31" s="107"/>
    </row>
    <row r="32" ht="27.75" customHeight="1" spans="1:15">
      <c r="A32" s="158" t="s">
        <v>291</v>
      </c>
      <c r="B32" s="158"/>
      <c r="C32" s="158"/>
      <c r="D32" s="107" t="s">
        <v>292</v>
      </c>
      <c r="E32" s="107"/>
      <c r="F32" s="107"/>
      <c r="G32" s="107"/>
    </row>
    <row r="33" ht="27.75" customHeight="1" spans="1:7">
      <c r="A33" s="158" t="s">
        <v>293</v>
      </c>
      <c r="B33" s="158"/>
      <c r="C33" s="158"/>
      <c r="D33" s="107" t="s">
        <v>294</v>
      </c>
      <c r="E33" s="107"/>
      <c r="F33" s="107"/>
      <c r="G33" s="107"/>
    </row>
    <row r="34" ht="27.75" customHeight="1" spans="1:7">
      <c r="A34" s="158" t="s">
        <v>295</v>
      </c>
      <c r="B34" s="158"/>
      <c r="C34" s="158"/>
      <c r="D34" s="107" t="s">
        <v>296</v>
      </c>
      <c r="E34" s="107"/>
      <c r="F34" s="107"/>
      <c r="G34" s="107"/>
    </row>
    <row r="35" ht="27.75" customHeight="1" spans="1:7">
      <c r="A35" s="158" t="s">
        <v>297</v>
      </c>
      <c r="B35" s="158"/>
      <c r="C35" s="158"/>
      <c r="D35" s="107" t="s">
        <v>298</v>
      </c>
      <c r="E35" s="107"/>
      <c r="F35" s="107"/>
      <c r="G35" s="107"/>
    </row>
    <row r="36" ht="27.75" customHeight="1" spans="1:7">
      <c r="A36" s="158" t="s">
        <v>299</v>
      </c>
      <c r="B36" s="158"/>
      <c r="C36" s="158"/>
      <c r="D36" s="107" t="s">
        <v>300</v>
      </c>
      <c r="E36" s="107"/>
      <c r="F36" s="107"/>
      <c r="G36" s="107"/>
    </row>
    <row r="37" ht="27.75" customHeight="1" spans="1:7">
      <c r="A37" s="158" t="s">
        <v>301</v>
      </c>
      <c r="B37" s="158"/>
      <c r="C37" s="158"/>
      <c r="D37" s="107" t="s">
        <v>302</v>
      </c>
      <c r="E37" s="107"/>
      <c r="F37" s="107"/>
      <c r="G37" s="107"/>
    </row>
    <row r="38" ht="27.75" customHeight="1" spans="1:7">
      <c r="A38" s="158" t="s">
        <v>303</v>
      </c>
      <c r="B38" s="158"/>
      <c r="C38" s="158"/>
      <c r="D38" s="107" t="s">
        <v>304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C3483"/>
  </sheetPr>
  <dimension ref="A1:H49"/>
  <sheetViews>
    <sheetView showGridLines="0" topLeftCell="D1" workbookViewId="0">
      <pane ySplit="3" topLeftCell="A16" activePane="bottomLeft" state="frozen"/>
      <selection/>
      <selection pane="bottomLeft" activeCell="F23" sqref="F23"/>
    </sheetView>
  </sheetViews>
  <sheetFormatPr defaultColWidth="8.66363636363636" defaultRowHeight="14.5" outlineLevelCol="7"/>
  <cols>
    <col min="1" max="1" width="9" customWidth="1"/>
    <col min="2" max="3" width="20" customWidth="1"/>
    <col min="4" max="4" width="22" customWidth="1"/>
    <col min="5" max="5" width="43.2181818181818" customWidth="1"/>
    <col min="6" max="6" width="27.3363636363636" customWidth="1"/>
    <col min="7" max="7" width="28.1090909090909" customWidth="1"/>
    <col min="8" max="8" width="32.4454545454545" customWidth="1"/>
    <col min="10" max="10" width="20.5545454545455" customWidth="1"/>
  </cols>
  <sheetData>
    <row r="1" ht="37.5" customHeight="1" spans="1:8">
      <c r="A1" s="139" t="s">
        <v>305</v>
      </c>
      <c r="B1" s="139"/>
      <c r="C1" s="139"/>
      <c r="D1" s="139"/>
      <c r="E1" s="139"/>
      <c r="F1" s="139"/>
      <c r="G1" s="139"/>
      <c r="H1" s="139"/>
    </row>
    <row r="2" ht="30" customHeight="1" spans="1:8">
      <c r="A2" s="140" t="s">
        <v>306</v>
      </c>
      <c r="B2" s="140"/>
      <c r="C2" s="140"/>
      <c r="D2" s="140"/>
      <c r="E2" s="140"/>
      <c r="F2" s="140"/>
      <c r="G2" s="140"/>
      <c r="H2" s="140"/>
    </row>
    <row r="3" ht="21.75" customHeight="1" spans="1:8">
      <c r="A3" s="141" t="s">
        <v>2</v>
      </c>
      <c r="B3" s="141" t="s">
        <v>307</v>
      </c>
      <c r="C3" s="141" t="s">
        <v>308</v>
      </c>
      <c r="D3" s="141" t="s">
        <v>309</v>
      </c>
      <c r="E3" s="141" t="s">
        <v>310</v>
      </c>
      <c r="F3" s="141" t="s">
        <v>311</v>
      </c>
      <c r="G3" s="141" t="s">
        <v>312</v>
      </c>
      <c r="H3" s="141" t="s">
        <v>313</v>
      </c>
    </row>
    <row r="4" ht="15.75" customHeight="1" spans="1:8">
      <c r="A4" s="98" t="s">
        <v>17</v>
      </c>
      <c r="B4" s="142" t="s">
        <v>314</v>
      </c>
      <c r="C4" s="142" t="s">
        <v>315</v>
      </c>
      <c r="D4" s="142" t="s">
        <v>18</v>
      </c>
      <c r="E4" s="142" t="s">
        <v>316</v>
      </c>
      <c r="F4" s="142" t="s">
        <v>317</v>
      </c>
      <c r="G4" s="142" t="s">
        <v>318</v>
      </c>
      <c r="H4" s="142" t="s">
        <v>319</v>
      </c>
    </row>
    <row r="5" ht="15.75" customHeight="1" spans="1:8">
      <c r="A5" s="102" t="s">
        <v>28</v>
      </c>
      <c r="B5" s="143" t="s">
        <v>320</v>
      </c>
      <c r="C5" s="143" t="s">
        <v>321</v>
      </c>
      <c r="D5" s="143" t="s">
        <v>29</v>
      </c>
      <c r="E5" s="143" t="s">
        <v>322</v>
      </c>
      <c r="F5" s="143" t="s">
        <v>323</v>
      </c>
      <c r="G5" s="143" t="s">
        <v>324</v>
      </c>
      <c r="H5" s="143" t="s">
        <v>325</v>
      </c>
    </row>
    <row r="6" ht="15.75" customHeight="1" spans="1:8">
      <c r="A6" s="98" t="s">
        <v>37</v>
      </c>
      <c r="B6" s="142" t="s">
        <v>326</v>
      </c>
      <c r="C6" s="142" t="s">
        <v>327</v>
      </c>
      <c r="D6" s="142" t="s">
        <v>229</v>
      </c>
      <c r="E6" s="142" t="s">
        <v>328</v>
      </c>
      <c r="F6" s="142" t="s">
        <v>329</v>
      </c>
      <c r="G6" s="142" t="s">
        <v>330</v>
      </c>
      <c r="H6" s="142" t="s">
        <v>331</v>
      </c>
    </row>
    <row r="7" ht="15.75" customHeight="1" spans="1:8">
      <c r="A7" s="102" t="s">
        <v>45</v>
      </c>
      <c r="B7" s="143" t="s">
        <v>332</v>
      </c>
      <c r="C7" s="143" t="s">
        <v>333</v>
      </c>
      <c r="D7" s="143" t="s">
        <v>46</v>
      </c>
      <c r="E7" s="143" t="s">
        <v>334</v>
      </c>
      <c r="F7" s="143" t="s">
        <v>335</v>
      </c>
      <c r="G7" s="143" t="s">
        <v>336</v>
      </c>
      <c r="H7" s="143" t="s">
        <v>337</v>
      </c>
    </row>
    <row r="8" ht="15.75" customHeight="1" spans="1:8">
      <c r="A8" s="98" t="s">
        <v>54</v>
      </c>
      <c r="B8" s="142" t="s">
        <v>338</v>
      </c>
      <c r="C8" s="142" t="s">
        <v>339</v>
      </c>
      <c r="D8" s="142" t="s">
        <v>340</v>
      </c>
      <c r="E8" s="142" t="s">
        <v>341</v>
      </c>
      <c r="F8" s="142" t="s">
        <v>342</v>
      </c>
      <c r="G8" s="142" t="s">
        <v>343</v>
      </c>
      <c r="H8" s="142" t="s">
        <v>344</v>
      </c>
    </row>
    <row r="9" ht="15.75" customHeight="1" spans="1:8">
      <c r="A9" s="102" t="s">
        <v>60</v>
      </c>
      <c r="B9" s="143" t="str">
        <f>LEFT(TRIM('CRM Dataset'!B9),5)</f>
        <v>Frank</v>
      </c>
      <c r="C9" s="143" t="str">
        <f>RIGHT(TRIM('CRM Dataset'!B9),3)</f>
        <v>Lee</v>
      </c>
      <c r="D9" s="143" t="str">
        <f>_xlfn.CONCAT(B9," ",C9)</f>
        <v>Frank Lee</v>
      </c>
      <c r="E9" s="143" t="str">
        <f>_xlfn.CONCAT(A9," ","|"," ",D9," ","|",'CRM Dataset'!E9," ","|"," ",'CRM Dataset'!H9)</f>
        <v>CRM0006 | Frank Lee |Bangalore | Basic</v>
      </c>
      <c r="F9" s="143" t="str">
        <f>_xlfn.CONCAT("Joined:"," ",TEXT('CRM Dataset'!K9,"DD-MMM-YYYY"))</f>
        <v>Joined: 04-Jun-2023</v>
      </c>
      <c r="G9" s="143" t="str">
        <f>_xlfn.CONCAT("Rev:"," ",'CRM Dataset'!N9)</f>
        <v>Rev: 42660</v>
      </c>
      <c r="H9" s="143" t="str">
        <f>_xlfn.CONCAT(A9," ","--"," ",D9)</f>
        <v>CRM0006 -- Frank Lee</v>
      </c>
    </row>
    <row r="10" ht="15.75" customHeight="1" spans="1:8">
      <c r="A10" s="98" t="s">
        <v>70</v>
      </c>
      <c r="B10" s="143" t="str">
        <f>LEFT(TRIM('CRM Dataset'!B10),5)</f>
        <v>GRACE</v>
      </c>
      <c r="C10" s="143" t="str">
        <f>RIGHT(TRIM('CRM Dataset'!B10),3)</f>
        <v>KIM</v>
      </c>
      <c r="D10" s="143" t="str">
        <f t="shared" ref="D10:D28" si="0">_xlfn.CONCAT(B10," ",C10)</f>
        <v>GRACE KIM</v>
      </c>
      <c r="E10" s="143" t="str">
        <f>_xlfn.CONCAT(A10," ","|"," ",D10," ","|"," ",'CRM Dataset'!E10," ","|"," ",'CRM Dataset'!H10)</f>
        <v>CRM0007 | GRACE KIM | Delhi | Basic</v>
      </c>
      <c r="F10" s="143" t="str">
        <f>_xlfn.CONCAT("Joined:"," ",TEXT('CRM Dataset'!K10,"DD-MMM-YYYY"))</f>
        <v>Joined: 27-May-2022</v>
      </c>
      <c r="G10" s="143" t="str">
        <f>_xlfn.CONCAT("Rev:"," ",'CRM Dataset'!N10)</f>
        <v>Rev: 7922</v>
      </c>
      <c r="H10" s="143" t="str">
        <f t="shared" ref="H10:H28" si="1">_xlfn.CONCAT(A10," ","--"," ",D10)</f>
        <v>CRM0007 -- GRACE KIM</v>
      </c>
    </row>
    <row r="11" ht="15.75" customHeight="1" spans="1:8">
      <c r="A11" s="102" t="s">
        <v>79</v>
      </c>
      <c r="B11" s="143" t="str">
        <f>LEFT(TRIM('CRM Dataset'!B11),5)</f>
        <v>henry</v>
      </c>
      <c r="C11" s="143" t="str">
        <f>RIGHT(TRIM('CRM Dataset'!B11),3)</f>
        <v>vis</v>
      </c>
      <c r="D11" s="143" t="str">
        <f t="shared" si="0"/>
        <v>henry vis</v>
      </c>
      <c r="E11" s="143" t="str">
        <f>_xlfn.CONCAT(A11," ","|"," ",D11," ","|"," ",'CRM Dataset'!E11," ","|"," ",'CRM Dataset'!H11)</f>
        <v>CRM0008 | henry vis | Pune | Pro</v>
      </c>
      <c r="F11" s="143" t="str">
        <f>_xlfn.CONCAT("Joined:"," ",TEXT('CRM Dataset'!K11,"DD-MMM-YYYY"))</f>
        <v>Joined: 13-Feb-2022</v>
      </c>
      <c r="G11" s="143" t="str">
        <f>_xlfn.CONCAT("Rev:"," ",'CRM Dataset'!N11)</f>
        <v>Rev: 194178</v>
      </c>
      <c r="H11" s="143" t="str">
        <f t="shared" si="1"/>
        <v>CRM0008 -- henry vis</v>
      </c>
    </row>
    <row r="12" ht="15.75" customHeight="1" spans="1:8">
      <c r="A12" s="98" t="s">
        <v>85</v>
      </c>
      <c r="B12" s="143" t="str">
        <f>LEFT(TRIM('CRM Dataset'!B12),5)</f>
        <v>Isla </v>
      </c>
      <c r="C12" s="143" t="str">
        <f>RIGHT(TRIM('CRM Dataset'!B12),3)</f>
        <v>tin</v>
      </c>
      <c r="D12" s="143" t="str">
        <f t="shared" si="0"/>
        <v>Isla  tin</v>
      </c>
      <c r="E12" s="143" t="str">
        <f>_xlfn.CONCAT(A12," ","|"," ",D12," ","|"," ",'CRM Dataset'!E12," ","|"," ",'CRM Dataset'!H12)</f>
        <v>CRM0009 | Isla  tin | Chennai | Enterprise</v>
      </c>
      <c r="F12" s="143" t="str">
        <f>_xlfn.CONCAT("Joined:"," ",TEXT('CRM Dataset'!K12,"DD-MMM-YYYY"))</f>
        <v>Joined: 19-Apr-2021</v>
      </c>
      <c r="G12" s="143" t="str">
        <f>_xlfn.CONCAT("Rev:"," ",'CRM Dataset'!N12)</f>
        <v>Rev: 26004</v>
      </c>
      <c r="H12" s="143" t="str">
        <f t="shared" si="1"/>
        <v>CRM0009 -- Isla  tin</v>
      </c>
    </row>
    <row r="13" ht="15.75" customHeight="1" spans="1:8">
      <c r="A13" s="102" t="s">
        <v>92</v>
      </c>
      <c r="B13" s="143" t="str">
        <f>LEFT(TRIM('CRM Dataset'!B13),5)</f>
        <v>JACK </v>
      </c>
      <c r="C13" s="143" t="str">
        <f>RIGHT(TRIM('CRM Dataset'!B13),3)</f>
        <v>SON</v>
      </c>
      <c r="D13" s="143" t="str">
        <f t="shared" si="0"/>
        <v>JACK  SON</v>
      </c>
      <c r="E13" s="143" t="str">
        <f>_xlfn.CONCAT(A13," ","|"," ",D13," ","|"," ",'CRM Dataset'!E13," ","|"," ",'CRM Dataset'!H13)</f>
        <v>CRM0010 | JACK  SON | Bangalore | Enterprise</v>
      </c>
      <c r="F13" s="143" t="str">
        <f>_xlfn.CONCAT("Joined:"," ",TEXT('CRM Dataset'!K13,"DD-MMM-YYYY"))</f>
        <v>Joined: 19-Mar-2023</v>
      </c>
      <c r="G13" s="143" t="str">
        <f>_xlfn.CONCAT("Rev:"," ",'CRM Dataset'!N13)</f>
        <v>Rev: 165170</v>
      </c>
      <c r="H13" s="143" t="str">
        <f t="shared" si="1"/>
        <v>CRM0010 -- JACK  SON</v>
      </c>
    </row>
    <row r="14" ht="15.75" customHeight="1" spans="1:8">
      <c r="A14" s="98" t="s">
        <v>97</v>
      </c>
      <c r="B14" s="143" t="str">
        <f>LEFT(TRIM('CRM Dataset'!B14),5)</f>
        <v>Karen</v>
      </c>
      <c r="C14" s="143" t="str">
        <f>RIGHT(TRIM('CRM Dataset'!B14),3)</f>
        <v>lor</v>
      </c>
      <c r="D14" s="143" t="str">
        <f t="shared" si="0"/>
        <v>Karen lor</v>
      </c>
      <c r="E14" s="143" t="str">
        <f>_xlfn.CONCAT(A14," ","|"," ",D14," ","|"," ",'CRM Dataset'!E14," ","|"," ",'CRM Dataset'!H14)</f>
        <v>CRM0011 | Karen lor | Pune | Pro</v>
      </c>
      <c r="F14" s="143" t="str">
        <f>_xlfn.CONCAT("Joined:"," ",TEXT('CRM Dataset'!K14,"DD-MMM-YYYY"))</f>
        <v>Joined: 22-Jul-2021</v>
      </c>
      <c r="G14" s="143" t="str">
        <f>_xlfn.CONCAT("Rev:"," ",'CRM Dataset'!N14)</f>
        <v>Rev: 114238</v>
      </c>
      <c r="H14" s="143" t="str">
        <f t="shared" si="1"/>
        <v>CRM0011 -- Karen lor</v>
      </c>
    </row>
    <row r="15" ht="15.75" customHeight="1" spans="1:8">
      <c r="A15" s="102" t="s">
        <v>103</v>
      </c>
      <c r="B15" s="143" t="str">
        <f>LEFT(TRIM('CRM Dataset'!B15),5)</f>
        <v>Liam </v>
      </c>
      <c r="C15" s="143" t="str">
        <f>RIGHT(TRIM('CRM Dataset'!B15),3)</f>
        <v>ore</v>
      </c>
      <c r="D15" s="143" t="str">
        <f t="shared" si="0"/>
        <v>Liam  ore</v>
      </c>
      <c r="E15" s="143" t="str">
        <f>_xlfn.CONCAT(A15," ","|"," ",D15," ","|"," ",'CRM Dataset'!E15," ","|"," ",'CRM Dataset'!H15)</f>
        <v>CRM0012 | Liam  ore | Jaipur | Custom</v>
      </c>
      <c r="F15" s="143" t="str">
        <f>_xlfn.CONCAT("Joined:"," ",TEXT('CRM Dataset'!K15,"DD-MMM-YYYY"))</f>
        <v>Joined: 29-Jun-2022</v>
      </c>
      <c r="G15" s="143" t="str">
        <f>_xlfn.CONCAT("Rev:"," ",'CRM Dataset'!N15)</f>
        <v>Rev: 74181</v>
      </c>
      <c r="H15" s="143" t="str">
        <f t="shared" si="1"/>
        <v>CRM0012 -- Liam  ore</v>
      </c>
    </row>
    <row r="16" ht="15.75" customHeight="1" spans="1:8">
      <c r="A16" s="98" t="s">
        <v>109</v>
      </c>
      <c r="B16" s="143" t="str">
        <f>LEFT(TRIM('CRM Dataset'!B16),5)</f>
        <v>Mia A</v>
      </c>
      <c r="C16" s="143" t="str">
        <f>RIGHT(TRIM('CRM Dataset'!B16),3)</f>
        <v>son</v>
      </c>
      <c r="D16" s="143" t="str">
        <f t="shared" si="0"/>
        <v>Mia A son</v>
      </c>
      <c r="E16" s="143" t="str">
        <f>_xlfn.CONCAT(A16," ","|"," ",D16," ","|"," ",'CRM Dataset'!E16," ","|"," ",'CRM Dataset'!H16)</f>
        <v>CRM0013 | Mia A son | Surat | Trial</v>
      </c>
      <c r="F16" s="143" t="str">
        <f>_xlfn.CONCAT("Joined:"," ",TEXT('CRM Dataset'!K16,"DD-MMM-YYYY"))</f>
        <v>Joined: 18-Apr-2021</v>
      </c>
      <c r="G16" s="143" t="str">
        <f>_xlfn.CONCAT("Rev:"," ",'CRM Dataset'!N16)</f>
        <v>Rev: 151074</v>
      </c>
      <c r="H16" s="143" t="str">
        <f t="shared" si="1"/>
        <v>CRM0013 -- Mia A son</v>
      </c>
    </row>
    <row r="17" ht="15.75" customHeight="1" spans="1:8">
      <c r="A17" s="102" t="s">
        <v>115</v>
      </c>
      <c r="B17" s="143" t="str">
        <f>LEFT(TRIM('CRM Dataset'!B17),5)</f>
        <v>Noah </v>
      </c>
      <c r="C17" s="143" t="str">
        <f>RIGHT(TRIM('CRM Dataset'!B17),3)</f>
        <v>mas</v>
      </c>
      <c r="D17" s="143" t="str">
        <f t="shared" si="0"/>
        <v>Noah  mas</v>
      </c>
      <c r="E17" s="143" t="str">
        <f>_xlfn.CONCAT(A17," ","|"," ",D17," ","|"," ",'CRM Dataset'!E17," ","|"," ",'CRM Dataset'!H17)</f>
        <v>CRM0014 | Noah  mas | Bangalore | Trial</v>
      </c>
      <c r="F17" s="143" t="str">
        <f>_xlfn.CONCAT("Joined:"," ",TEXT('CRM Dataset'!K17,"DD-MMM-YYYY"))</f>
        <v>Joined: 29-Sep-2021</v>
      </c>
      <c r="G17" s="143" t="str">
        <f>_xlfn.CONCAT("Rev:"," ",'CRM Dataset'!N17)</f>
        <v>Rev: 192444</v>
      </c>
      <c r="H17" s="143" t="str">
        <f t="shared" si="1"/>
        <v>CRM0014 -- Noah  mas</v>
      </c>
    </row>
    <row r="18" ht="15.75" customHeight="1" spans="1:8">
      <c r="A18" s="98" t="s">
        <v>120</v>
      </c>
      <c r="B18" s="143" t="str">
        <f>LEFT(TRIM('CRM Dataset'!B18),5)</f>
        <v>olivi</v>
      </c>
      <c r="C18" s="143" t="str">
        <f>RIGHT(TRIM('CRM Dataset'!B18),3)</f>
        <v>ris</v>
      </c>
      <c r="D18" s="143" t="str">
        <f t="shared" si="0"/>
        <v>olivi ris</v>
      </c>
      <c r="E18" s="143" t="str">
        <f>_xlfn.CONCAT(A18," ","|"," ",D18," ","|"," ",'CRM Dataset'!E18," ","|"," ",'CRM Dataset'!H18)</f>
        <v>CRM0015 | olivi ris | Ahmedabad | Custom</v>
      </c>
      <c r="F18" s="143" t="str">
        <f>_xlfn.CONCAT("Joined:"," ",TEXT('CRM Dataset'!K18,"DD-MMM-YYYY"))</f>
        <v>Joined: 06-May-2022</v>
      </c>
      <c r="G18" s="143" t="str">
        <f>_xlfn.CONCAT("Rev:"," ",'CRM Dataset'!N18)</f>
        <v>Rev: 142147</v>
      </c>
      <c r="H18" s="143" t="str">
        <f t="shared" si="1"/>
        <v>CRM0015 -- olivi ris</v>
      </c>
    </row>
    <row r="19" ht="15.75" customHeight="1" spans="1:8">
      <c r="A19" s="102" t="s">
        <v>127</v>
      </c>
      <c r="B19" s="143" t="str">
        <f>LEFT(TRIM('CRM Dataset'!B19),5)</f>
        <v>Peter</v>
      </c>
      <c r="C19" s="143" t="str">
        <f>RIGHT(TRIM('CRM Dataset'!B19),3)</f>
        <v>ark</v>
      </c>
      <c r="D19" s="143" t="str">
        <f t="shared" si="0"/>
        <v>Peter ark</v>
      </c>
      <c r="E19" s="143" t="str">
        <f>_xlfn.CONCAT(A19," ","|"," ",D19," ","|"," ",'CRM Dataset'!E19," ","|"," ",'CRM Dataset'!H19)</f>
        <v>CRM0016 | Peter ark | Hyderabad | Enterprise</v>
      </c>
      <c r="F19" s="143" t="str">
        <f>_xlfn.CONCAT("Joined:"," ",TEXT('CRM Dataset'!K19,"DD-MMM-YYYY"))</f>
        <v>Joined: 07-Aug-2022</v>
      </c>
      <c r="G19" s="143" t="str">
        <f>_xlfn.CONCAT("Rev:"," ",'CRM Dataset'!N19)</f>
        <v>Rev: 48511</v>
      </c>
      <c r="H19" s="143" t="str">
        <f t="shared" si="1"/>
        <v>CRM0016 -- Peter ark</v>
      </c>
    </row>
    <row r="20" ht="15.75" customHeight="1" spans="1:8">
      <c r="A20" s="98" t="s">
        <v>132</v>
      </c>
      <c r="B20" s="143" t="str">
        <f>LEFT(TRIM('CRM Dataset'!B20),5)</f>
        <v>Quinn</v>
      </c>
      <c r="C20" s="143" t="str">
        <f>RIGHT(TRIM('CRM Dataset'!B20),3)</f>
        <v>wis</v>
      </c>
      <c r="D20" s="143" t="str">
        <f t="shared" si="0"/>
        <v>Quinn wis</v>
      </c>
      <c r="E20" s="143" t="str">
        <f>_xlfn.CONCAT(A20," ","|"," ",D20," ","|"," ",'CRM Dataset'!E20," ","|"," ",'CRM Dataset'!H20)</f>
        <v>CRM0017 | Quinn wis | Ahmedabad | Pro</v>
      </c>
      <c r="F20" s="143" t="str">
        <f>_xlfn.CONCAT("Joined:"," ",TEXT('CRM Dataset'!K20,"DD-MMM-YYYY"))</f>
        <v>Joined: 23-Jul-2022</v>
      </c>
      <c r="G20" s="143" t="str">
        <f>_xlfn.CONCAT("Rev:"," ",'CRM Dataset'!N20)</f>
        <v>Rev: 132051</v>
      </c>
      <c r="H20" s="143" t="str">
        <f t="shared" si="1"/>
        <v>CRM0017 -- Quinn wis</v>
      </c>
    </row>
    <row r="21" ht="15.75" customHeight="1" spans="1:8">
      <c r="A21" s="102" t="s">
        <v>137</v>
      </c>
      <c r="B21" s="143" t="str">
        <f>LEFT(TRIM('CRM Dataset'!B21),5)</f>
        <v>Ryan </v>
      </c>
      <c r="C21" s="143" t="str">
        <f>RIGHT(TRIM('CRM Dataset'!B21),3)</f>
        <v>ker</v>
      </c>
      <c r="D21" s="143" t="str">
        <f t="shared" si="0"/>
        <v>Ryan  ker</v>
      </c>
      <c r="E21" s="143" t="str">
        <f>_xlfn.CONCAT(A21," ","|"," ",D21," ","|"," ",'CRM Dataset'!E21," ","|"," ",'CRM Dataset'!H21)</f>
        <v>CRM0018 | Ryan  ker | Jaipur | Pro</v>
      </c>
      <c r="F21" s="143" t="str">
        <f>_xlfn.CONCAT("Joined:"," ",TEXT('CRM Dataset'!K21,"DD-MMM-YYYY"))</f>
        <v>Joined: 20-Dec-2022</v>
      </c>
      <c r="G21" s="143" t="str">
        <f>_xlfn.CONCAT("Rev:"," ",'CRM Dataset'!N21)</f>
        <v>Rev: 147953</v>
      </c>
      <c r="H21" s="143" t="str">
        <f t="shared" si="1"/>
        <v>CRM0018 -- Ryan  ker</v>
      </c>
    </row>
    <row r="22" ht="15.75" customHeight="1" spans="1:8">
      <c r="A22" s="98" t="s">
        <v>142</v>
      </c>
      <c r="B22" s="143" t="str">
        <f>LEFT(TRIM('CRM Dataset'!B22),5)</f>
        <v>Sara </v>
      </c>
      <c r="C22" s="143" t="str">
        <f>RIGHT(TRIM('CRM Dataset'!B22),3)</f>
        <v>all</v>
      </c>
      <c r="D22" s="143" t="str">
        <f t="shared" si="0"/>
        <v>Sara  all</v>
      </c>
      <c r="E22" s="143" t="str">
        <f>_xlfn.CONCAT(A22," ","|"," ",D22," ","|"," ",'CRM Dataset'!E22," ","|"," ",'CRM Dataset'!H22)</f>
        <v>CRM0019 | Sara  all | Surat | Enterprise</v>
      </c>
      <c r="F22" s="143" t="str">
        <f>_xlfn.CONCAT("Joined:"," ",TEXT('CRM Dataset'!K22,"DD-MMM-YYYY"))</f>
        <v>Joined: 05-Jan-2023</v>
      </c>
      <c r="G22" s="143" t="str">
        <f>_xlfn.CONCAT("Rev:"," ",'CRM Dataset'!N22)</f>
        <v>Rev: 168856</v>
      </c>
      <c r="H22" s="143" t="str">
        <f t="shared" si="1"/>
        <v>CRM0019 -- Sara  all</v>
      </c>
    </row>
    <row r="23" ht="15.75" customHeight="1" spans="1:8">
      <c r="A23" s="102" t="s">
        <v>147</v>
      </c>
      <c r="B23" s="143" t="str">
        <f>LEFT(TRIM('CRM Dataset'!B23),5)</f>
        <v>Tom Y</v>
      </c>
      <c r="C23" s="143" t="str">
        <f>RIGHT(TRIM('CRM Dataset'!B23),3)</f>
        <v>ung</v>
      </c>
      <c r="D23" s="143" t="str">
        <f t="shared" si="0"/>
        <v>Tom Y ung</v>
      </c>
      <c r="E23" s="143" t="str">
        <f>_xlfn.CONCAT(A23," ","|"," ",D23," ","|"," ",'CRM Dataset'!E23," ","|"," ",'CRM Dataset'!H23)</f>
        <v>CRM0020 | Tom Y ung | Chennai | Pro</v>
      </c>
      <c r="F23" s="143" t="str">
        <f>_xlfn.CONCAT("Joined:"," ",TEXT('CRM Dataset'!K23,"DD-MMM-YYYY"))</f>
        <v>Joined: 18-Jun-2022</v>
      </c>
      <c r="G23" s="143" t="str">
        <f>_xlfn.CONCAT("Rev:"," ",'CRM Dataset'!N23)</f>
        <v>Rev: 197152</v>
      </c>
      <c r="H23" s="143" t="str">
        <f t="shared" si="1"/>
        <v>CRM0020 -- Tom Y ung</v>
      </c>
    </row>
    <row r="24" ht="15.75" customHeight="1" spans="1:8">
      <c r="A24" s="98" t="s">
        <v>152</v>
      </c>
      <c r="B24" s="143" t="str">
        <f>LEFT(TRIM('CRM Dataset'!B24),5)</f>
        <v>Uma S</v>
      </c>
      <c r="C24" s="143" t="str">
        <f>RIGHT(TRIM('CRM Dataset'!B24),3)</f>
        <v>ott</v>
      </c>
      <c r="D24" s="143" t="str">
        <f t="shared" si="0"/>
        <v>Uma S ott</v>
      </c>
      <c r="E24" s="143" t="str">
        <f>_xlfn.CONCAT(A24," ","|"," ",D24," ","|"," ",'CRM Dataset'!E24," ","|"," ",'CRM Dataset'!H24)</f>
        <v>CRM0021 | Uma S ott | Mumbai | Basic</v>
      </c>
      <c r="F24" s="143" t="str">
        <f>_xlfn.CONCAT("Joined:"," ",TEXT('CRM Dataset'!K24,"DD-MMM-YYYY"))</f>
        <v>Joined: 17-Sep-2021</v>
      </c>
      <c r="G24" s="143" t="str">
        <f>_xlfn.CONCAT("Rev:"," ",'CRM Dataset'!N24)</f>
        <v>Rev: 39798</v>
      </c>
      <c r="H24" s="143" t="str">
        <f t="shared" si="1"/>
        <v>CRM0021 -- Uma S ott</v>
      </c>
    </row>
    <row r="25" ht="15.75" customHeight="1" spans="1:8">
      <c r="A25" s="102" t="s">
        <v>157</v>
      </c>
      <c r="B25" s="143" t="str">
        <f>LEFT(TRIM('CRM Dataset'!B25),5)</f>
        <v>Victo</v>
      </c>
      <c r="C25" s="143" t="str">
        <f>RIGHT(TRIM('CRM Dataset'!B25),3)</f>
        <v>ing</v>
      </c>
      <c r="D25" s="143" t="str">
        <f t="shared" si="0"/>
        <v>Victo ing</v>
      </c>
      <c r="E25" s="143" t="str">
        <f>_xlfn.CONCAT(A25," ","|"," ",D25," ","|"," ",'CRM Dataset'!E25," ","|"," ",'CRM Dataset'!H25)</f>
        <v>CRM0022 | Victo ing | Pune | Enterprise</v>
      </c>
      <c r="F25" s="143" t="str">
        <f>_xlfn.CONCAT("Joined:"," ",TEXT('CRM Dataset'!K25,"DD-MMM-YYYY"))</f>
        <v>Joined: 01-Apr-2023</v>
      </c>
      <c r="G25" s="143" t="str">
        <f>_xlfn.CONCAT("Rev:"," ",'CRM Dataset'!N25)</f>
        <v>Rev: 90709</v>
      </c>
      <c r="H25" s="143" t="str">
        <f t="shared" si="1"/>
        <v>CRM0022 -- Victo ing</v>
      </c>
    </row>
    <row r="26" ht="15.75" customHeight="1" spans="1:8">
      <c r="A26" s="98" t="s">
        <v>162</v>
      </c>
      <c r="B26" s="143" t="str">
        <f>LEFT(TRIM('CRM Dataset'!B26),5)</f>
        <v>Wendy</v>
      </c>
      <c r="C26" s="143" t="str">
        <f>RIGHT(TRIM('CRM Dataset'!B26),3)</f>
        <v>ght</v>
      </c>
      <c r="D26" s="143" t="str">
        <f t="shared" si="0"/>
        <v>Wendy ght</v>
      </c>
      <c r="E26" s="143" t="str">
        <f>_xlfn.CONCAT(A26," ","|"," ",D26," ","|"," ",'CRM Dataset'!E26," ","|"," ",'CRM Dataset'!H26)</f>
        <v>CRM0023 | Wendy ght | Kolkata | Pro</v>
      </c>
      <c r="F26" s="143" t="str">
        <f>_xlfn.CONCAT("Joined:"," ",TEXT('CRM Dataset'!K26,"DD-MMM-YYYY"))</f>
        <v>Joined: 22-Feb-2023</v>
      </c>
      <c r="G26" s="143" t="str">
        <f>_xlfn.CONCAT("Rev:"," ",'CRM Dataset'!N26)</f>
        <v>Rev: 19305</v>
      </c>
      <c r="H26" s="143" t="str">
        <f t="shared" si="1"/>
        <v>CRM0023 -- Wendy ght</v>
      </c>
    </row>
    <row r="27" ht="15.75" customHeight="1" spans="1:8">
      <c r="A27" s="102" t="s">
        <v>167</v>
      </c>
      <c r="B27" s="143" t="str">
        <f>LEFT(TRIM('CRM Dataset'!B27),5)</f>
        <v>xande</v>
      </c>
      <c r="C27" s="143" t="str">
        <f>RIGHT(TRIM('CRM Dataset'!B27),3)</f>
        <v>pez</v>
      </c>
      <c r="D27" s="143" t="str">
        <f t="shared" si="0"/>
        <v>xande pez</v>
      </c>
      <c r="E27" s="143" t="str">
        <f>_xlfn.CONCAT(A27," ","|"," ",D27," ","|"," ",'CRM Dataset'!E27," ","|"," ",'CRM Dataset'!H27)</f>
        <v>CRM0024 | xande pez | Bangalore | Enterprise</v>
      </c>
      <c r="F27" s="143" t="str">
        <f>_xlfn.CONCAT("Joined:"," ",TEXT('CRM Dataset'!K27,"DD-MMM-YYYY"))</f>
        <v>Joined: 30-Jan-2021</v>
      </c>
      <c r="G27" s="143" t="str">
        <f>_xlfn.CONCAT("Rev:"," ",'CRM Dataset'!N27)</f>
        <v>Rev: 117886</v>
      </c>
      <c r="H27" s="143" t="str">
        <f t="shared" si="1"/>
        <v>CRM0024 -- xande pez</v>
      </c>
    </row>
    <row r="28" ht="15.75" customHeight="1" spans="1:8">
      <c r="A28" s="98" t="s">
        <v>172</v>
      </c>
      <c r="B28" s="143" t="str">
        <f>LEFT(TRIM('CRM Dataset'!B28),5)</f>
        <v>YARA </v>
      </c>
      <c r="C28" s="143" t="str">
        <f>RIGHT(TRIM('CRM Dataset'!B28),3)</f>
        <v>ILL</v>
      </c>
      <c r="D28" s="143" t="str">
        <f t="shared" si="0"/>
        <v>YARA  ILL</v>
      </c>
      <c r="E28" s="143" t="str">
        <f>_xlfn.CONCAT(A28," ","|"," ",D28," ","|"," ",'CRM Dataset'!E28," ","|"," ",'CRM Dataset'!H28)</f>
        <v>CRM0025 | YARA  ILL | Kolkata | Custom</v>
      </c>
      <c r="F28" s="143" t="str">
        <f>_xlfn.CONCAT("Joined:"," ",TEXT('CRM Dataset'!K28,"DD-MMM-YYYY"))</f>
        <v>Joined: 26-Aug-2022</v>
      </c>
      <c r="G28" s="143" t="str">
        <f>_xlfn.CONCAT("Rev:"," ",'CRM Dataset'!N28)</f>
        <v>Rev: 136586</v>
      </c>
      <c r="H28" s="143" t="str">
        <f t="shared" si="1"/>
        <v>CRM0025 -- YARA  ILL</v>
      </c>
    </row>
    <row r="29" ht="15.25"/>
    <row r="30" ht="25.5" customHeight="1" spans="1:8">
      <c r="A30" s="144" t="s">
        <v>199</v>
      </c>
      <c r="B30" s="144"/>
      <c r="C30" s="144"/>
      <c r="D30" s="144"/>
      <c r="E30" s="144"/>
      <c r="F30" s="144"/>
      <c r="G30" s="144"/>
      <c r="H30" s="144"/>
    </row>
    <row r="31" ht="27.75" customHeight="1" spans="1:8">
      <c r="A31" s="145" t="s">
        <v>345</v>
      </c>
      <c r="B31" s="145"/>
      <c r="C31" s="145"/>
      <c r="D31" s="107" t="s">
        <v>346</v>
      </c>
      <c r="E31" s="107"/>
      <c r="F31" s="107"/>
      <c r="G31" s="107"/>
    </row>
    <row r="32" ht="27.75" customHeight="1" spans="1:8">
      <c r="A32" s="145" t="s">
        <v>347</v>
      </c>
      <c r="B32" s="145"/>
      <c r="C32" s="145"/>
      <c r="D32" s="107" t="s">
        <v>348</v>
      </c>
      <c r="E32" s="107"/>
      <c r="F32" s="107"/>
      <c r="G32" s="107"/>
    </row>
    <row r="33" ht="27.75" customHeight="1" spans="1:7">
      <c r="A33" s="145" t="s">
        <v>349</v>
      </c>
      <c r="B33" s="145"/>
      <c r="C33" s="145"/>
      <c r="D33" s="107" t="s">
        <v>350</v>
      </c>
      <c r="E33" s="107"/>
      <c r="F33" s="107"/>
      <c r="G33" s="107"/>
    </row>
    <row r="34" ht="27.75" customHeight="1" spans="1:7">
      <c r="A34" s="145" t="s">
        <v>351</v>
      </c>
      <c r="B34" s="145"/>
      <c r="C34" s="145"/>
      <c r="D34" s="107" t="s">
        <v>352</v>
      </c>
      <c r="E34" s="107"/>
      <c r="F34" s="107"/>
      <c r="G34" s="107"/>
    </row>
    <row r="35" ht="27.75" customHeight="1" spans="1:7">
      <c r="A35" s="145" t="s">
        <v>353</v>
      </c>
      <c r="B35" s="145"/>
      <c r="C35" s="145"/>
      <c r="D35" s="107" t="s">
        <v>354</v>
      </c>
      <c r="E35" s="107"/>
      <c r="F35" s="107"/>
      <c r="G35" s="107"/>
    </row>
    <row r="36" ht="27.75" customHeight="1" spans="1:7">
      <c r="A36" s="145" t="s">
        <v>355</v>
      </c>
      <c r="B36" s="145"/>
      <c r="C36" s="145"/>
      <c r="D36" s="107" t="s">
        <v>356</v>
      </c>
      <c r="E36" s="107"/>
      <c r="F36" s="107"/>
      <c r="G36" s="107"/>
    </row>
    <row r="37" ht="27.75" customHeight="1" spans="1:7">
      <c r="A37" s="145" t="s">
        <v>357</v>
      </c>
      <c r="B37" s="145"/>
      <c r="C37" s="145"/>
      <c r="D37" s="107" t="s">
        <v>358</v>
      </c>
      <c r="E37" s="107"/>
      <c r="F37" s="107"/>
      <c r="G37" s="107"/>
    </row>
    <row r="38" ht="27.75" customHeight="1" spans="1:7">
      <c r="A38" s="145" t="s">
        <v>359</v>
      </c>
      <c r="B38" s="145"/>
      <c r="C38" s="145"/>
      <c r="D38" s="107" t="s">
        <v>360</v>
      </c>
      <c r="E38" s="107"/>
      <c r="F38" s="107"/>
      <c r="G38" s="107"/>
    </row>
    <row r="45" spans="1:7">
      <c r="A45" t="s">
        <v>314</v>
      </c>
      <c r="B45" t="s">
        <v>315</v>
      </c>
      <c r="C45" t="s">
        <v>18</v>
      </c>
      <c r="D45" t="s">
        <v>316</v>
      </c>
      <c r="E45" t="s">
        <v>317</v>
      </c>
      <c r="F45" t="s">
        <v>318</v>
      </c>
      <c r="G45" t="s">
        <v>319</v>
      </c>
    </row>
    <row r="46" spans="1:7">
      <c r="A46" t="s">
        <v>320</v>
      </c>
      <c r="B46" t="s">
        <v>321</v>
      </c>
      <c r="C46" t="s">
        <v>29</v>
      </c>
      <c r="D46" t="s">
        <v>322</v>
      </c>
      <c r="E46" t="s">
        <v>323</v>
      </c>
      <c r="F46" t="s">
        <v>324</v>
      </c>
      <c r="G46" t="s">
        <v>325</v>
      </c>
    </row>
    <row r="47" spans="1:7">
      <c r="A47" t="s">
        <v>326</v>
      </c>
      <c r="B47" t="s">
        <v>327</v>
      </c>
      <c r="C47" t="s">
        <v>229</v>
      </c>
      <c r="D47" t="s">
        <v>328</v>
      </c>
      <c r="E47" t="s">
        <v>329</v>
      </c>
      <c r="F47" t="s">
        <v>330</v>
      </c>
      <c r="G47" t="s">
        <v>331</v>
      </c>
    </row>
    <row r="48" spans="1:7">
      <c r="A48" t="s">
        <v>332</v>
      </c>
      <c r="B48" t="s">
        <v>333</v>
      </c>
      <c r="C48" t="s">
        <v>46</v>
      </c>
      <c r="D48" t="s">
        <v>334</v>
      </c>
      <c r="E48" t="s">
        <v>335</v>
      </c>
      <c r="F48" t="s">
        <v>336</v>
      </c>
      <c r="G48" t="s">
        <v>337</v>
      </c>
    </row>
    <row r="49" spans="1:7">
      <c r="A49" t="s">
        <v>338</v>
      </c>
      <c r="B49" t="s">
        <v>339</v>
      </c>
      <c r="C49" t="s">
        <v>340</v>
      </c>
      <c r="D49" t="s">
        <v>341</v>
      </c>
      <c r="E49" t="s">
        <v>342</v>
      </c>
      <c r="F49" t="s">
        <v>343</v>
      </c>
      <c r="G49" t="s">
        <v>344</v>
      </c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E6655"/>
  </sheetPr>
  <dimension ref="A1:L38"/>
  <sheetViews>
    <sheetView showGridLines="0" topLeftCell="C1" workbookViewId="0">
      <pane ySplit="3" topLeftCell="A4" activePane="bottomLeft" state="frozen"/>
      <selection/>
      <selection pane="bottomLeft" activeCell="G9" sqref="G9"/>
    </sheetView>
  </sheetViews>
  <sheetFormatPr defaultColWidth="8.66363636363636" defaultRowHeight="14.5"/>
  <cols>
    <col min="1" max="1" width="9" customWidth="1"/>
    <col min="2" max="2" width="14" customWidth="1"/>
    <col min="3" max="3" width="24.4454545454545" customWidth="1"/>
    <col min="4" max="4" width="16" customWidth="1"/>
    <col min="5" max="5" width="24.8909090909091" customWidth="1"/>
    <col min="6" max="7" width="18" customWidth="1"/>
    <col min="8" max="8" width="20" customWidth="1"/>
    <col min="11" max="11" width="23.3363636363636" customWidth="1"/>
  </cols>
  <sheetData>
    <row r="1" ht="37.5" customHeight="1" spans="1:12">
      <c r="A1" s="127" t="s">
        <v>361</v>
      </c>
      <c r="B1" s="127"/>
      <c r="C1" s="127"/>
      <c r="D1" s="127"/>
      <c r="E1" s="127"/>
      <c r="F1" s="127"/>
      <c r="G1" s="127"/>
      <c r="H1" s="127"/>
    </row>
    <row r="2" ht="30" customHeight="1" spans="1:12">
      <c r="A2" s="128" t="s">
        <v>362</v>
      </c>
      <c r="B2" s="128"/>
      <c r="C2" s="128"/>
      <c r="D2" s="128"/>
      <c r="E2" s="128"/>
      <c r="F2" s="128"/>
      <c r="G2" s="128"/>
      <c r="H2" s="128"/>
    </row>
    <row r="3" ht="21.75" customHeight="1" spans="1:12">
      <c r="A3" s="129" t="s">
        <v>2</v>
      </c>
      <c r="B3" s="129" t="s">
        <v>12</v>
      </c>
      <c r="C3" s="129" t="s">
        <v>363</v>
      </c>
      <c r="D3" s="129" t="s">
        <v>364</v>
      </c>
      <c r="E3" s="129" t="s">
        <v>365</v>
      </c>
      <c r="F3" s="129" t="s">
        <v>366</v>
      </c>
      <c r="G3" s="129" t="s">
        <v>367</v>
      </c>
      <c r="H3" s="129" t="s">
        <v>368</v>
      </c>
    </row>
    <row r="4" ht="15.75" customHeight="1" spans="1:12">
      <c r="A4" s="98" t="s">
        <v>17</v>
      </c>
      <c r="B4" s="112">
        <v>44451</v>
      </c>
      <c r="C4" s="130">
        <v>1643</v>
      </c>
      <c r="D4" s="131">
        <v>46094</v>
      </c>
      <c r="E4" s="132">
        <v>46094.7271944444</v>
      </c>
      <c r="F4" s="131">
        <v>44451</v>
      </c>
      <c r="G4" s="130">
        <v>-1403</v>
      </c>
      <c r="H4" s="130" t="s">
        <v>369</v>
      </c>
    </row>
    <row r="5" ht="15.75" customHeight="1" spans="1:12">
      <c r="A5" s="102" t="s">
        <v>28</v>
      </c>
      <c r="B5" s="115">
        <v>44895</v>
      </c>
      <c r="C5" s="133">
        <v>1199</v>
      </c>
      <c r="D5" s="134">
        <v>46094</v>
      </c>
      <c r="E5" s="135">
        <v>46094.7271944444</v>
      </c>
      <c r="F5" s="134">
        <v>44895</v>
      </c>
      <c r="G5" s="133">
        <v>-845</v>
      </c>
      <c r="H5" s="133" t="s">
        <v>369</v>
      </c>
    </row>
    <row r="6" ht="15.75" customHeight="1" spans="1:12">
      <c r="A6" s="98" t="s">
        <v>37</v>
      </c>
      <c r="B6" s="112">
        <v>44744</v>
      </c>
      <c r="C6" s="130">
        <v>1350</v>
      </c>
      <c r="D6" s="131">
        <v>46094</v>
      </c>
      <c r="E6" s="132">
        <v>46094.7271944444</v>
      </c>
      <c r="F6" s="131">
        <v>44744</v>
      </c>
      <c r="G6" s="130">
        <v>-972</v>
      </c>
      <c r="H6" s="130" t="s">
        <v>369</v>
      </c>
    </row>
    <row r="7" ht="15.75" customHeight="1" spans="1:12">
      <c r="A7" s="102" t="s">
        <v>45</v>
      </c>
      <c r="B7" s="115">
        <v>44378</v>
      </c>
      <c r="C7" s="133">
        <v>1716</v>
      </c>
      <c r="D7" s="134">
        <v>46094</v>
      </c>
      <c r="E7" s="135">
        <v>46094.7271944444</v>
      </c>
      <c r="F7" s="134">
        <v>44378</v>
      </c>
      <c r="G7" s="133">
        <v>-1051</v>
      </c>
      <c r="H7" s="133" t="s">
        <v>369</v>
      </c>
      <c r="K7" s="129" t="s">
        <v>367</v>
      </c>
      <c r="L7" t="s">
        <v>370</v>
      </c>
    </row>
    <row r="8" ht="15.75" customHeight="1" spans="1:12">
      <c r="A8" s="98" t="s">
        <v>54</v>
      </c>
      <c r="B8" s="112">
        <v>44534</v>
      </c>
      <c r="C8" s="130">
        <v>1560</v>
      </c>
      <c r="D8" s="131">
        <v>46094</v>
      </c>
      <c r="E8" s="132">
        <v>46094.7271944444</v>
      </c>
      <c r="F8" s="131">
        <v>44534</v>
      </c>
      <c r="G8" s="130">
        <v>-1094</v>
      </c>
      <c r="H8" s="130" t="s">
        <v>369</v>
      </c>
    </row>
    <row r="9" ht="15.75" customHeight="1" spans="1:12">
      <c r="A9" s="102" t="s">
        <v>60</v>
      </c>
      <c r="B9" s="115">
        <v>45081</v>
      </c>
      <c r="C9" s="133">
        <v>1013</v>
      </c>
      <c r="D9" s="134">
        <v>46094</v>
      </c>
      <c r="E9" s="135">
        <v>46094.7271944444</v>
      </c>
      <c r="F9" s="134">
        <v>45081</v>
      </c>
      <c r="G9" s="133">
        <v>89</v>
      </c>
      <c r="H9" s="133" t="s">
        <v>25</v>
      </c>
      <c r="K9" s="129" t="s">
        <v>368</v>
      </c>
      <c r="L9" t="s">
        <v>371</v>
      </c>
    </row>
    <row r="10" ht="15.75" customHeight="1" spans="1:12">
      <c r="A10" s="98" t="s">
        <v>70</v>
      </c>
      <c r="B10" s="112">
        <v>44708</v>
      </c>
      <c r="C10" s="130">
        <v>1386</v>
      </c>
      <c r="D10" s="131">
        <v>46094</v>
      </c>
      <c r="E10" s="132">
        <v>46094.7271944444</v>
      </c>
      <c r="F10" s="131">
        <v>44708</v>
      </c>
      <c r="G10" s="130">
        <v>-956</v>
      </c>
      <c r="H10" s="130" t="s">
        <v>369</v>
      </c>
      <c r="L10" s="136" t="s">
        <v>372</v>
      </c>
    </row>
    <row r="11" ht="15.75" customHeight="1" spans="1:12">
      <c r="A11" s="102" t="s">
        <v>79</v>
      </c>
      <c r="B11" s="115">
        <v>44605</v>
      </c>
      <c r="C11" s="133">
        <v>1489</v>
      </c>
      <c r="D11" s="134">
        <v>46094</v>
      </c>
      <c r="E11" s="135">
        <v>46094.7271944444</v>
      </c>
      <c r="F11" s="134">
        <v>44605</v>
      </c>
      <c r="G11" s="133">
        <v>-822</v>
      </c>
      <c r="H11" s="133" t="s">
        <v>369</v>
      </c>
      <c r="L11" s="136" t="s">
        <v>373</v>
      </c>
    </row>
    <row r="12" ht="15.75" customHeight="1" spans="1:12">
      <c r="A12" s="98" t="s">
        <v>85</v>
      </c>
      <c r="B12" s="112">
        <v>44305</v>
      </c>
      <c r="C12" s="130">
        <f>_xlfn.DAYS('CRM Dataset'!M9,'CRM Dataset'!K9)</f>
        <v>1102</v>
      </c>
      <c r="D12" s="131">
        <f ca="1">TODAY()-'CRM Dataset'!K9</f>
        <v>1177</v>
      </c>
      <c r="E12" s="132">
        <f ca="1">NOW()</f>
        <v>46258.5626851852</v>
      </c>
      <c r="F12" s="131">
        <f>DATE(2023,-6,-4)</f>
        <v>44708</v>
      </c>
      <c r="G12" s="130">
        <f>_xlfn.DAYS('CRM Dataset'!L9,'CRM Dataset'!K9)</f>
        <v>765</v>
      </c>
      <c r="H12" s="130" t="str">
        <f ca="1">IF('CRM Dataset'!M9&lt;TODAY(),"Expired","Active")</f>
        <v>Expired</v>
      </c>
      <c r="L12" s="136" t="s">
        <v>374</v>
      </c>
    </row>
    <row r="13" ht="15.75" customHeight="1" spans="1:12">
      <c r="A13" s="102" t="s">
        <v>92</v>
      </c>
      <c r="B13" s="115">
        <v>45004</v>
      </c>
      <c r="C13" s="130">
        <f>_xlfn.DAYS('CRM Dataset'!M10,'CRM Dataset'!K10)</f>
        <v>430</v>
      </c>
      <c r="D13" s="131">
        <f ca="1">TODAY()-'CRM Dataset'!K10</f>
        <v>1550</v>
      </c>
      <c r="E13" s="132">
        <f ca="1" t="shared" ref="E13:E22" si="0">NOW()</f>
        <v>46258.5626851852</v>
      </c>
      <c r="F13" s="131">
        <f t="shared" ref="F13:F22" si="1">DATE(2023,-6,-4)</f>
        <v>44708</v>
      </c>
      <c r="G13" s="130">
        <f>_xlfn.DAYS('CRM Dataset'!L10,'CRM Dataset'!K10)</f>
        <v>269</v>
      </c>
      <c r="H13" s="130" t="str">
        <f ca="1">IF('CRM Dataset'!M10&lt;TODAY(),"Expired","Active")</f>
        <v>Expired</v>
      </c>
    </row>
    <row r="14" ht="15.75" customHeight="1" spans="1:12">
      <c r="A14" s="98" t="s">
        <v>97</v>
      </c>
      <c r="B14" s="112">
        <v>44399</v>
      </c>
      <c r="C14" s="130">
        <f>_xlfn.DAYS('CRM Dataset'!M11,'CRM Dataset'!K11)</f>
        <v>667</v>
      </c>
      <c r="D14" s="131">
        <f ca="1">TODAY()-'CRM Dataset'!K11</f>
        <v>1653</v>
      </c>
      <c r="E14" s="132">
        <f ca="1" t="shared" si="0"/>
        <v>46258.5626851852</v>
      </c>
      <c r="F14" s="131">
        <f t="shared" si="1"/>
        <v>44708</v>
      </c>
      <c r="G14" s="130">
        <f>_xlfn.DAYS('CRM Dataset'!L11,'CRM Dataset'!K11)</f>
        <v>425</v>
      </c>
      <c r="H14" s="130" t="str">
        <f ca="1">IF('CRM Dataset'!M11&lt;TODAY(),"Expired","Active")</f>
        <v>Expired</v>
      </c>
      <c r="L14" s="136"/>
    </row>
    <row r="15" ht="15.75" customHeight="1" spans="1:12">
      <c r="A15" s="102" t="s">
        <v>103</v>
      </c>
      <c r="B15" s="115">
        <v>44741</v>
      </c>
      <c r="C15" s="130">
        <f>_xlfn.DAYS('CRM Dataset'!M12,'CRM Dataset'!K12)</f>
        <v>924</v>
      </c>
      <c r="D15" s="131">
        <f ca="1">TODAY()-'CRM Dataset'!K12</f>
        <v>1953</v>
      </c>
      <c r="E15" s="132">
        <f ca="1" t="shared" si="0"/>
        <v>46258.5626851852</v>
      </c>
      <c r="F15" s="131">
        <f t="shared" si="1"/>
        <v>44708</v>
      </c>
      <c r="G15" s="130">
        <f>_xlfn.DAYS('CRM Dataset'!L12,'CRM Dataset'!K12)</f>
        <v>734</v>
      </c>
      <c r="H15" s="130" t="str">
        <f ca="1">IF('CRM Dataset'!M12&lt;TODAY(),"Expired","Active")</f>
        <v>Expired</v>
      </c>
    </row>
    <row r="16" ht="15.75" customHeight="1" spans="1:12">
      <c r="A16" s="98" t="s">
        <v>109</v>
      </c>
      <c r="B16" s="112">
        <v>44304</v>
      </c>
      <c r="C16" s="130">
        <f>_xlfn.DAYS('CRM Dataset'!M13,'CRM Dataset'!K13)</f>
        <v>821</v>
      </c>
      <c r="D16" s="131">
        <f ca="1">TODAY()-'CRM Dataset'!K13</f>
        <v>1254</v>
      </c>
      <c r="E16" s="132">
        <f ca="1" t="shared" si="0"/>
        <v>46258.5626851852</v>
      </c>
      <c r="F16" s="131">
        <f t="shared" si="1"/>
        <v>44708</v>
      </c>
      <c r="G16" s="130">
        <f>_xlfn.DAYS('CRM Dataset'!L13,'CRM Dataset'!K13)</f>
        <v>518</v>
      </c>
      <c r="H16" s="130" t="str">
        <f ca="1">IF('CRM Dataset'!M13&lt;TODAY(),"Expired","Active")</f>
        <v>Expired</v>
      </c>
    </row>
    <row r="17" ht="15.75" customHeight="1" spans="1:8">
      <c r="A17" s="102" t="s">
        <v>115</v>
      </c>
      <c r="B17" s="115">
        <v>44468</v>
      </c>
      <c r="C17" s="130">
        <f>_xlfn.DAYS('CRM Dataset'!M14,'CRM Dataset'!K14)</f>
        <v>415</v>
      </c>
      <c r="D17" s="131">
        <f ca="1">TODAY()-'CRM Dataset'!K14</f>
        <v>1859</v>
      </c>
      <c r="E17" s="132">
        <f ca="1" t="shared" si="0"/>
        <v>46258.5626851852</v>
      </c>
      <c r="F17" s="131">
        <f t="shared" si="1"/>
        <v>44708</v>
      </c>
      <c r="G17" s="130">
        <f>_xlfn.DAYS('CRM Dataset'!L14,'CRM Dataset'!K14)</f>
        <v>383</v>
      </c>
      <c r="H17" s="130" t="str">
        <f ca="1">IF('CRM Dataset'!M14&lt;TODAY(),"Expired","Active")</f>
        <v>Expired</v>
      </c>
    </row>
    <row r="18" ht="15.75" customHeight="1" spans="1:8">
      <c r="A18" s="98" t="s">
        <v>120</v>
      </c>
      <c r="B18" s="112">
        <v>44687</v>
      </c>
      <c r="C18" s="130">
        <f>_xlfn.DAYS('CRM Dataset'!M15,'CRM Dataset'!K15)</f>
        <v>267</v>
      </c>
      <c r="D18" s="131">
        <f ca="1">TODAY()-'CRM Dataset'!K15</f>
        <v>1517</v>
      </c>
      <c r="E18" s="132">
        <f ca="1" t="shared" si="0"/>
        <v>46258.5626851852</v>
      </c>
      <c r="F18" s="131">
        <f t="shared" si="1"/>
        <v>44708</v>
      </c>
      <c r="G18" s="130">
        <f>_xlfn.DAYS('CRM Dataset'!L15,'CRM Dataset'!K15)</f>
        <v>237</v>
      </c>
      <c r="H18" s="130" t="str">
        <f ca="1">IF('CRM Dataset'!M15&lt;TODAY(),"Expired","Active")</f>
        <v>Expired</v>
      </c>
    </row>
    <row r="19" ht="15.75" customHeight="1" spans="1:8">
      <c r="A19" s="102" t="s">
        <v>127</v>
      </c>
      <c r="B19" s="115">
        <v>44780</v>
      </c>
      <c r="C19" s="130">
        <f>_xlfn.DAYS('CRM Dataset'!M16,'CRM Dataset'!K16)</f>
        <v>412</v>
      </c>
      <c r="D19" s="131">
        <f ca="1">TODAY()-'CRM Dataset'!K16</f>
        <v>1954</v>
      </c>
      <c r="E19" s="132">
        <f ca="1" t="shared" si="0"/>
        <v>46258.5626851852</v>
      </c>
      <c r="F19" s="131">
        <f t="shared" si="1"/>
        <v>44708</v>
      </c>
      <c r="G19" s="130">
        <f>_xlfn.DAYS('CRM Dataset'!L16,'CRM Dataset'!K16)</f>
        <v>344</v>
      </c>
      <c r="H19" s="130" t="str">
        <f ca="1">IF('CRM Dataset'!M16&lt;TODAY(),"Expired","Active")</f>
        <v>Expired</v>
      </c>
    </row>
    <row r="20" ht="15.75" customHeight="1" spans="1:8">
      <c r="A20" s="98" t="s">
        <v>132</v>
      </c>
      <c r="B20" s="112">
        <v>44765</v>
      </c>
      <c r="C20" s="130">
        <f>_xlfn.DAYS('CRM Dataset'!M17,'CRM Dataset'!K17)</f>
        <v>699</v>
      </c>
      <c r="D20" s="131">
        <f ca="1">TODAY()-'CRM Dataset'!K17</f>
        <v>1790</v>
      </c>
      <c r="E20" s="132">
        <f ca="1" t="shared" si="0"/>
        <v>46258.5626851852</v>
      </c>
      <c r="F20" s="131">
        <f t="shared" si="1"/>
        <v>44708</v>
      </c>
      <c r="G20" s="130">
        <f>_xlfn.DAYS('CRM Dataset'!L17,'CRM Dataset'!K17)</f>
        <v>501</v>
      </c>
      <c r="H20" s="130" t="str">
        <f ca="1">IF('CRM Dataset'!M17&lt;TODAY(),"Expired","Active")</f>
        <v>Expired</v>
      </c>
    </row>
    <row r="21" ht="15.75" customHeight="1" spans="1:8">
      <c r="A21" s="102" t="s">
        <v>137</v>
      </c>
      <c r="B21" s="115">
        <v>44915</v>
      </c>
      <c r="C21" s="130">
        <f>_xlfn.DAYS('CRM Dataset'!M18,'CRM Dataset'!K18)</f>
        <v>966</v>
      </c>
      <c r="D21" s="131">
        <f ca="1">TODAY()-'CRM Dataset'!K18</f>
        <v>1571</v>
      </c>
      <c r="E21" s="132">
        <f ca="1" t="shared" si="0"/>
        <v>46258.5626851852</v>
      </c>
      <c r="F21" s="131">
        <f t="shared" si="1"/>
        <v>44708</v>
      </c>
      <c r="G21" s="130">
        <f>_xlfn.DAYS('CRM Dataset'!L18,'CRM Dataset'!K18)</f>
        <v>616</v>
      </c>
      <c r="H21" s="130" t="str">
        <f ca="1">IF('CRM Dataset'!M18&lt;TODAY(),"Expired","Active")</f>
        <v>Expired</v>
      </c>
    </row>
    <row r="22" ht="15.75" customHeight="1" spans="1:8">
      <c r="A22" s="98" t="s">
        <v>142</v>
      </c>
      <c r="B22" s="112">
        <v>44931</v>
      </c>
      <c r="C22" s="130">
        <f>_xlfn.DAYS('CRM Dataset'!M19,'CRM Dataset'!K19)</f>
        <v>1028</v>
      </c>
      <c r="D22" s="131">
        <f ca="1">TODAY()-'CRM Dataset'!K19</f>
        <v>1478</v>
      </c>
      <c r="E22" s="132">
        <f ca="1" t="shared" si="0"/>
        <v>46258.5626851852</v>
      </c>
      <c r="F22" s="131">
        <f t="shared" si="1"/>
        <v>44708</v>
      </c>
      <c r="G22" s="130">
        <f>_xlfn.DAYS('CRM Dataset'!L19,'CRM Dataset'!K19)</f>
        <v>726</v>
      </c>
      <c r="H22" s="130" t="str">
        <f ca="1">IF('CRM Dataset'!M19&lt;TODAY(),"Expired","Active")</f>
        <v>Expired</v>
      </c>
    </row>
    <row r="23" ht="15.75" customHeight="1" spans="1:8">
      <c r="A23" s="102" t="s">
        <v>147</v>
      </c>
      <c r="B23" s="115">
        <v>44730</v>
      </c>
      <c r="C23" s="130">
        <f>_xlfn.DAYS('CRM Dataset'!M20,'CRM Dataset'!K20)</f>
        <v>440</v>
      </c>
      <c r="D23" s="131">
        <f ca="1">TODAY()-'CRM Dataset'!K20</f>
        <v>1493</v>
      </c>
      <c r="E23" s="132">
        <f ca="1" t="shared" ref="E23:E28" si="2">NOW()</f>
        <v>46258.5626851852</v>
      </c>
      <c r="F23" s="131">
        <f t="shared" ref="F23:F28" si="3">DATE(2023,-6,-4)</f>
        <v>44708</v>
      </c>
      <c r="G23" s="130">
        <f>_xlfn.DAYS('CRM Dataset'!L20,'CRM Dataset'!K20)</f>
        <v>329</v>
      </c>
      <c r="H23" s="130" t="str">
        <f ca="1">IF('CRM Dataset'!M20&lt;TODAY(),"Expired","Active")</f>
        <v>Expired</v>
      </c>
    </row>
    <row r="24" ht="15.75" customHeight="1" spans="1:8">
      <c r="A24" s="98" t="s">
        <v>152</v>
      </c>
      <c r="B24" s="112">
        <v>44456</v>
      </c>
      <c r="C24" s="130">
        <f>_xlfn.DAYS('CRM Dataset'!M21,'CRM Dataset'!K21)</f>
        <v>756</v>
      </c>
      <c r="D24" s="131">
        <f ca="1">TODAY()-'CRM Dataset'!K21</f>
        <v>1343</v>
      </c>
      <c r="E24" s="132">
        <f ca="1" t="shared" si="2"/>
        <v>46258.5626851852</v>
      </c>
      <c r="F24" s="131">
        <f t="shared" si="3"/>
        <v>44708</v>
      </c>
      <c r="G24" s="130">
        <f>_xlfn.DAYS('CRM Dataset'!L21,'CRM Dataset'!K21)</f>
        <v>392</v>
      </c>
      <c r="H24" s="130" t="str">
        <f ca="1">IF('CRM Dataset'!M21&lt;TODAY(),"Expired","Active")</f>
        <v>Expired</v>
      </c>
    </row>
    <row r="25" ht="15.75" customHeight="1" spans="1:8">
      <c r="A25" s="102" t="s">
        <v>157</v>
      </c>
      <c r="B25" s="115">
        <v>45017</v>
      </c>
      <c r="C25" s="130">
        <f>_xlfn.DAYS('CRM Dataset'!M22,'CRM Dataset'!K22)</f>
        <v>611</v>
      </c>
      <c r="D25" s="131">
        <f ca="1">TODAY()-'CRM Dataset'!K22</f>
        <v>1327</v>
      </c>
      <c r="E25" s="132">
        <f ca="1" t="shared" si="2"/>
        <v>46258.5626851852</v>
      </c>
      <c r="F25" s="131">
        <f t="shared" si="3"/>
        <v>44708</v>
      </c>
      <c r="G25" s="130">
        <f>_xlfn.DAYS('CRM Dataset'!L22,'CRM Dataset'!K22)</f>
        <v>267</v>
      </c>
      <c r="H25" s="130" t="str">
        <f ca="1">IF('CRM Dataset'!M22&lt;TODAY(),"Expired","Active")</f>
        <v>Expired</v>
      </c>
    </row>
    <row r="26" ht="15.75" customHeight="1" spans="1:8">
      <c r="A26" s="98" t="s">
        <v>162</v>
      </c>
      <c r="B26" s="112">
        <v>44979</v>
      </c>
      <c r="C26" s="130">
        <f>_xlfn.DAYS('CRM Dataset'!M23,'CRM Dataset'!K23)</f>
        <v>814</v>
      </c>
      <c r="D26" s="131">
        <f ca="1">TODAY()-'CRM Dataset'!K23</f>
        <v>1528</v>
      </c>
      <c r="E26" s="132">
        <f ca="1" t="shared" si="2"/>
        <v>46258.5626851852</v>
      </c>
      <c r="F26" s="131">
        <f t="shared" si="3"/>
        <v>44708</v>
      </c>
      <c r="G26" s="130">
        <f>_xlfn.DAYS('CRM Dataset'!L23,'CRM Dataset'!K23)</f>
        <v>778</v>
      </c>
      <c r="H26" s="130" t="str">
        <f ca="1">IF('CRM Dataset'!M23&lt;TODAY(),"Expired","Active")</f>
        <v>Expired</v>
      </c>
    </row>
    <row r="27" ht="15.75" customHeight="1" spans="1:8">
      <c r="A27" s="102" t="s">
        <v>167</v>
      </c>
      <c r="B27" s="115">
        <v>44226</v>
      </c>
      <c r="C27" s="130">
        <f>_xlfn.DAYS('CRM Dataset'!M24,'CRM Dataset'!K24)</f>
        <v>681</v>
      </c>
      <c r="D27" s="131">
        <f ca="1">TODAY()-'CRM Dataset'!K24</f>
        <v>1802</v>
      </c>
      <c r="E27" s="132">
        <f ca="1" t="shared" si="2"/>
        <v>46258.5626851852</v>
      </c>
      <c r="F27" s="131">
        <f t="shared" si="3"/>
        <v>44708</v>
      </c>
      <c r="G27" s="130">
        <f>_xlfn.DAYS('CRM Dataset'!L24,'CRM Dataset'!K24)</f>
        <v>350</v>
      </c>
      <c r="H27" s="130" t="str">
        <f ca="1">IF('CRM Dataset'!M24&lt;TODAY(),"Expired","Active")</f>
        <v>Expired</v>
      </c>
    </row>
    <row r="28" ht="15.75" customHeight="1" spans="1:8">
      <c r="A28" s="98" t="s">
        <v>172</v>
      </c>
      <c r="B28" s="112">
        <v>44799</v>
      </c>
      <c r="C28" s="130">
        <f>_xlfn.DAYS('CRM Dataset'!M25,'CRM Dataset'!K25)</f>
        <v>154</v>
      </c>
      <c r="D28" s="131">
        <f ca="1">TODAY()-'CRM Dataset'!K25</f>
        <v>1241</v>
      </c>
      <c r="E28" s="132">
        <f ca="1" t="shared" si="2"/>
        <v>46258.5626851852</v>
      </c>
      <c r="F28" s="131">
        <f t="shared" si="3"/>
        <v>44708</v>
      </c>
      <c r="G28" s="130">
        <f>_xlfn.DAYS('CRM Dataset'!L25,'CRM Dataset'!K25)</f>
        <v>104</v>
      </c>
      <c r="H28" s="130" t="str">
        <f ca="1">IF('CRM Dataset'!M25&lt;TODAY(),"Expired","Active")</f>
        <v>Expired</v>
      </c>
    </row>
    <row r="29" ht="15.25"/>
    <row r="30" ht="25.5" customHeight="1" spans="1:8">
      <c r="A30" s="137" t="s">
        <v>199</v>
      </c>
      <c r="B30" s="137"/>
      <c r="C30" s="137"/>
      <c r="D30" s="137"/>
      <c r="E30" s="137"/>
      <c r="F30" s="137"/>
      <c r="G30" s="137"/>
      <c r="H30" s="137"/>
    </row>
    <row r="31" ht="27.75" customHeight="1" spans="1:8">
      <c r="A31" s="138" t="s">
        <v>375</v>
      </c>
      <c r="B31" s="138"/>
      <c r="C31" s="138"/>
      <c r="D31" s="107" t="s">
        <v>376</v>
      </c>
      <c r="E31" s="107"/>
      <c r="F31" s="107"/>
      <c r="G31" s="107"/>
    </row>
    <row r="32" ht="27.75" customHeight="1" spans="1:8">
      <c r="A32" s="138" t="s">
        <v>377</v>
      </c>
      <c r="B32" s="138"/>
      <c r="C32" s="138"/>
      <c r="D32" s="107" t="s">
        <v>378</v>
      </c>
      <c r="E32" s="107"/>
      <c r="F32" s="107"/>
      <c r="G32" s="107"/>
    </row>
    <row r="33" ht="27.75" customHeight="1" spans="1:7">
      <c r="A33" s="138" t="s">
        <v>379</v>
      </c>
      <c r="B33" s="138"/>
      <c r="C33" s="138"/>
      <c r="D33" s="107" t="s">
        <v>380</v>
      </c>
      <c r="E33" s="107"/>
      <c r="F33" s="107"/>
      <c r="G33" s="107"/>
    </row>
    <row r="34" ht="27.75" customHeight="1" spans="1:7">
      <c r="A34" s="138" t="s">
        <v>381</v>
      </c>
      <c r="B34" s="138"/>
      <c r="C34" s="138"/>
      <c r="D34" s="107" t="s">
        <v>382</v>
      </c>
      <c r="E34" s="107"/>
      <c r="F34" s="107"/>
      <c r="G34" s="107"/>
    </row>
    <row r="35" ht="27.75" customHeight="1" spans="1:7">
      <c r="A35" s="138" t="s">
        <v>383</v>
      </c>
      <c r="B35" s="138"/>
      <c r="C35" s="138"/>
      <c r="D35" s="107" t="s">
        <v>384</v>
      </c>
      <c r="E35" s="107"/>
      <c r="F35" s="107"/>
      <c r="G35" s="107"/>
    </row>
    <row r="36" ht="27.75" customHeight="1" spans="1:7">
      <c r="A36" s="138" t="s">
        <v>385</v>
      </c>
      <c r="B36" s="138"/>
      <c r="C36" s="138"/>
      <c r="D36" s="107" t="s">
        <v>386</v>
      </c>
      <c r="E36" s="107"/>
      <c r="F36" s="107"/>
      <c r="G36" s="107"/>
    </row>
    <row r="37" ht="27.75" customHeight="1" spans="1:7">
      <c r="A37" s="138" t="s">
        <v>387</v>
      </c>
      <c r="B37" s="138"/>
      <c r="C37" s="138"/>
      <c r="D37" s="107" t="s">
        <v>388</v>
      </c>
      <c r="E37" s="107"/>
      <c r="F37" s="107"/>
      <c r="G37" s="107"/>
    </row>
    <row r="38" ht="27.75" customHeight="1" spans="1:7">
      <c r="A38" s="138" t="s">
        <v>389</v>
      </c>
      <c r="B38" s="138"/>
      <c r="C38" s="138"/>
      <c r="D38" s="107" t="s">
        <v>390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83593"/>
  </sheetPr>
  <dimension ref="A1:H38"/>
  <sheetViews>
    <sheetView showGridLines="0" workbookViewId="0">
      <pane ySplit="3" topLeftCell="A4" activePane="bottomLeft" state="frozen"/>
      <selection/>
      <selection pane="bottomLeft" activeCell="I9" sqref="I9"/>
    </sheetView>
  </sheetViews>
  <sheetFormatPr defaultColWidth="8.66363636363636" defaultRowHeight="14.5" outlineLevelCol="7"/>
  <cols>
    <col min="1" max="1" width="9" customWidth="1"/>
    <col min="2" max="2" width="14" customWidth="1"/>
    <col min="3" max="5" width="9" customWidth="1"/>
    <col min="6" max="6" width="18.7818181818182" customWidth="1"/>
    <col min="7" max="7" width="14" customWidth="1"/>
    <col min="8" max="8" width="16" customWidth="1"/>
  </cols>
  <sheetData>
    <row r="1" ht="37.5" customHeight="1" spans="1:8">
      <c r="A1" s="120" t="s">
        <v>391</v>
      </c>
      <c r="B1" s="120"/>
      <c r="C1" s="120"/>
      <c r="D1" s="120"/>
      <c r="E1" s="120"/>
      <c r="F1" s="120"/>
      <c r="G1" s="120"/>
      <c r="H1" s="120"/>
    </row>
    <row r="2" ht="30" customHeight="1" spans="1:8">
      <c r="A2" s="121" t="s">
        <v>392</v>
      </c>
      <c r="B2" s="121"/>
      <c r="C2" s="121"/>
      <c r="D2" s="121"/>
      <c r="E2" s="121"/>
      <c r="F2" s="121"/>
      <c r="G2" s="121"/>
      <c r="H2" s="121"/>
    </row>
    <row r="3" ht="21.75" customHeight="1" spans="1:8">
      <c r="A3" s="122" t="s">
        <v>2</v>
      </c>
      <c r="B3" s="122" t="s">
        <v>12</v>
      </c>
      <c r="C3" s="122" t="s">
        <v>393</v>
      </c>
      <c r="D3" s="122" t="s">
        <v>394</v>
      </c>
      <c r="E3" s="122" t="s">
        <v>395</v>
      </c>
      <c r="F3" s="122" t="s">
        <v>396</v>
      </c>
      <c r="G3" s="122" t="s">
        <v>397</v>
      </c>
      <c r="H3" s="122" t="s">
        <v>398</v>
      </c>
    </row>
    <row r="4" ht="15.75" customHeight="1" spans="1:8">
      <c r="A4" s="98" t="s">
        <v>17</v>
      </c>
      <c r="B4" s="112">
        <v>44451</v>
      </c>
      <c r="C4" s="123">
        <v>2021</v>
      </c>
      <c r="D4" s="123">
        <v>9</v>
      </c>
      <c r="E4" s="123">
        <v>12</v>
      </c>
      <c r="F4" s="123">
        <v>7</v>
      </c>
      <c r="G4" s="123">
        <v>37</v>
      </c>
      <c r="H4" s="123" t="s">
        <v>399</v>
      </c>
    </row>
    <row r="5" ht="15.75" customHeight="1" spans="1:8">
      <c r="A5" s="102" t="s">
        <v>28</v>
      </c>
      <c r="B5" s="115">
        <v>44895</v>
      </c>
      <c r="C5" s="124">
        <v>2022</v>
      </c>
      <c r="D5" s="124">
        <v>11</v>
      </c>
      <c r="E5" s="124">
        <v>30</v>
      </c>
      <c r="F5" s="124">
        <v>3</v>
      </c>
      <c r="G5" s="124">
        <v>49</v>
      </c>
      <c r="H5" s="124" t="s">
        <v>400</v>
      </c>
    </row>
    <row r="6" ht="15.75" customHeight="1" spans="1:8">
      <c r="A6" s="98" t="s">
        <v>37</v>
      </c>
      <c r="B6" s="112">
        <v>44744</v>
      </c>
      <c r="C6" s="123">
        <v>2022</v>
      </c>
      <c r="D6" s="123">
        <v>7</v>
      </c>
      <c r="E6" s="123">
        <v>2</v>
      </c>
      <c r="F6" s="123">
        <v>6</v>
      </c>
      <c r="G6" s="123">
        <v>27</v>
      </c>
      <c r="H6" s="123" t="s">
        <v>401</v>
      </c>
    </row>
    <row r="7" ht="15.75" customHeight="1" spans="1:8">
      <c r="A7" s="102" t="s">
        <v>45</v>
      </c>
      <c r="B7" s="115">
        <v>44378</v>
      </c>
      <c r="C7" s="124">
        <v>2021</v>
      </c>
      <c r="D7" s="124">
        <v>7</v>
      </c>
      <c r="E7" s="124">
        <v>1</v>
      </c>
      <c r="F7" s="124">
        <v>4</v>
      </c>
      <c r="G7" s="124">
        <v>27</v>
      </c>
      <c r="H7" s="124" t="s">
        <v>399</v>
      </c>
    </row>
    <row r="8" ht="15.75" customHeight="1" spans="1:8">
      <c r="A8" s="98" t="s">
        <v>54</v>
      </c>
      <c r="B8" s="112">
        <v>44534</v>
      </c>
      <c r="C8" s="123">
        <f>YEAR(B8)</f>
        <v>2021</v>
      </c>
      <c r="D8" s="123">
        <f>MONTH(B8)</f>
        <v>12</v>
      </c>
      <c r="E8" s="123">
        <f>DAY(B8)</f>
        <v>4</v>
      </c>
      <c r="F8" s="123">
        <f>WEEKDAY(B8)</f>
        <v>7</v>
      </c>
      <c r="G8" s="123">
        <f>WEEKNUM(B8,2)</f>
        <v>49</v>
      </c>
      <c r="H8" s="123" t="str">
        <f>_xlfn.CONCAT("Q",INT((MONTH(B8)-1)/3)+1,"-",YEAR(B8))</f>
        <v>Q4-2021</v>
      </c>
    </row>
    <row r="9" ht="15.75" customHeight="1" spans="1:8">
      <c r="A9" s="102" t="s">
        <v>60</v>
      </c>
      <c r="B9" s="115">
        <v>45081</v>
      </c>
      <c r="C9" s="123">
        <f t="shared" ref="C9:C28" si="0">YEAR(B9)</f>
        <v>2023</v>
      </c>
      <c r="D9" s="123">
        <f t="shared" ref="D9:D28" si="1">MONTH(B9)</f>
        <v>6</v>
      </c>
      <c r="E9" s="123">
        <f t="shared" ref="E9:E28" si="2">DAY(B9)</f>
        <v>4</v>
      </c>
      <c r="F9" s="123">
        <f t="shared" ref="F9:F28" si="3">WEEKDAY(B9)</f>
        <v>1</v>
      </c>
      <c r="G9" s="123">
        <f t="shared" ref="G9:G28" si="4">WEEKNUM(B9,2)</f>
        <v>23</v>
      </c>
      <c r="H9" s="123" t="str">
        <f t="shared" ref="H9:H28" si="5">_xlfn.CONCAT("Q",INT((MONTH(B9)-1)/3)+1,"-",YEAR(B9))</f>
        <v>Q2-2023</v>
      </c>
    </row>
    <row r="10" ht="15.75" customHeight="1" spans="1:8">
      <c r="A10" s="98" t="s">
        <v>70</v>
      </c>
      <c r="B10" s="112">
        <v>44708</v>
      </c>
      <c r="C10" s="123">
        <f t="shared" si="0"/>
        <v>2022</v>
      </c>
      <c r="D10" s="123">
        <f t="shared" si="1"/>
        <v>5</v>
      </c>
      <c r="E10" s="123">
        <f t="shared" si="2"/>
        <v>27</v>
      </c>
      <c r="F10" s="123">
        <f t="shared" si="3"/>
        <v>6</v>
      </c>
      <c r="G10" s="123">
        <f t="shared" si="4"/>
        <v>22</v>
      </c>
      <c r="H10" s="123" t="str">
        <f t="shared" si="5"/>
        <v>Q2-2022</v>
      </c>
    </row>
    <row r="11" ht="15.75" customHeight="1" spans="1:8">
      <c r="A11" s="102" t="s">
        <v>79</v>
      </c>
      <c r="B11" s="115">
        <v>44605</v>
      </c>
      <c r="C11" s="123">
        <f t="shared" si="0"/>
        <v>2022</v>
      </c>
      <c r="D11" s="123">
        <f t="shared" si="1"/>
        <v>2</v>
      </c>
      <c r="E11" s="123">
        <f t="shared" si="2"/>
        <v>13</v>
      </c>
      <c r="F11" s="123">
        <f t="shared" si="3"/>
        <v>1</v>
      </c>
      <c r="G11" s="123">
        <f t="shared" si="4"/>
        <v>7</v>
      </c>
      <c r="H11" s="123" t="str">
        <f t="shared" si="5"/>
        <v>Q1-2022</v>
      </c>
    </row>
    <row r="12" ht="15.75" customHeight="1" spans="1:8">
      <c r="A12" s="98" t="s">
        <v>85</v>
      </c>
      <c r="B12" s="112">
        <v>44305</v>
      </c>
      <c r="C12" s="123">
        <f t="shared" si="0"/>
        <v>2021</v>
      </c>
      <c r="D12" s="123">
        <f t="shared" si="1"/>
        <v>4</v>
      </c>
      <c r="E12" s="123">
        <f t="shared" si="2"/>
        <v>19</v>
      </c>
      <c r="F12" s="123">
        <f t="shared" si="3"/>
        <v>2</v>
      </c>
      <c r="G12" s="123">
        <f t="shared" si="4"/>
        <v>17</v>
      </c>
      <c r="H12" s="123" t="str">
        <f t="shared" si="5"/>
        <v>Q2-2021</v>
      </c>
    </row>
    <row r="13" ht="15.75" customHeight="1" spans="1:8">
      <c r="A13" s="102" t="s">
        <v>92</v>
      </c>
      <c r="B13" s="115">
        <v>45004</v>
      </c>
      <c r="C13" s="123">
        <f t="shared" si="0"/>
        <v>2023</v>
      </c>
      <c r="D13" s="123">
        <f t="shared" si="1"/>
        <v>3</v>
      </c>
      <c r="E13" s="123">
        <f t="shared" si="2"/>
        <v>19</v>
      </c>
      <c r="F13" s="123">
        <f t="shared" si="3"/>
        <v>1</v>
      </c>
      <c r="G13" s="123">
        <f t="shared" si="4"/>
        <v>12</v>
      </c>
      <c r="H13" s="123" t="str">
        <f t="shared" si="5"/>
        <v>Q1-2023</v>
      </c>
    </row>
    <row r="14" ht="15.75" customHeight="1" spans="1:8">
      <c r="A14" s="98" t="s">
        <v>97</v>
      </c>
      <c r="B14" s="112">
        <v>44399</v>
      </c>
      <c r="C14" s="123">
        <f t="shared" si="0"/>
        <v>2021</v>
      </c>
      <c r="D14" s="123">
        <f t="shared" si="1"/>
        <v>7</v>
      </c>
      <c r="E14" s="123">
        <f t="shared" si="2"/>
        <v>22</v>
      </c>
      <c r="F14" s="123">
        <f t="shared" si="3"/>
        <v>5</v>
      </c>
      <c r="G14" s="123">
        <f t="shared" si="4"/>
        <v>30</v>
      </c>
      <c r="H14" s="123" t="str">
        <f t="shared" si="5"/>
        <v>Q3-2021</v>
      </c>
    </row>
    <row r="15" ht="15.75" customHeight="1" spans="1:8">
      <c r="A15" s="102" t="s">
        <v>103</v>
      </c>
      <c r="B15" s="115">
        <v>44741</v>
      </c>
      <c r="C15" s="123">
        <f t="shared" si="0"/>
        <v>2022</v>
      </c>
      <c r="D15" s="123">
        <f t="shared" si="1"/>
        <v>6</v>
      </c>
      <c r="E15" s="123">
        <f t="shared" si="2"/>
        <v>29</v>
      </c>
      <c r="F15" s="123">
        <f t="shared" si="3"/>
        <v>4</v>
      </c>
      <c r="G15" s="123">
        <f t="shared" si="4"/>
        <v>27</v>
      </c>
      <c r="H15" s="123" t="str">
        <f t="shared" si="5"/>
        <v>Q2-2022</v>
      </c>
    </row>
    <row r="16" ht="15.75" customHeight="1" spans="1:8">
      <c r="A16" s="98" t="s">
        <v>109</v>
      </c>
      <c r="B16" s="112">
        <v>44304</v>
      </c>
      <c r="C16" s="123">
        <f t="shared" si="0"/>
        <v>2021</v>
      </c>
      <c r="D16" s="123">
        <f t="shared" si="1"/>
        <v>4</v>
      </c>
      <c r="E16" s="123">
        <f t="shared" si="2"/>
        <v>18</v>
      </c>
      <c r="F16" s="123">
        <f t="shared" si="3"/>
        <v>1</v>
      </c>
      <c r="G16" s="123">
        <f t="shared" si="4"/>
        <v>16</v>
      </c>
      <c r="H16" s="123" t="str">
        <f t="shared" si="5"/>
        <v>Q2-2021</v>
      </c>
    </row>
    <row r="17" ht="15.75" customHeight="1" spans="1:8">
      <c r="A17" s="102" t="s">
        <v>115</v>
      </c>
      <c r="B17" s="115">
        <v>44468</v>
      </c>
      <c r="C17" s="123">
        <f t="shared" si="0"/>
        <v>2021</v>
      </c>
      <c r="D17" s="123">
        <f t="shared" si="1"/>
        <v>9</v>
      </c>
      <c r="E17" s="123">
        <f t="shared" si="2"/>
        <v>29</v>
      </c>
      <c r="F17" s="123">
        <f t="shared" si="3"/>
        <v>4</v>
      </c>
      <c r="G17" s="123">
        <f t="shared" si="4"/>
        <v>40</v>
      </c>
      <c r="H17" s="123" t="str">
        <f t="shared" si="5"/>
        <v>Q3-2021</v>
      </c>
    </row>
    <row r="18" ht="15.75" customHeight="1" spans="1:8">
      <c r="A18" s="98" t="s">
        <v>120</v>
      </c>
      <c r="B18" s="112">
        <v>44687</v>
      </c>
      <c r="C18" s="123">
        <f t="shared" si="0"/>
        <v>2022</v>
      </c>
      <c r="D18" s="123">
        <f t="shared" si="1"/>
        <v>5</v>
      </c>
      <c r="E18" s="123">
        <f t="shared" si="2"/>
        <v>6</v>
      </c>
      <c r="F18" s="123">
        <f t="shared" si="3"/>
        <v>6</v>
      </c>
      <c r="G18" s="123">
        <f t="shared" si="4"/>
        <v>19</v>
      </c>
      <c r="H18" s="123" t="str">
        <f t="shared" si="5"/>
        <v>Q2-2022</v>
      </c>
    </row>
    <row r="19" ht="15.75" customHeight="1" spans="1:8">
      <c r="A19" s="102" t="s">
        <v>127</v>
      </c>
      <c r="B19" s="115">
        <v>44780</v>
      </c>
      <c r="C19" s="123">
        <f t="shared" si="0"/>
        <v>2022</v>
      </c>
      <c r="D19" s="123">
        <f t="shared" si="1"/>
        <v>8</v>
      </c>
      <c r="E19" s="123">
        <f t="shared" si="2"/>
        <v>7</v>
      </c>
      <c r="F19" s="123">
        <f t="shared" si="3"/>
        <v>1</v>
      </c>
      <c r="G19" s="123">
        <f t="shared" si="4"/>
        <v>32</v>
      </c>
      <c r="H19" s="123" t="str">
        <f t="shared" si="5"/>
        <v>Q3-2022</v>
      </c>
    </row>
    <row r="20" ht="15.75" customHeight="1" spans="1:8">
      <c r="A20" s="98" t="s">
        <v>132</v>
      </c>
      <c r="B20" s="112">
        <v>44765</v>
      </c>
      <c r="C20" s="123">
        <f t="shared" si="0"/>
        <v>2022</v>
      </c>
      <c r="D20" s="123">
        <f t="shared" si="1"/>
        <v>7</v>
      </c>
      <c r="E20" s="123">
        <f t="shared" si="2"/>
        <v>23</v>
      </c>
      <c r="F20" s="123">
        <f t="shared" si="3"/>
        <v>7</v>
      </c>
      <c r="G20" s="123">
        <f t="shared" si="4"/>
        <v>30</v>
      </c>
      <c r="H20" s="123" t="str">
        <f t="shared" si="5"/>
        <v>Q3-2022</v>
      </c>
    </row>
    <row r="21" ht="15.75" customHeight="1" spans="1:8">
      <c r="A21" s="102" t="s">
        <v>137</v>
      </c>
      <c r="B21" s="115">
        <v>44915</v>
      </c>
      <c r="C21" s="123">
        <f t="shared" si="0"/>
        <v>2022</v>
      </c>
      <c r="D21" s="123">
        <f t="shared" si="1"/>
        <v>12</v>
      </c>
      <c r="E21" s="123">
        <f t="shared" si="2"/>
        <v>20</v>
      </c>
      <c r="F21" s="123">
        <f t="shared" si="3"/>
        <v>3</v>
      </c>
      <c r="G21" s="123">
        <f t="shared" si="4"/>
        <v>52</v>
      </c>
      <c r="H21" s="123" t="str">
        <f t="shared" si="5"/>
        <v>Q4-2022</v>
      </c>
    </row>
    <row r="22" ht="15.75" customHeight="1" spans="1:8">
      <c r="A22" s="98" t="s">
        <v>142</v>
      </c>
      <c r="B22" s="112">
        <v>44931</v>
      </c>
      <c r="C22" s="123">
        <f t="shared" si="0"/>
        <v>2023</v>
      </c>
      <c r="D22" s="123">
        <f t="shared" si="1"/>
        <v>1</v>
      </c>
      <c r="E22" s="123">
        <f t="shared" si="2"/>
        <v>5</v>
      </c>
      <c r="F22" s="123">
        <f t="shared" si="3"/>
        <v>5</v>
      </c>
      <c r="G22" s="123">
        <f t="shared" si="4"/>
        <v>2</v>
      </c>
      <c r="H22" s="123" t="str">
        <f t="shared" si="5"/>
        <v>Q1-2023</v>
      </c>
    </row>
    <row r="23" ht="15.75" customHeight="1" spans="1:8">
      <c r="A23" s="102" t="s">
        <v>147</v>
      </c>
      <c r="B23" s="115">
        <v>44730</v>
      </c>
      <c r="C23" s="123">
        <f t="shared" si="0"/>
        <v>2022</v>
      </c>
      <c r="D23" s="123">
        <f t="shared" si="1"/>
        <v>6</v>
      </c>
      <c r="E23" s="123">
        <f t="shared" si="2"/>
        <v>18</v>
      </c>
      <c r="F23" s="123">
        <f t="shared" si="3"/>
        <v>7</v>
      </c>
      <c r="G23" s="123">
        <f t="shared" si="4"/>
        <v>25</v>
      </c>
      <c r="H23" s="123" t="str">
        <f t="shared" si="5"/>
        <v>Q2-2022</v>
      </c>
    </row>
    <row r="24" ht="15.75" customHeight="1" spans="1:8">
      <c r="A24" s="98" t="s">
        <v>152</v>
      </c>
      <c r="B24" s="112">
        <v>44456</v>
      </c>
      <c r="C24" s="123">
        <f t="shared" si="0"/>
        <v>2021</v>
      </c>
      <c r="D24" s="123">
        <f t="shared" si="1"/>
        <v>9</v>
      </c>
      <c r="E24" s="123">
        <f t="shared" si="2"/>
        <v>17</v>
      </c>
      <c r="F24" s="123">
        <f t="shared" si="3"/>
        <v>6</v>
      </c>
      <c r="G24" s="123">
        <f t="shared" si="4"/>
        <v>38</v>
      </c>
      <c r="H24" s="123" t="str">
        <f t="shared" si="5"/>
        <v>Q3-2021</v>
      </c>
    </row>
    <row r="25" ht="15.75" customHeight="1" spans="1:8">
      <c r="A25" s="102" t="s">
        <v>157</v>
      </c>
      <c r="B25" s="115">
        <v>45017</v>
      </c>
      <c r="C25" s="123">
        <f t="shared" si="0"/>
        <v>2023</v>
      </c>
      <c r="D25" s="123">
        <f t="shared" si="1"/>
        <v>4</v>
      </c>
      <c r="E25" s="123">
        <f t="shared" si="2"/>
        <v>1</v>
      </c>
      <c r="F25" s="123">
        <f t="shared" si="3"/>
        <v>7</v>
      </c>
      <c r="G25" s="123">
        <f t="shared" si="4"/>
        <v>14</v>
      </c>
      <c r="H25" s="123" t="str">
        <f t="shared" si="5"/>
        <v>Q2-2023</v>
      </c>
    </row>
    <row r="26" ht="15.75" customHeight="1" spans="1:8">
      <c r="A26" s="98" t="s">
        <v>162</v>
      </c>
      <c r="B26" s="112">
        <v>44979</v>
      </c>
      <c r="C26" s="123">
        <f t="shared" si="0"/>
        <v>2023</v>
      </c>
      <c r="D26" s="123">
        <f t="shared" si="1"/>
        <v>2</v>
      </c>
      <c r="E26" s="123">
        <f t="shared" si="2"/>
        <v>22</v>
      </c>
      <c r="F26" s="123">
        <f t="shared" si="3"/>
        <v>4</v>
      </c>
      <c r="G26" s="123">
        <f t="shared" si="4"/>
        <v>9</v>
      </c>
      <c r="H26" s="123" t="str">
        <f t="shared" si="5"/>
        <v>Q1-2023</v>
      </c>
    </row>
    <row r="27" ht="15.75" customHeight="1" spans="1:8">
      <c r="A27" s="102" t="s">
        <v>167</v>
      </c>
      <c r="B27" s="115">
        <v>44226</v>
      </c>
      <c r="C27" s="123">
        <f t="shared" si="0"/>
        <v>2021</v>
      </c>
      <c r="D27" s="123">
        <f t="shared" si="1"/>
        <v>1</v>
      </c>
      <c r="E27" s="123">
        <f t="shared" si="2"/>
        <v>30</v>
      </c>
      <c r="F27" s="123">
        <f t="shared" si="3"/>
        <v>7</v>
      </c>
      <c r="G27" s="123">
        <f t="shared" si="4"/>
        <v>5</v>
      </c>
      <c r="H27" s="123" t="str">
        <f t="shared" si="5"/>
        <v>Q1-2021</v>
      </c>
    </row>
    <row r="28" ht="15.75" customHeight="1" spans="1:8">
      <c r="A28" s="98" t="s">
        <v>172</v>
      </c>
      <c r="B28" s="112">
        <v>44799</v>
      </c>
      <c r="C28" s="123">
        <f t="shared" si="0"/>
        <v>2022</v>
      </c>
      <c r="D28" s="123">
        <f t="shared" si="1"/>
        <v>8</v>
      </c>
      <c r="E28" s="123">
        <f t="shared" si="2"/>
        <v>26</v>
      </c>
      <c r="F28" s="123">
        <f t="shared" si="3"/>
        <v>6</v>
      </c>
      <c r="G28" s="123">
        <f t="shared" si="4"/>
        <v>35</v>
      </c>
      <c r="H28" s="123" t="str">
        <f t="shared" si="5"/>
        <v>Q3-2022</v>
      </c>
    </row>
    <row r="29" ht="15.25"/>
    <row r="30" ht="25.5" customHeight="1" spans="1:8">
      <c r="A30" s="125" t="s">
        <v>199</v>
      </c>
      <c r="B30" s="125"/>
      <c r="C30" s="125"/>
      <c r="D30" s="125"/>
      <c r="E30" s="125"/>
      <c r="F30" s="125"/>
      <c r="G30" s="125"/>
      <c r="H30" s="125"/>
    </row>
    <row r="31" ht="27.75" customHeight="1" spans="1:8">
      <c r="A31" s="126" t="s">
        <v>402</v>
      </c>
      <c r="B31" s="126"/>
      <c r="C31" s="126"/>
      <c r="D31" s="107" t="s">
        <v>403</v>
      </c>
      <c r="E31" s="107"/>
      <c r="F31" s="107"/>
      <c r="G31" s="107"/>
    </row>
    <row r="32" ht="27.75" customHeight="1" spans="1:8">
      <c r="A32" s="126" t="s">
        <v>404</v>
      </c>
      <c r="B32" s="126"/>
      <c r="C32" s="126"/>
      <c r="D32" s="107" t="s">
        <v>405</v>
      </c>
      <c r="E32" s="107"/>
      <c r="F32" s="107"/>
      <c r="G32" s="107"/>
    </row>
    <row r="33" ht="27.75" customHeight="1" spans="1:7">
      <c r="A33" s="126" t="s">
        <v>406</v>
      </c>
      <c r="B33" s="126"/>
      <c r="C33" s="126"/>
      <c r="D33" s="107" t="s">
        <v>407</v>
      </c>
      <c r="E33" s="107"/>
      <c r="F33" s="107"/>
      <c r="G33" s="107"/>
    </row>
    <row r="34" ht="27.75" customHeight="1" spans="1:7">
      <c r="A34" s="126" t="s">
        <v>408</v>
      </c>
      <c r="B34" s="126"/>
      <c r="C34" s="126"/>
      <c r="D34" s="107" t="s">
        <v>409</v>
      </c>
      <c r="E34" s="107"/>
      <c r="F34" s="107"/>
      <c r="G34" s="107"/>
    </row>
    <row r="35" ht="27.75" customHeight="1" spans="1:7">
      <c r="A35" s="126" t="s">
        <v>410</v>
      </c>
      <c r="B35" s="126"/>
      <c r="C35" s="126"/>
      <c r="D35" s="107" t="s">
        <v>411</v>
      </c>
      <c r="E35" s="107"/>
      <c r="F35" s="107"/>
      <c r="G35" s="107"/>
    </row>
    <row r="36" ht="27.75" customHeight="1" spans="1:7">
      <c r="A36" s="126" t="s">
        <v>412</v>
      </c>
      <c r="B36" s="126"/>
      <c r="C36" s="126"/>
      <c r="D36" s="107" t="s">
        <v>413</v>
      </c>
      <c r="E36" s="107"/>
      <c r="F36" s="107"/>
      <c r="G36" s="107"/>
    </row>
    <row r="37" ht="27.75" customHeight="1" spans="1:7">
      <c r="A37" s="126" t="s">
        <v>414</v>
      </c>
      <c r="B37" s="126"/>
      <c r="C37" s="126"/>
      <c r="D37" s="107" t="s">
        <v>415</v>
      </c>
      <c r="E37" s="107"/>
      <c r="F37" s="107"/>
      <c r="G37" s="107"/>
    </row>
    <row r="38" ht="27.75" customHeight="1" spans="1:7">
      <c r="A38" s="126" t="s">
        <v>416</v>
      </c>
      <c r="B38" s="126"/>
      <c r="C38" s="126"/>
      <c r="D38" s="107" t="s">
        <v>417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E2F1A"/>
  </sheetPr>
  <dimension ref="A1:H38"/>
  <sheetViews>
    <sheetView showGridLines="0" workbookViewId="0">
      <pane ySplit="3" topLeftCell="A16" activePane="bottomLeft" state="frozen"/>
      <selection/>
      <selection pane="bottomLeft" activeCell="H9" sqref="H9:H28"/>
    </sheetView>
  </sheetViews>
  <sheetFormatPr defaultColWidth="8.66363636363636" defaultRowHeight="14.5" outlineLevelCol="7"/>
  <cols>
    <col min="1" max="1" width="9" customWidth="1"/>
    <col min="2" max="3" width="13" customWidth="1"/>
    <col min="4" max="4" width="19.2181818181818" customWidth="1"/>
    <col min="5" max="5" width="20.5545454545455" customWidth="1"/>
    <col min="6" max="7" width="16" customWidth="1"/>
    <col min="8" max="8" width="24.2181818181818" customWidth="1"/>
  </cols>
  <sheetData>
    <row r="1" ht="37.5" customHeight="1" spans="1:8">
      <c r="A1" s="108" t="s">
        <v>418</v>
      </c>
      <c r="B1" s="108"/>
      <c r="C1" s="108"/>
      <c r="D1" s="108"/>
      <c r="E1" s="108"/>
      <c r="F1" s="108"/>
      <c r="G1" s="108"/>
      <c r="H1" s="108"/>
    </row>
    <row r="2" ht="30" customHeight="1" spans="1:8">
      <c r="A2" s="109" t="s">
        <v>419</v>
      </c>
      <c r="B2" s="109"/>
      <c r="C2" s="109"/>
      <c r="D2" s="109"/>
      <c r="E2" s="109"/>
      <c r="F2" s="109"/>
      <c r="G2" s="109"/>
      <c r="H2" s="109"/>
    </row>
    <row r="3" ht="21.75" customHeight="1" spans="1:8">
      <c r="A3" s="110" t="s">
        <v>2</v>
      </c>
      <c r="B3" s="110" t="s">
        <v>12</v>
      </c>
      <c r="C3" s="110" t="s">
        <v>13</v>
      </c>
      <c r="D3" s="110" t="s">
        <v>420</v>
      </c>
      <c r="E3" s="110" t="s">
        <v>421</v>
      </c>
      <c r="F3" s="110" t="s">
        <v>422</v>
      </c>
      <c r="G3" s="110" t="s">
        <v>423</v>
      </c>
      <c r="H3" s="111" t="s">
        <v>424</v>
      </c>
    </row>
    <row r="4" ht="15.75" customHeight="1" spans="1:8">
      <c r="A4" s="98" t="s">
        <v>17</v>
      </c>
      <c r="B4" s="112">
        <v>44451</v>
      </c>
      <c r="C4" s="112">
        <v>44617</v>
      </c>
      <c r="D4" s="113">
        <v>166</v>
      </c>
      <c r="E4" s="113">
        <v>5</v>
      </c>
      <c r="F4" s="113">
        <v>0</v>
      </c>
      <c r="G4" s="113">
        <v>120</v>
      </c>
      <c r="H4" s="114">
        <v>44542</v>
      </c>
    </row>
    <row r="5" ht="15.75" customHeight="1" spans="1:8">
      <c r="A5" s="102" t="s">
        <v>28</v>
      </c>
      <c r="B5" s="115">
        <v>44895</v>
      </c>
      <c r="C5" s="115">
        <v>45142</v>
      </c>
      <c r="D5" s="116">
        <v>247</v>
      </c>
      <c r="E5" s="116">
        <v>8</v>
      </c>
      <c r="F5" s="116">
        <v>0</v>
      </c>
      <c r="G5" s="116">
        <v>178</v>
      </c>
      <c r="H5" s="117">
        <v>44985</v>
      </c>
    </row>
    <row r="6" ht="15.75" customHeight="1" spans="1:8">
      <c r="A6" s="98" t="s">
        <v>37</v>
      </c>
      <c r="B6" s="112">
        <v>44744</v>
      </c>
      <c r="C6" s="112">
        <v>44856</v>
      </c>
      <c r="D6" s="113">
        <v>112</v>
      </c>
      <c r="E6" s="113">
        <v>3</v>
      </c>
      <c r="F6" s="113">
        <v>0</v>
      </c>
      <c r="G6" s="113">
        <v>80</v>
      </c>
      <c r="H6" s="114">
        <v>44836</v>
      </c>
    </row>
    <row r="7" ht="15.75" customHeight="1" spans="1:8">
      <c r="A7" s="102" t="s">
        <v>45</v>
      </c>
      <c r="B7" s="115">
        <v>44378</v>
      </c>
      <c r="C7" s="115">
        <v>44923</v>
      </c>
      <c r="D7" s="116">
        <v>545</v>
      </c>
      <c r="E7" s="116">
        <v>17</v>
      </c>
      <c r="F7" s="116">
        <v>1</v>
      </c>
      <c r="G7" s="116">
        <v>390</v>
      </c>
      <c r="H7" s="117">
        <v>44470</v>
      </c>
    </row>
    <row r="8" ht="15.75" customHeight="1" spans="1:8">
      <c r="A8" s="98" t="s">
        <v>54</v>
      </c>
      <c r="B8" s="112">
        <v>44534</v>
      </c>
      <c r="C8" s="112">
        <v>44703</v>
      </c>
      <c r="D8" s="113">
        <v>169</v>
      </c>
      <c r="E8" s="113">
        <v>5</v>
      </c>
      <c r="F8" s="113">
        <v>0</v>
      </c>
      <c r="G8" s="113">
        <v>120</v>
      </c>
      <c r="H8" s="114">
        <v>44624</v>
      </c>
    </row>
    <row r="9" ht="15.75" customHeight="1" spans="1:8">
      <c r="A9" s="102" t="s">
        <v>60</v>
      </c>
      <c r="B9" s="115">
        <v>45081</v>
      </c>
      <c r="C9" s="115">
        <v>45846</v>
      </c>
      <c r="D9" s="116">
        <f>DATEDIF(B9,C9,"D")</f>
        <v>765</v>
      </c>
      <c r="E9" s="116">
        <f>DATEDIF(B9,C9,"M")</f>
        <v>25</v>
      </c>
      <c r="F9" s="116">
        <f>DATEDIF(B9,C9,"Y")</f>
        <v>2</v>
      </c>
      <c r="G9" s="116">
        <f>NETWORKDAYS(B9,C9,)</f>
        <v>547</v>
      </c>
      <c r="H9" s="117">
        <f>EDATE(D9,E9)</f>
        <v>1524</v>
      </c>
    </row>
    <row r="10" ht="15.75" customHeight="1" spans="1:8">
      <c r="A10" s="98" t="s">
        <v>70</v>
      </c>
      <c r="B10" s="112">
        <v>44708</v>
      </c>
      <c r="C10" s="112">
        <v>44977</v>
      </c>
      <c r="D10" s="116">
        <f t="shared" ref="D10:D28" si="0">DATEDIF(B10,C10,"D")</f>
        <v>269</v>
      </c>
      <c r="E10" s="116">
        <f t="shared" ref="E10:E28" si="1">DATEDIF(B10,C10,"M")</f>
        <v>8</v>
      </c>
      <c r="F10" s="116">
        <f t="shared" ref="F10:F28" si="2">DATEDIF(B10,C10,"Y")</f>
        <v>0</v>
      </c>
      <c r="G10" s="116">
        <f t="shared" ref="G10:G28" si="3">NETWORKDAYS(B10,C10,)</f>
        <v>192</v>
      </c>
      <c r="H10" s="117">
        <f t="shared" ref="H10:H28" si="4">EDATE(D10,E10)</f>
        <v>511</v>
      </c>
    </row>
    <row r="11" ht="15.75" customHeight="1" spans="1:8">
      <c r="A11" s="102" t="s">
        <v>79</v>
      </c>
      <c r="B11" s="115">
        <v>44605</v>
      </c>
      <c r="C11" s="115">
        <v>45030</v>
      </c>
      <c r="D11" s="116">
        <f t="shared" si="0"/>
        <v>425</v>
      </c>
      <c r="E11" s="116">
        <f t="shared" si="1"/>
        <v>14</v>
      </c>
      <c r="F11" s="116">
        <f t="shared" si="2"/>
        <v>1</v>
      </c>
      <c r="G11" s="116">
        <f t="shared" si="3"/>
        <v>305</v>
      </c>
      <c r="H11" s="117">
        <f t="shared" si="4"/>
        <v>849</v>
      </c>
    </row>
    <row r="12" ht="15.75" customHeight="1" spans="1:8">
      <c r="A12" s="98" t="s">
        <v>85</v>
      </c>
      <c r="B12" s="112">
        <v>44305</v>
      </c>
      <c r="C12" s="112">
        <v>45039</v>
      </c>
      <c r="D12" s="116">
        <f t="shared" si="0"/>
        <v>734</v>
      </c>
      <c r="E12" s="116">
        <f t="shared" si="1"/>
        <v>24</v>
      </c>
      <c r="F12" s="116">
        <f t="shared" si="2"/>
        <v>2</v>
      </c>
      <c r="G12" s="116">
        <f t="shared" si="3"/>
        <v>525</v>
      </c>
      <c r="H12" s="117">
        <f t="shared" si="4"/>
        <v>1464</v>
      </c>
    </row>
    <row r="13" ht="15.75" customHeight="1" spans="1:8">
      <c r="A13" s="102" t="s">
        <v>92</v>
      </c>
      <c r="B13" s="115">
        <v>45004</v>
      </c>
      <c r="C13" s="115">
        <v>45522</v>
      </c>
      <c r="D13" s="116">
        <f t="shared" si="0"/>
        <v>518</v>
      </c>
      <c r="E13" s="116">
        <f t="shared" si="1"/>
        <v>16</v>
      </c>
      <c r="F13" s="116">
        <f t="shared" si="2"/>
        <v>1</v>
      </c>
      <c r="G13" s="116">
        <f t="shared" si="3"/>
        <v>370</v>
      </c>
      <c r="H13" s="117">
        <f t="shared" si="4"/>
        <v>1005</v>
      </c>
    </row>
    <row r="14" ht="15.75" customHeight="1" spans="1:8">
      <c r="A14" s="98" t="s">
        <v>97</v>
      </c>
      <c r="B14" s="112">
        <v>44399</v>
      </c>
      <c r="C14" s="112">
        <v>44782</v>
      </c>
      <c r="D14" s="116">
        <f t="shared" si="0"/>
        <v>383</v>
      </c>
      <c r="E14" s="116">
        <f t="shared" si="1"/>
        <v>12</v>
      </c>
      <c r="F14" s="116">
        <f t="shared" si="2"/>
        <v>1</v>
      </c>
      <c r="G14" s="116">
        <f t="shared" si="3"/>
        <v>274</v>
      </c>
      <c r="H14" s="117">
        <f t="shared" si="4"/>
        <v>748</v>
      </c>
    </row>
    <row r="15" ht="15.75" customHeight="1" spans="1:8">
      <c r="A15" s="102" t="s">
        <v>103</v>
      </c>
      <c r="B15" s="115">
        <v>44741</v>
      </c>
      <c r="C15" s="115">
        <v>44978</v>
      </c>
      <c r="D15" s="116">
        <f t="shared" si="0"/>
        <v>237</v>
      </c>
      <c r="E15" s="116">
        <f t="shared" si="1"/>
        <v>7</v>
      </c>
      <c r="F15" s="116">
        <f t="shared" si="2"/>
        <v>0</v>
      </c>
      <c r="G15" s="116">
        <f t="shared" si="3"/>
        <v>170</v>
      </c>
      <c r="H15" s="117">
        <f t="shared" si="4"/>
        <v>449</v>
      </c>
    </row>
    <row r="16" ht="15.75" customHeight="1" spans="1:8">
      <c r="A16" s="98" t="s">
        <v>109</v>
      </c>
      <c r="B16" s="112">
        <v>44304</v>
      </c>
      <c r="C16" s="112">
        <v>44648</v>
      </c>
      <c r="D16" s="116">
        <f t="shared" si="0"/>
        <v>344</v>
      </c>
      <c r="E16" s="116">
        <f t="shared" si="1"/>
        <v>11</v>
      </c>
      <c r="F16" s="116">
        <f t="shared" si="2"/>
        <v>0</v>
      </c>
      <c r="G16" s="116">
        <f t="shared" si="3"/>
        <v>246</v>
      </c>
      <c r="H16" s="117">
        <f t="shared" si="4"/>
        <v>679</v>
      </c>
    </row>
    <row r="17" ht="15.75" customHeight="1" spans="1:8">
      <c r="A17" s="102" t="s">
        <v>115</v>
      </c>
      <c r="B17" s="115">
        <v>44468</v>
      </c>
      <c r="C17" s="115">
        <v>44969</v>
      </c>
      <c r="D17" s="116">
        <f t="shared" si="0"/>
        <v>501</v>
      </c>
      <c r="E17" s="116">
        <f t="shared" si="1"/>
        <v>16</v>
      </c>
      <c r="F17" s="116">
        <f t="shared" si="2"/>
        <v>1</v>
      </c>
      <c r="G17" s="116">
        <f t="shared" si="3"/>
        <v>358</v>
      </c>
      <c r="H17" s="117">
        <f t="shared" si="4"/>
        <v>989</v>
      </c>
    </row>
    <row r="18" ht="15.75" customHeight="1" spans="1:8">
      <c r="A18" s="98" t="s">
        <v>120</v>
      </c>
      <c r="B18" s="112">
        <v>44687</v>
      </c>
      <c r="C18" s="112">
        <v>45303</v>
      </c>
      <c r="D18" s="116">
        <f t="shared" si="0"/>
        <v>616</v>
      </c>
      <c r="E18" s="116">
        <f t="shared" si="1"/>
        <v>20</v>
      </c>
      <c r="F18" s="116">
        <f t="shared" si="2"/>
        <v>1</v>
      </c>
      <c r="G18" s="116">
        <f t="shared" si="3"/>
        <v>441</v>
      </c>
      <c r="H18" s="117">
        <f t="shared" si="4"/>
        <v>1223</v>
      </c>
    </row>
    <row r="19" ht="15.75" customHeight="1" spans="1:8">
      <c r="A19" s="102" t="s">
        <v>127</v>
      </c>
      <c r="B19" s="115">
        <v>44780</v>
      </c>
      <c r="C19" s="115">
        <v>45506</v>
      </c>
      <c r="D19" s="116">
        <f t="shared" si="0"/>
        <v>726</v>
      </c>
      <c r="E19" s="116">
        <f t="shared" si="1"/>
        <v>23</v>
      </c>
      <c r="F19" s="116">
        <f t="shared" si="2"/>
        <v>1</v>
      </c>
      <c r="G19" s="116">
        <f t="shared" si="3"/>
        <v>520</v>
      </c>
      <c r="H19" s="117">
        <f t="shared" si="4"/>
        <v>1426</v>
      </c>
    </row>
    <row r="20" ht="15.75" customHeight="1" spans="1:8">
      <c r="A20" s="98" t="s">
        <v>132</v>
      </c>
      <c r="B20" s="112">
        <v>44765</v>
      </c>
      <c r="C20" s="112">
        <v>45094</v>
      </c>
      <c r="D20" s="116">
        <f t="shared" si="0"/>
        <v>329</v>
      </c>
      <c r="E20" s="116">
        <f t="shared" si="1"/>
        <v>10</v>
      </c>
      <c r="F20" s="116">
        <f t="shared" si="2"/>
        <v>0</v>
      </c>
      <c r="G20" s="116">
        <f t="shared" si="3"/>
        <v>235</v>
      </c>
      <c r="H20" s="117">
        <f t="shared" si="4"/>
        <v>633</v>
      </c>
    </row>
    <row r="21" ht="15.75" customHeight="1" spans="1:8">
      <c r="A21" s="102" t="s">
        <v>137</v>
      </c>
      <c r="B21" s="115">
        <v>44915</v>
      </c>
      <c r="C21" s="115">
        <v>45307</v>
      </c>
      <c r="D21" s="116">
        <f t="shared" si="0"/>
        <v>392</v>
      </c>
      <c r="E21" s="116">
        <f t="shared" si="1"/>
        <v>12</v>
      </c>
      <c r="F21" s="116">
        <f t="shared" si="2"/>
        <v>1</v>
      </c>
      <c r="G21" s="116">
        <f t="shared" si="3"/>
        <v>281</v>
      </c>
      <c r="H21" s="117">
        <f t="shared" si="4"/>
        <v>757</v>
      </c>
    </row>
    <row r="22" ht="15.75" customHeight="1" spans="1:8">
      <c r="A22" s="98" t="s">
        <v>142</v>
      </c>
      <c r="B22" s="112">
        <v>44931</v>
      </c>
      <c r="C22" s="112">
        <v>45198</v>
      </c>
      <c r="D22" s="116">
        <f t="shared" si="0"/>
        <v>267</v>
      </c>
      <c r="E22" s="116">
        <f t="shared" si="1"/>
        <v>8</v>
      </c>
      <c r="F22" s="116">
        <f t="shared" si="2"/>
        <v>0</v>
      </c>
      <c r="G22" s="116">
        <f t="shared" si="3"/>
        <v>192</v>
      </c>
      <c r="H22" s="117">
        <f t="shared" si="4"/>
        <v>509</v>
      </c>
    </row>
    <row r="23" ht="15.75" customHeight="1" spans="1:8">
      <c r="A23" s="102" t="s">
        <v>147</v>
      </c>
      <c r="B23" s="115">
        <v>44730</v>
      </c>
      <c r="C23" s="115">
        <v>45508</v>
      </c>
      <c r="D23" s="116">
        <f t="shared" si="0"/>
        <v>778</v>
      </c>
      <c r="E23" s="116">
        <f t="shared" si="1"/>
        <v>25</v>
      </c>
      <c r="F23" s="116">
        <f t="shared" si="2"/>
        <v>2</v>
      </c>
      <c r="G23" s="116">
        <f t="shared" si="3"/>
        <v>555</v>
      </c>
      <c r="H23" s="117">
        <f t="shared" si="4"/>
        <v>1537</v>
      </c>
    </row>
    <row r="24" ht="15.75" customHeight="1" spans="1:8">
      <c r="A24" s="98" t="s">
        <v>152</v>
      </c>
      <c r="B24" s="112">
        <v>44456</v>
      </c>
      <c r="C24" s="112">
        <v>44806</v>
      </c>
      <c r="D24" s="116">
        <f t="shared" si="0"/>
        <v>350</v>
      </c>
      <c r="E24" s="116">
        <f t="shared" si="1"/>
        <v>11</v>
      </c>
      <c r="F24" s="116">
        <f t="shared" si="2"/>
        <v>0</v>
      </c>
      <c r="G24" s="116">
        <f t="shared" si="3"/>
        <v>251</v>
      </c>
      <c r="H24" s="117">
        <f t="shared" si="4"/>
        <v>685</v>
      </c>
    </row>
    <row r="25" ht="15.75" customHeight="1" spans="1:8">
      <c r="A25" s="102" t="s">
        <v>157</v>
      </c>
      <c r="B25" s="115">
        <v>45017</v>
      </c>
      <c r="C25" s="115">
        <v>45121</v>
      </c>
      <c r="D25" s="116">
        <f t="shared" si="0"/>
        <v>104</v>
      </c>
      <c r="E25" s="116">
        <f t="shared" si="1"/>
        <v>3</v>
      </c>
      <c r="F25" s="116">
        <f t="shared" si="2"/>
        <v>0</v>
      </c>
      <c r="G25" s="116">
        <f t="shared" si="3"/>
        <v>75</v>
      </c>
      <c r="H25" s="117">
        <f t="shared" si="4"/>
        <v>195</v>
      </c>
    </row>
    <row r="26" ht="15.75" customHeight="1" spans="1:8">
      <c r="A26" s="98" t="s">
        <v>162</v>
      </c>
      <c r="B26" s="112">
        <v>44979</v>
      </c>
      <c r="C26" s="112">
        <v>45304</v>
      </c>
      <c r="D26" s="116">
        <f t="shared" si="0"/>
        <v>325</v>
      </c>
      <c r="E26" s="116">
        <f t="shared" si="1"/>
        <v>10</v>
      </c>
      <c r="F26" s="116">
        <f t="shared" si="2"/>
        <v>0</v>
      </c>
      <c r="G26" s="116">
        <f t="shared" si="3"/>
        <v>233</v>
      </c>
      <c r="H26" s="117">
        <f t="shared" si="4"/>
        <v>629</v>
      </c>
    </row>
    <row r="27" ht="15.75" customHeight="1" spans="1:8">
      <c r="A27" s="102" t="s">
        <v>167</v>
      </c>
      <c r="B27" s="115">
        <v>44226</v>
      </c>
      <c r="C27" s="115">
        <v>44462</v>
      </c>
      <c r="D27" s="116">
        <f t="shared" si="0"/>
        <v>236</v>
      </c>
      <c r="E27" s="116">
        <f t="shared" si="1"/>
        <v>7</v>
      </c>
      <c r="F27" s="116">
        <f t="shared" si="2"/>
        <v>0</v>
      </c>
      <c r="G27" s="116">
        <f t="shared" si="3"/>
        <v>169</v>
      </c>
      <c r="H27" s="117">
        <f t="shared" si="4"/>
        <v>448</v>
      </c>
    </row>
    <row r="28" ht="15.75" customHeight="1" spans="1:8">
      <c r="A28" s="98" t="s">
        <v>172</v>
      </c>
      <c r="B28" s="112">
        <v>44799</v>
      </c>
      <c r="C28" s="112">
        <v>45067</v>
      </c>
      <c r="D28" s="116">
        <f t="shared" si="0"/>
        <v>268</v>
      </c>
      <c r="E28" s="116">
        <f t="shared" si="1"/>
        <v>8</v>
      </c>
      <c r="F28" s="116">
        <f t="shared" si="2"/>
        <v>0</v>
      </c>
      <c r="G28" s="116">
        <f t="shared" si="3"/>
        <v>191</v>
      </c>
      <c r="H28" s="117">
        <f t="shared" si="4"/>
        <v>510</v>
      </c>
    </row>
    <row r="29" ht="15.25"/>
    <row r="30" ht="25.5" customHeight="1" spans="1:8">
      <c r="A30" s="118" t="s">
        <v>199</v>
      </c>
      <c r="B30" s="118"/>
      <c r="C30" s="118"/>
      <c r="D30" s="118"/>
      <c r="E30" s="118"/>
      <c r="F30" s="118"/>
      <c r="G30" s="118"/>
      <c r="H30" s="118"/>
    </row>
    <row r="31" ht="27.75" customHeight="1" spans="1:8">
      <c r="A31" s="119" t="s">
        <v>425</v>
      </c>
      <c r="B31" s="119"/>
      <c r="C31" s="119"/>
      <c r="D31" s="107" t="s">
        <v>426</v>
      </c>
      <c r="E31" s="107"/>
      <c r="F31" s="107"/>
      <c r="G31" s="107"/>
    </row>
    <row r="32" ht="27.75" customHeight="1" spans="1:8">
      <c r="A32" s="119" t="s">
        <v>427</v>
      </c>
      <c r="B32" s="119"/>
      <c r="C32" s="119"/>
      <c r="D32" s="107" t="s">
        <v>428</v>
      </c>
      <c r="E32" s="107"/>
      <c r="F32" s="107"/>
      <c r="G32" s="107"/>
    </row>
    <row r="33" ht="27.75" customHeight="1" spans="1:7">
      <c r="A33" s="119" t="s">
        <v>429</v>
      </c>
      <c r="B33" s="119"/>
      <c r="C33" s="119"/>
      <c r="D33" s="107" t="s">
        <v>430</v>
      </c>
      <c r="E33" s="107"/>
      <c r="F33" s="107"/>
      <c r="G33" s="107"/>
    </row>
    <row r="34" ht="27.75" customHeight="1" spans="1:7">
      <c r="A34" s="119" t="s">
        <v>431</v>
      </c>
      <c r="B34" s="119"/>
      <c r="C34" s="119"/>
      <c r="D34" s="107" t="s">
        <v>432</v>
      </c>
      <c r="E34" s="107"/>
      <c r="F34" s="107"/>
      <c r="G34" s="107"/>
    </row>
    <row r="35" ht="27.75" customHeight="1" spans="1:7">
      <c r="A35" s="119" t="s">
        <v>433</v>
      </c>
      <c r="B35" s="119"/>
      <c r="C35" s="119"/>
      <c r="D35" s="107" t="s">
        <v>434</v>
      </c>
      <c r="E35" s="107"/>
      <c r="F35" s="107"/>
      <c r="G35" s="107"/>
    </row>
    <row r="36" ht="27.75" customHeight="1" spans="1:7">
      <c r="A36" s="119" t="s">
        <v>435</v>
      </c>
      <c r="B36" s="119"/>
      <c r="C36" s="119"/>
      <c r="D36" s="107" t="s">
        <v>436</v>
      </c>
      <c r="E36" s="107"/>
      <c r="F36" s="107"/>
      <c r="G36" s="107"/>
    </row>
    <row r="37" ht="27.75" customHeight="1" spans="1:7">
      <c r="A37" s="119" t="s">
        <v>437</v>
      </c>
      <c r="B37" s="119"/>
      <c r="C37" s="119"/>
      <c r="D37" s="107" t="s">
        <v>438</v>
      </c>
      <c r="E37" s="107"/>
      <c r="F37" s="107"/>
      <c r="G37" s="107"/>
    </row>
    <row r="38" ht="27.75" customHeight="1" spans="1:7">
      <c r="A38" s="119" t="s">
        <v>439</v>
      </c>
      <c r="B38" s="119"/>
      <c r="C38" s="119"/>
      <c r="D38" s="107" t="s">
        <v>440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B0F1A"/>
  </sheetPr>
  <dimension ref="A1:L38"/>
  <sheetViews>
    <sheetView showGridLines="0" workbookViewId="0">
      <pane ySplit="3" topLeftCell="A4" activePane="bottomLeft" state="frozen"/>
      <selection/>
      <selection pane="bottomLeft" activeCell="H9" sqref="H9"/>
    </sheetView>
  </sheetViews>
  <sheetFormatPr defaultColWidth="8.66363636363636" defaultRowHeight="14.5"/>
  <cols>
    <col min="1" max="1" width="9" customWidth="1"/>
    <col min="2" max="2" width="22" customWidth="1"/>
    <col min="3" max="5" width="10" customWidth="1"/>
    <col min="6" max="6" width="16" customWidth="1"/>
    <col min="7" max="7" width="18" customWidth="1"/>
    <col min="8" max="8" width="20" customWidth="1"/>
    <col min="11" max="11" width="24" customWidth="1"/>
  </cols>
  <sheetData>
    <row r="1" ht="37.5" customHeight="1" spans="1:12">
      <c r="A1" s="95" t="s">
        <v>441</v>
      </c>
      <c r="B1" s="95"/>
      <c r="C1" s="95"/>
      <c r="D1" s="95"/>
      <c r="E1" s="95"/>
      <c r="F1" s="95"/>
      <c r="G1" s="95"/>
      <c r="H1" s="95"/>
    </row>
    <row r="2" ht="30" customHeight="1" spans="1:12">
      <c r="A2" s="96" t="s">
        <v>442</v>
      </c>
      <c r="B2" s="96"/>
      <c r="C2" s="96"/>
      <c r="D2" s="96"/>
      <c r="E2" s="96"/>
      <c r="F2" s="96"/>
      <c r="G2" s="96"/>
      <c r="H2" s="96"/>
    </row>
    <row r="3" ht="21.75" customHeight="1" spans="1:12">
      <c r="A3" s="97" t="s">
        <v>2</v>
      </c>
      <c r="B3" s="97" t="s">
        <v>443</v>
      </c>
      <c r="C3" s="97" t="s">
        <v>444</v>
      </c>
      <c r="D3" s="97" t="s">
        <v>445</v>
      </c>
      <c r="E3" s="97" t="s">
        <v>446</v>
      </c>
      <c r="F3" s="97" t="s">
        <v>447</v>
      </c>
      <c r="G3" s="97" t="s">
        <v>448</v>
      </c>
      <c r="H3" s="97" t="s">
        <v>449</v>
      </c>
    </row>
    <row r="4" ht="15.75" customHeight="1" spans="1:12">
      <c r="A4" s="98" t="s">
        <v>17</v>
      </c>
      <c r="B4" s="99" t="s">
        <v>27</v>
      </c>
      <c r="C4" s="100">
        <v>14</v>
      </c>
      <c r="D4" s="100">
        <v>46</v>
      </c>
      <c r="E4" s="100">
        <v>39</v>
      </c>
      <c r="F4" s="100">
        <v>0.615729166666667</v>
      </c>
      <c r="G4" s="101" t="str">
        <f t="shared" ref="G4:G9" si="0">IF(HOUR(B4)&lt;12,"Morning",IF(HOUR(B4)&lt;17,"Afternoon","Evening"))</f>
        <v>Afternoon</v>
      </c>
      <c r="H4" s="100" t="s">
        <v>269</v>
      </c>
    </row>
    <row r="5" ht="15.75" customHeight="1" spans="1:12">
      <c r="A5" s="102" t="s">
        <v>28</v>
      </c>
      <c r="B5" s="103" t="s">
        <v>36</v>
      </c>
      <c r="C5" s="104">
        <v>15</v>
      </c>
      <c r="D5" s="104">
        <v>20</v>
      </c>
      <c r="E5" s="104">
        <v>25</v>
      </c>
      <c r="F5" s="104">
        <v>0.639178240740741</v>
      </c>
      <c r="G5" s="101" t="str">
        <f t="shared" si="0"/>
        <v>Afternoon</v>
      </c>
      <c r="H5" s="104" t="s">
        <v>269</v>
      </c>
    </row>
    <row r="6" ht="15.75" customHeight="1" spans="1:12">
      <c r="A6" s="98" t="s">
        <v>37</v>
      </c>
      <c r="B6" s="99" t="s">
        <v>44</v>
      </c>
      <c r="C6" s="100">
        <v>22</v>
      </c>
      <c r="D6" s="100">
        <v>45</v>
      </c>
      <c r="E6" s="100">
        <v>10</v>
      </c>
      <c r="F6" s="100">
        <v>0.948032407407407</v>
      </c>
      <c r="G6" s="101" t="str">
        <f t="shared" si="0"/>
        <v>Evening</v>
      </c>
      <c r="H6" s="100" t="s">
        <v>263</v>
      </c>
    </row>
    <row r="7" ht="15.75" customHeight="1" spans="1:12">
      <c r="A7" s="102" t="s">
        <v>45</v>
      </c>
      <c r="B7" s="103" t="s">
        <v>53</v>
      </c>
      <c r="C7" s="104">
        <v>22</v>
      </c>
      <c r="D7" s="104">
        <v>27</v>
      </c>
      <c r="E7" s="104">
        <v>40</v>
      </c>
      <c r="F7" s="104">
        <v>0.93587962962963</v>
      </c>
      <c r="G7" s="101" t="str">
        <f t="shared" si="0"/>
        <v>Evening</v>
      </c>
      <c r="H7" s="104" t="s">
        <v>263</v>
      </c>
    </row>
    <row r="8" ht="15.75" customHeight="1" spans="1:12">
      <c r="A8" s="98" t="s">
        <v>54</v>
      </c>
      <c r="B8" s="99" t="s">
        <v>59</v>
      </c>
      <c r="C8" s="100">
        <v>21</v>
      </c>
      <c r="D8" s="100">
        <v>48</v>
      </c>
      <c r="E8" s="100">
        <v>8</v>
      </c>
      <c r="F8" s="100">
        <v>0.908425925925926</v>
      </c>
      <c r="G8" s="101" t="str">
        <f t="shared" si="0"/>
        <v>Evening</v>
      </c>
      <c r="H8" s="100" t="s">
        <v>263</v>
      </c>
      <c r="K8" s="97" t="s">
        <v>449</v>
      </c>
      <c r="L8" t="s">
        <v>450</v>
      </c>
    </row>
    <row r="9" ht="15.75" customHeight="1" spans="1:12">
      <c r="A9" s="102" t="s">
        <v>60</v>
      </c>
      <c r="B9" s="103" t="s">
        <v>69</v>
      </c>
      <c r="C9" s="104">
        <f>HOUR(B9)</f>
        <v>10</v>
      </c>
      <c r="D9" s="104">
        <f>MINUTE(B9)</f>
        <v>11</v>
      </c>
      <c r="E9" s="104">
        <f>SECOND(B9)</f>
        <v>26</v>
      </c>
      <c r="F9" s="104">
        <f>TIMEVALUE(B9)</f>
        <v>0.424606481479714</v>
      </c>
      <c r="G9" s="101" t="str">
        <f t="shared" si="0"/>
        <v>Morning</v>
      </c>
      <c r="H9" s="104" t="str">
        <f>IF(HOUR(C9)&gt;=9,IF(HOUR(C9)&lt;18,"Biz","After hours"),"Befor hours")</f>
        <v>Befor hours</v>
      </c>
    </row>
    <row r="10" ht="15.75" customHeight="1" spans="1:12">
      <c r="A10" s="98" t="s">
        <v>70</v>
      </c>
      <c r="B10" s="99" t="s">
        <v>78</v>
      </c>
      <c r="C10" s="104">
        <f t="shared" ref="C10:C28" si="1">HOUR(B10)</f>
        <v>21</v>
      </c>
      <c r="D10" s="104">
        <f t="shared" ref="D10:D28" si="2">MINUTE(B10)</f>
        <v>3</v>
      </c>
      <c r="E10" s="104">
        <f t="shared" ref="E10:E28" si="3">SECOND(B10)</f>
        <v>21</v>
      </c>
      <c r="F10" s="104">
        <f t="shared" ref="F10:F28" si="4">TIMEVALUE(B10)</f>
        <v>0.877326388887013</v>
      </c>
      <c r="G10" s="101" t="str">
        <f t="shared" ref="G10:G28" si="5">IF(HOUR(B10)&lt;12,"Morning",IF(HOUR(B10)&lt;17,"Afternoon","Evening"))</f>
        <v>Evening</v>
      </c>
      <c r="H10" s="100"/>
    </row>
    <row r="11" ht="15.75" customHeight="1" spans="1:12">
      <c r="A11" s="102" t="s">
        <v>79</v>
      </c>
      <c r="B11" s="103" t="s">
        <v>84</v>
      </c>
      <c r="C11" s="104">
        <f t="shared" si="1"/>
        <v>20</v>
      </c>
      <c r="D11" s="104">
        <f t="shared" si="2"/>
        <v>28</v>
      </c>
      <c r="E11" s="104">
        <f t="shared" si="3"/>
        <v>14</v>
      </c>
      <c r="F11" s="104">
        <f t="shared" si="4"/>
        <v>0.852939814816636</v>
      </c>
      <c r="G11" s="101" t="str">
        <f t="shared" si="5"/>
        <v>Evening</v>
      </c>
      <c r="H11" s="104"/>
    </row>
    <row r="12" ht="15.75" customHeight="1" spans="1:12">
      <c r="A12" s="98" t="s">
        <v>85</v>
      </c>
      <c r="B12" s="99" t="s">
        <v>91</v>
      </c>
      <c r="C12" s="104">
        <f t="shared" si="1"/>
        <v>14</v>
      </c>
      <c r="D12" s="104">
        <f t="shared" si="2"/>
        <v>58</v>
      </c>
      <c r="E12" s="104">
        <f t="shared" si="3"/>
        <v>16</v>
      </c>
      <c r="F12" s="104">
        <f t="shared" si="4"/>
        <v>0.623796296298678</v>
      </c>
      <c r="G12" s="101" t="str">
        <f t="shared" si="5"/>
        <v>Afternoon</v>
      </c>
      <c r="H12" s="100"/>
    </row>
    <row r="13" ht="15.75" customHeight="1" spans="1:12">
      <c r="A13" s="102" t="s">
        <v>92</v>
      </c>
      <c r="B13" s="103" t="s">
        <v>96</v>
      </c>
      <c r="C13" s="104">
        <f t="shared" si="1"/>
        <v>12</v>
      </c>
      <c r="D13" s="104">
        <f t="shared" si="2"/>
        <v>24</v>
      </c>
      <c r="E13" s="104">
        <f t="shared" si="3"/>
        <v>43</v>
      </c>
      <c r="F13" s="104">
        <f t="shared" si="4"/>
        <v>0.517164351855172</v>
      </c>
      <c r="G13" s="101" t="str">
        <f t="shared" si="5"/>
        <v>Afternoon</v>
      </c>
      <c r="H13" s="104"/>
    </row>
    <row r="14" ht="15.75" customHeight="1" spans="1:12">
      <c r="A14" s="98" t="s">
        <v>97</v>
      </c>
      <c r="B14" s="99" t="s">
        <v>102</v>
      </c>
      <c r="C14" s="104">
        <f t="shared" si="1"/>
        <v>14</v>
      </c>
      <c r="D14" s="104">
        <f t="shared" si="2"/>
        <v>55</v>
      </c>
      <c r="E14" s="104">
        <f t="shared" si="3"/>
        <v>55</v>
      </c>
      <c r="F14" s="104">
        <f t="shared" si="4"/>
        <v>0.622164351851097</v>
      </c>
      <c r="G14" s="101" t="str">
        <f t="shared" si="5"/>
        <v>Afternoon</v>
      </c>
      <c r="H14" s="100"/>
    </row>
    <row r="15" ht="15.75" customHeight="1" spans="1:12">
      <c r="A15" s="102" t="s">
        <v>103</v>
      </c>
      <c r="B15" s="103" t="s">
        <v>108</v>
      </c>
      <c r="C15" s="104">
        <f t="shared" si="1"/>
        <v>15</v>
      </c>
      <c r="D15" s="104">
        <f t="shared" si="2"/>
        <v>35</v>
      </c>
      <c r="E15" s="104">
        <f t="shared" si="3"/>
        <v>33</v>
      </c>
      <c r="F15" s="104">
        <f t="shared" si="4"/>
        <v>0.649687500001164</v>
      </c>
      <c r="G15" s="101" t="str">
        <f t="shared" si="5"/>
        <v>Afternoon</v>
      </c>
      <c r="H15" s="104"/>
    </row>
    <row r="16" ht="15.75" customHeight="1" spans="1:12">
      <c r="A16" s="98" t="s">
        <v>109</v>
      </c>
      <c r="B16" s="99" t="s">
        <v>114</v>
      </c>
      <c r="C16" s="104">
        <f t="shared" si="1"/>
        <v>17</v>
      </c>
      <c r="D16" s="104">
        <f t="shared" si="2"/>
        <v>18</v>
      </c>
      <c r="E16" s="104">
        <f t="shared" si="3"/>
        <v>12</v>
      </c>
      <c r="F16" s="104">
        <f t="shared" si="4"/>
        <v>0.7209722222251</v>
      </c>
      <c r="G16" s="101" t="str">
        <f t="shared" si="5"/>
        <v>Evening</v>
      </c>
      <c r="H16" s="100"/>
    </row>
    <row r="17" ht="15.75" customHeight="1" spans="1:8">
      <c r="A17" s="102" t="s">
        <v>115</v>
      </c>
      <c r="B17" s="103" t="s">
        <v>119</v>
      </c>
      <c r="C17" s="104">
        <f t="shared" si="1"/>
        <v>13</v>
      </c>
      <c r="D17" s="104">
        <f t="shared" si="2"/>
        <v>16</v>
      </c>
      <c r="E17" s="104">
        <f t="shared" si="3"/>
        <v>13</v>
      </c>
      <c r="F17" s="104">
        <f t="shared" si="4"/>
        <v>0.552928240744222</v>
      </c>
      <c r="G17" s="101" t="str">
        <f t="shared" si="5"/>
        <v>Afternoon</v>
      </c>
      <c r="H17" s="104"/>
    </row>
    <row r="18" ht="15.75" customHeight="1" spans="1:8">
      <c r="A18" s="98" t="s">
        <v>120</v>
      </c>
      <c r="B18" s="99" t="s">
        <v>126</v>
      </c>
      <c r="C18" s="104">
        <f t="shared" si="1"/>
        <v>9</v>
      </c>
      <c r="D18" s="104">
        <f t="shared" si="2"/>
        <v>21</v>
      </c>
      <c r="E18" s="104">
        <f t="shared" si="3"/>
        <v>50</v>
      </c>
      <c r="F18" s="104">
        <f t="shared" si="4"/>
        <v>0.390162037037953</v>
      </c>
      <c r="G18" s="101" t="str">
        <f t="shared" si="5"/>
        <v>Morning</v>
      </c>
      <c r="H18" s="100"/>
    </row>
    <row r="19" ht="15.75" customHeight="1" spans="1:8">
      <c r="A19" s="102" t="s">
        <v>127</v>
      </c>
      <c r="B19" s="103" t="s">
        <v>131</v>
      </c>
      <c r="C19" s="104">
        <f t="shared" si="1"/>
        <v>17</v>
      </c>
      <c r="D19" s="104">
        <f t="shared" si="2"/>
        <v>58</v>
      </c>
      <c r="E19" s="104">
        <f t="shared" si="3"/>
        <v>3</v>
      </c>
      <c r="F19" s="104">
        <f t="shared" si="4"/>
        <v>0.748645833336923</v>
      </c>
      <c r="G19" s="101" t="str">
        <f t="shared" si="5"/>
        <v>Evening</v>
      </c>
      <c r="H19" s="104"/>
    </row>
    <row r="20" ht="15.75" customHeight="1" spans="1:8">
      <c r="A20" s="98" t="s">
        <v>132</v>
      </c>
      <c r="B20" s="99" t="s">
        <v>136</v>
      </c>
      <c r="C20" s="104">
        <f t="shared" si="1"/>
        <v>12</v>
      </c>
      <c r="D20" s="104">
        <f t="shared" si="2"/>
        <v>17</v>
      </c>
      <c r="E20" s="104">
        <f t="shared" si="3"/>
        <v>42</v>
      </c>
      <c r="F20" s="104">
        <f t="shared" si="4"/>
        <v>0.512291666665988</v>
      </c>
      <c r="G20" s="101" t="str">
        <f t="shared" si="5"/>
        <v>Afternoon</v>
      </c>
      <c r="H20" s="100"/>
    </row>
    <row r="21" ht="15.75" customHeight="1" spans="1:8">
      <c r="A21" s="102" t="s">
        <v>137</v>
      </c>
      <c r="B21" s="103" t="s">
        <v>141</v>
      </c>
      <c r="C21" s="104">
        <f t="shared" si="1"/>
        <v>8</v>
      </c>
      <c r="D21" s="104">
        <f t="shared" si="2"/>
        <v>48</v>
      </c>
      <c r="E21" s="104">
        <f t="shared" si="3"/>
        <v>32</v>
      </c>
      <c r="F21" s="104">
        <f t="shared" si="4"/>
        <v>0.367037037038244</v>
      </c>
      <c r="G21" s="101" t="str">
        <f t="shared" si="5"/>
        <v>Morning</v>
      </c>
      <c r="H21" s="104"/>
    </row>
    <row r="22" ht="15.75" customHeight="1" spans="1:8">
      <c r="A22" s="98" t="s">
        <v>142</v>
      </c>
      <c r="B22" s="99" t="s">
        <v>146</v>
      </c>
      <c r="C22" s="104">
        <f t="shared" si="1"/>
        <v>11</v>
      </c>
      <c r="D22" s="104">
        <f t="shared" si="2"/>
        <v>19</v>
      </c>
      <c r="E22" s="104">
        <f t="shared" si="3"/>
        <v>11</v>
      </c>
      <c r="F22" s="104">
        <f t="shared" si="4"/>
        <v>0.471655092595029</v>
      </c>
      <c r="G22" s="101" t="str">
        <f t="shared" si="5"/>
        <v>Morning</v>
      </c>
      <c r="H22" s="100"/>
    </row>
    <row r="23" ht="15.75" customHeight="1" spans="1:8">
      <c r="A23" s="102" t="s">
        <v>147</v>
      </c>
      <c r="B23" s="103" t="s">
        <v>151</v>
      </c>
      <c r="C23" s="104">
        <f t="shared" si="1"/>
        <v>22</v>
      </c>
      <c r="D23" s="104">
        <f t="shared" si="2"/>
        <v>52</v>
      </c>
      <c r="E23" s="104">
        <f t="shared" si="3"/>
        <v>10</v>
      </c>
      <c r="F23" s="104">
        <f t="shared" si="4"/>
        <v>0.952893518515339</v>
      </c>
      <c r="G23" s="101" t="str">
        <f t="shared" si="5"/>
        <v>Evening</v>
      </c>
      <c r="H23" s="104"/>
    </row>
    <row r="24" ht="15.75" customHeight="1" spans="1:8">
      <c r="A24" s="98" t="s">
        <v>152</v>
      </c>
      <c r="B24" s="99" t="s">
        <v>156</v>
      </c>
      <c r="C24" s="104">
        <f t="shared" si="1"/>
        <v>22</v>
      </c>
      <c r="D24" s="104">
        <f t="shared" si="2"/>
        <v>18</v>
      </c>
      <c r="E24" s="104">
        <f t="shared" si="3"/>
        <v>51</v>
      </c>
      <c r="F24" s="104">
        <f t="shared" si="4"/>
        <v>0.929756944446126</v>
      </c>
      <c r="G24" s="101" t="str">
        <f t="shared" si="5"/>
        <v>Evening</v>
      </c>
      <c r="H24" s="100"/>
    </row>
    <row r="25" ht="15.75" customHeight="1" spans="1:8">
      <c r="A25" s="102" t="s">
        <v>157</v>
      </c>
      <c r="B25" s="103" t="s">
        <v>161</v>
      </c>
      <c r="C25" s="104">
        <f t="shared" si="1"/>
        <v>14</v>
      </c>
      <c r="D25" s="104">
        <f t="shared" si="2"/>
        <v>52</v>
      </c>
      <c r="E25" s="104">
        <f t="shared" si="3"/>
        <v>17</v>
      </c>
      <c r="F25" s="104">
        <f t="shared" si="4"/>
        <v>0.619641203702486</v>
      </c>
      <c r="G25" s="101" t="str">
        <f t="shared" si="5"/>
        <v>Afternoon</v>
      </c>
      <c r="H25" s="104"/>
    </row>
    <row r="26" ht="15.75" customHeight="1" spans="1:8">
      <c r="A26" s="98" t="s">
        <v>162</v>
      </c>
      <c r="B26" s="99" t="s">
        <v>166</v>
      </c>
      <c r="C26" s="104">
        <f t="shared" si="1"/>
        <v>11</v>
      </c>
      <c r="D26" s="104">
        <f t="shared" si="2"/>
        <v>41</v>
      </c>
      <c r="E26" s="104">
        <f t="shared" si="3"/>
        <v>16</v>
      </c>
      <c r="F26" s="104">
        <f t="shared" si="4"/>
        <v>0.486990740741021</v>
      </c>
      <c r="G26" s="101" t="str">
        <f t="shared" si="5"/>
        <v>Morning</v>
      </c>
      <c r="H26" s="100"/>
    </row>
    <row r="27" ht="15.75" customHeight="1" spans="1:8">
      <c r="A27" s="102" t="s">
        <v>167</v>
      </c>
      <c r="B27" s="103" t="s">
        <v>171</v>
      </c>
      <c r="C27" s="104">
        <f t="shared" si="1"/>
        <v>8</v>
      </c>
      <c r="D27" s="104">
        <f t="shared" si="2"/>
        <v>59</v>
      </c>
      <c r="E27" s="104">
        <f t="shared" si="3"/>
        <v>41</v>
      </c>
      <c r="F27" s="104">
        <f t="shared" si="4"/>
        <v>0.374780092592118</v>
      </c>
      <c r="G27" s="101" t="str">
        <f t="shared" si="5"/>
        <v>Morning</v>
      </c>
      <c r="H27" s="104"/>
    </row>
    <row r="28" ht="15.75" customHeight="1" spans="1:8">
      <c r="A28" s="98" t="s">
        <v>172</v>
      </c>
      <c r="B28" s="99" t="s">
        <v>176</v>
      </c>
      <c r="C28" s="104">
        <f t="shared" si="1"/>
        <v>11</v>
      </c>
      <c r="D28" s="104">
        <f t="shared" si="2"/>
        <v>46</v>
      </c>
      <c r="E28" s="104">
        <f t="shared" si="3"/>
        <v>36</v>
      </c>
      <c r="F28" s="104">
        <f t="shared" si="4"/>
        <v>0.490694444444671</v>
      </c>
      <c r="G28" s="101" t="str">
        <f t="shared" si="5"/>
        <v>Morning</v>
      </c>
      <c r="H28" s="100"/>
    </row>
    <row r="29" ht="15.25"/>
    <row r="30" ht="25.5" customHeight="1" spans="1:8">
      <c r="A30" s="105" t="s">
        <v>199</v>
      </c>
      <c r="B30" s="105"/>
      <c r="C30" s="105"/>
      <c r="D30" s="105"/>
      <c r="E30" s="105"/>
      <c r="F30" s="105"/>
      <c r="G30" s="105"/>
      <c r="H30" s="105"/>
    </row>
    <row r="31" ht="27.75" customHeight="1" spans="1:8">
      <c r="A31" s="106" t="s">
        <v>451</v>
      </c>
      <c r="B31" s="106"/>
      <c r="C31" s="106"/>
      <c r="D31" s="107" t="s">
        <v>452</v>
      </c>
      <c r="E31" s="107"/>
      <c r="F31" s="107"/>
      <c r="G31" s="107"/>
    </row>
    <row r="32" ht="27.75" customHeight="1" spans="1:8">
      <c r="A32" s="106" t="s">
        <v>453</v>
      </c>
      <c r="B32" s="106"/>
      <c r="C32" s="106"/>
      <c r="D32" s="107" t="s">
        <v>454</v>
      </c>
      <c r="E32" s="107"/>
      <c r="F32" s="107"/>
      <c r="G32" s="107"/>
    </row>
    <row r="33" ht="27.75" customHeight="1" spans="1:7">
      <c r="A33" s="106" t="s">
        <v>455</v>
      </c>
      <c r="B33" s="106"/>
      <c r="C33" s="106"/>
      <c r="D33" s="107" t="s">
        <v>456</v>
      </c>
      <c r="E33" s="107"/>
      <c r="F33" s="107"/>
      <c r="G33" s="107"/>
    </row>
    <row r="34" ht="27.75" customHeight="1" spans="1:7">
      <c r="A34" s="106" t="s">
        <v>457</v>
      </c>
      <c r="B34" s="106"/>
      <c r="C34" s="106"/>
      <c r="D34" s="107" t="s">
        <v>458</v>
      </c>
      <c r="E34" s="107"/>
      <c r="F34" s="107"/>
      <c r="G34" s="107"/>
    </row>
    <row r="35" ht="27.75" customHeight="1" spans="1:7">
      <c r="A35" s="106" t="s">
        <v>459</v>
      </c>
      <c r="B35" s="106"/>
      <c r="C35" s="106"/>
      <c r="D35" s="107" t="s">
        <v>460</v>
      </c>
      <c r="E35" s="107"/>
      <c r="F35" s="107"/>
      <c r="G35" s="107"/>
    </row>
    <row r="36" ht="27.75" customHeight="1" spans="1:7">
      <c r="A36" s="106" t="s">
        <v>461</v>
      </c>
      <c r="B36" s="106"/>
      <c r="C36" s="106"/>
      <c r="D36" s="107" t="s">
        <v>462</v>
      </c>
      <c r="E36" s="107"/>
      <c r="F36" s="107"/>
      <c r="G36" s="107"/>
    </row>
    <row r="37" ht="27.75" customHeight="1" spans="1:7">
      <c r="A37" s="106" t="s">
        <v>463</v>
      </c>
      <c r="B37" s="106"/>
      <c r="C37" s="106"/>
      <c r="D37" s="107" t="s">
        <v>464</v>
      </c>
      <c r="E37" s="107"/>
      <c r="F37" s="107"/>
      <c r="G37" s="107"/>
    </row>
    <row r="38" ht="27.75" customHeight="1" spans="1:7">
      <c r="A38" s="106" t="s">
        <v>465</v>
      </c>
      <c r="B38" s="106"/>
      <c r="C38" s="106"/>
      <c r="D38" s="107" t="s">
        <v>466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D36"/>
  <sheetViews>
    <sheetView showGridLines="0" workbookViewId="0">
      <selection activeCell="C5" sqref="C5"/>
    </sheetView>
  </sheetViews>
  <sheetFormatPr defaultColWidth="8.66363636363636" defaultRowHeight="14.5" outlineLevelCol="3"/>
  <cols>
    <col min="1" max="1" width="5" customWidth="1"/>
    <col min="2" max="2" width="63.3363636363636" customWidth="1"/>
    <col min="3" max="3" width="36" customWidth="1"/>
    <col min="4" max="4" width="16" customWidth="1"/>
  </cols>
  <sheetData>
    <row r="1" ht="37.5" customHeight="1" spans="1:4">
      <c r="A1" s="1" t="s">
        <v>467</v>
      </c>
      <c r="B1" s="1"/>
      <c r="C1" s="1"/>
      <c r="D1" s="1"/>
    </row>
    <row r="2" ht="30" customHeight="1" spans="1:4">
      <c r="A2" s="2" t="s">
        <v>468</v>
      </c>
      <c r="B2" s="2"/>
      <c r="C2" s="2"/>
      <c r="D2" s="2"/>
    </row>
    <row r="3" ht="15.25"/>
    <row r="4" ht="25.5" customHeight="1" spans="1:4">
      <c r="A4" s="86" t="s">
        <v>469</v>
      </c>
      <c r="B4" s="86"/>
      <c r="C4" s="86"/>
      <c r="D4" s="86"/>
    </row>
    <row r="5" ht="43.5" customHeight="1" spans="1:4">
      <c r="A5" s="87" t="s">
        <v>470</v>
      </c>
      <c r="B5" s="88" t="s">
        <v>471</v>
      </c>
      <c r="C5" s="89" t="s">
        <v>472</v>
      </c>
      <c r="D5" s="90" t="s">
        <v>473</v>
      </c>
    </row>
    <row r="6" ht="43.5" customHeight="1" spans="1:4">
      <c r="A6" s="87" t="s">
        <v>474</v>
      </c>
      <c r="B6" s="88" t="s">
        <v>475</v>
      </c>
      <c r="C6" s="89" t="s">
        <v>472</v>
      </c>
      <c r="D6" s="90" t="s">
        <v>473</v>
      </c>
    </row>
    <row r="7" ht="43.5" customHeight="1" spans="1:4">
      <c r="A7" s="91" t="s">
        <v>476</v>
      </c>
      <c r="B7" s="88" t="s">
        <v>477</v>
      </c>
      <c r="C7" s="89" t="s">
        <v>472</v>
      </c>
      <c r="D7" s="92" t="s">
        <v>478</v>
      </c>
    </row>
    <row r="8" ht="43.5" customHeight="1" spans="1:4">
      <c r="A8" s="91" t="s">
        <v>479</v>
      </c>
      <c r="B8" s="88" t="s">
        <v>480</v>
      </c>
      <c r="C8" s="89" t="s">
        <v>472</v>
      </c>
      <c r="D8" s="92" t="s">
        <v>478</v>
      </c>
    </row>
    <row r="9" ht="25.5" customHeight="1" spans="1:4">
      <c r="A9" s="86" t="s">
        <v>481</v>
      </c>
      <c r="B9" s="86"/>
      <c r="C9" s="86"/>
      <c r="D9" s="86"/>
    </row>
    <row r="10" ht="43.5" customHeight="1" spans="1:4">
      <c r="A10" s="87" t="s">
        <v>482</v>
      </c>
      <c r="B10" s="88" t="s">
        <v>483</v>
      </c>
      <c r="C10" s="89" t="s">
        <v>472</v>
      </c>
      <c r="D10" s="90" t="s">
        <v>473</v>
      </c>
    </row>
    <row r="11" ht="43.5" customHeight="1" spans="1:4">
      <c r="A11" s="87" t="s">
        <v>484</v>
      </c>
      <c r="B11" s="88" t="s">
        <v>485</v>
      </c>
      <c r="C11" s="89" t="s">
        <v>472</v>
      </c>
      <c r="D11" s="90" t="s">
        <v>473</v>
      </c>
    </row>
    <row r="12" ht="43.5" customHeight="1" spans="1:4">
      <c r="A12" s="91" t="s">
        <v>486</v>
      </c>
      <c r="B12" s="88" t="s">
        <v>487</v>
      </c>
      <c r="C12" s="89" t="s">
        <v>472</v>
      </c>
      <c r="D12" s="92" t="s">
        <v>478</v>
      </c>
    </row>
    <row r="13" ht="25.5" customHeight="1" spans="1:4">
      <c r="A13" s="86" t="s">
        <v>488</v>
      </c>
      <c r="B13" s="86"/>
      <c r="C13" s="86"/>
      <c r="D13" s="86"/>
    </row>
    <row r="14" ht="43.5" customHeight="1" spans="1:4">
      <c r="A14" s="87" t="s">
        <v>489</v>
      </c>
      <c r="B14" s="88" t="s">
        <v>490</v>
      </c>
      <c r="C14" s="89" t="s">
        <v>472</v>
      </c>
      <c r="D14" s="90" t="s">
        <v>473</v>
      </c>
    </row>
    <row r="15" ht="43.5" customHeight="1" spans="1:4">
      <c r="A15" s="91" t="s">
        <v>491</v>
      </c>
      <c r="B15" s="88" t="s">
        <v>492</v>
      </c>
      <c r="C15" s="89" t="s">
        <v>472</v>
      </c>
      <c r="D15" s="92" t="s">
        <v>478</v>
      </c>
    </row>
    <row r="16" ht="43.5" customHeight="1" spans="1:4">
      <c r="A16" s="91" t="s">
        <v>493</v>
      </c>
      <c r="B16" s="88" t="s">
        <v>494</v>
      </c>
      <c r="C16" s="89" t="s">
        <v>472</v>
      </c>
      <c r="D16" s="92" t="s">
        <v>478</v>
      </c>
    </row>
    <row r="17" ht="25.5" customHeight="1" spans="1:4">
      <c r="A17" s="86" t="s">
        <v>495</v>
      </c>
      <c r="B17" s="86"/>
      <c r="C17" s="86"/>
      <c r="D17" s="86"/>
    </row>
    <row r="18" ht="43.5" customHeight="1" spans="1:4">
      <c r="A18" s="87" t="s">
        <v>496</v>
      </c>
      <c r="B18" s="88" t="s">
        <v>497</v>
      </c>
      <c r="C18" s="89" t="s">
        <v>472</v>
      </c>
      <c r="D18" s="90" t="s">
        <v>473</v>
      </c>
    </row>
    <row r="19" ht="43.5" customHeight="1" spans="1:4">
      <c r="A19" s="87" t="s">
        <v>498</v>
      </c>
      <c r="B19" s="88" t="s">
        <v>499</v>
      </c>
      <c r="C19" s="89" t="s">
        <v>472</v>
      </c>
      <c r="D19" s="90" t="s">
        <v>473</v>
      </c>
    </row>
    <row r="20" ht="43.5" customHeight="1" spans="1:4">
      <c r="A20" s="91" t="s">
        <v>500</v>
      </c>
      <c r="B20" s="88" t="s">
        <v>501</v>
      </c>
      <c r="C20" s="89" t="s">
        <v>472</v>
      </c>
      <c r="D20" s="92" t="s">
        <v>478</v>
      </c>
    </row>
    <row r="21" ht="43.5" customHeight="1" spans="1:4">
      <c r="A21" s="91" t="s">
        <v>502</v>
      </c>
      <c r="B21" s="88" t="s">
        <v>503</v>
      </c>
      <c r="C21" s="89" t="s">
        <v>472</v>
      </c>
      <c r="D21" s="92" t="s">
        <v>478</v>
      </c>
    </row>
    <row r="22" ht="25.5" customHeight="1" spans="1:4">
      <c r="A22" s="86" t="s">
        <v>504</v>
      </c>
      <c r="B22" s="86"/>
      <c r="C22" s="86"/>
      <c r="D22" s="86"/>
    </row>
    <row r="23" ht="43.5" customHeight="1" spans="1:4">
      <c r="A23" s="87" t="s">
        <v>505</v>
      </c>
      <c r="B23" s="88" t="s">
        <v>506</v>
      </c>
      <c r="C23" s="89" t="s">
        <v>472</v>
      </c>
      <c r="D23" s="90" t="s">
        <v>473</v>
      </c>
    </row>
    <row r="24" ht="43.5" customHeight="1" spans="1:4">
      <c r="A24" s="87" t="s">
        <v>507</v>
      </c>
      <c r="B24" s="88" t="s">
        <v>508</v>
      </c>
      <c r="C24" s="89" t="s">
        <v>472</v>
      </c>
      <c r="D24" s="90" t="s">
        <v>473</v>
      </c>
    </row>
    <row r="25" ht="43.5" customHeight="1" spans="1:4">
      <c r="A25" s="87" t="s">
        <v>509</v>
      </c>
      <c r="B25" s="88" t="s">
        <v>510</v>
      </c>
      <c r="C25" s="89" t="s">
        <v>472</v>
      </c>
      <c r="D25" s="90" t="s">
        <v>473</v>
      </c>
    </row>
    <row r="26" ht="25.5" customHeight="1" spans="1:4">
      <c r="A26" s="86" t="s">
        <v>511</v>
      </c>
      <c r="B26" s="86"/>
      <c r="C26" s="86"/>
      <c r="D26" s="86"/>
    </row>
    <row r="27" ht="43.5" customHeight="1" spans="1:4">
      <c r="A27" s="87" t="s">
        <v>512</v>
      </c>
      <c r="B27" s="88" t="s">
        <v>513</v>
      </c>
      <c r="C27" s="89" t="s">
        <v>472</v>
      </c>
      <c r="D27" s="90" t="s">
        <v>473</v>
      </c>
    </row>
    <row r="28" ht="43.5" customHeight="1" spans="1:4">
      <c r="A28" s="91" t="s">
        <v>514</v>
      </c>
      <c r="B28" s="88" t="s">
        <v>515</v>
      </c>
      <c r="C28" s="89" t="s">
        <v>472</v>
      </c>
      <c r="D28" s="92" t="s">
        <v>478</v>
      </c>
    </row>
    <row r="29" ht="43.5" customHeight="1" spans="1:4">
      <c r="A29" s="87" t="s">
        <v>516</v>
      </c>
      <c r="B29" s="88" t="s">
        <v>517</v>
      </c>
      <c r="C29" s="89" t="s">
        <v>472</v>
      </c>
      <c r="D29" s="90" t="s">
        <v>473</v>
      </c>
    </row>
    <row r="30" ht="25.5" customHeight="1" spans="1:4">
      <c r="A30" s="86" t="s">
        <v>518</v>
      </c>
      <c r="B30" s="86"/>
      <c r="C30" s="86"/>
      <c r="D30" s="86"/>
    </row>
    <row r="31" ht="43.5" customHeight="1" spans="1:4">
      <c r="A31" s="91" t="s">
        <v>519</v>
      </c>
      <c r="B31" s="88" t="s">
        <v>520</v>
      </c>
      <c r="C31" s="89" t="s">
        <v>472</v>
      </c>
      <c r="D31" s="92" t="s">
        <v>478</v>
      </c>
    </row>
    <row r="32" ht="43.5" customHeight="1" spans="1:4">
      <c r="A32" s="91" t="s">
        <v>521</v>
      </c>
      <c r="B32" s="88" t="s">
        <v>522</v>
      </c>
      <c r="C32" s="89" t="s">
        <v>472</v>
      </c>
      <c r="D32" s="92" t="s">
        <v>478</v>
      </c>
    </row>
    <row r="33" ht="43.5" customHeight="1" spans="1:4">
      <c r="A33" s="87" t="s">
        <v>523</v>
      </c>
      <c r="B33" s="88" t="s">
        <v>524</v>
      </c>
      <c r="C33" s="89" t="s">
        <v>472</v>
      </c>
      <c r="D33" s="90" t="s">
        <v>473</v>
      </c>
    </row>
    <row r="34" ht="25.5" customHeight="1" spans="1:4">
      <c r="A34" s="86" t="s">
        <v>525</v>
      </c>
      <c r="B34" s="86"/>
      <c r="C34" s="86"/>
      <c r="D34" s="86"/>
    </row>
    <row r="35" ht="43.5" customHeight="1" spans="1:4">
      <c r="A35" s="91" t="s">
        <v>526</v>
      </c>
      <c r="B35" s="88" t="s">
        <v>527</v>
      </c>
      <c r="C35" s="89" t="s">
        <v>472</v>
      </c>
      <c r="D35" s="92" t="s">
        <v>478</v>
      </c>
    </row>
    <row r="36" ht="43.5" customHeight="1" spans="1:4">
      <c r="A36" s="93" t="s">
        <v>528</v>
      </c>
      <c r="B36" s="88" t="s">
        <v>529</v>
      </c>
      <c r="C36" s="89" t="s">
        <v>472</v>
      </c>
      <c r="D36" s="94" t="s">
        <v>530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F38"/>
  <sheetViews>
    <sheetView showGridLines="0" topLeftCell="A26" workbookViewId="0">
      <selection activeCell="C27" sqref="C27"/>
    </sheetView>
  </sheetViews>
  <sheetFormatPr defaultColWidth="8.66363636363636" defaultRowHeight="14.5" outlineLevelCol="5"/>
  <cols>
    <col min="1" max="1" width="15" customWidth="1"/>
    <col min="2" max="2" width="40" customWidth="1"/>
    <col min="3" max="3" width="26" customWidth="1"/>
    <col min="4" max="4" width="12" customWidth="1"/>
    <col min="5" max="5" width="46.3363636363636" customWidth="1"/>
    <col min="6" max="6" width="51.1090909090909" customWidth="1"/>
  </cols>
  <sheetData>
    <row r="1" ht="37.5" customHeight="1" spans="1:6">
      <c r="A1" s="1" t="s">
        <v>531</v>
      </c>
      <c r="B1" s="1"/>
      <c r="C1" s="1"/>
      <c r="D1" s="1"/>
      <c r="E1" s="1"/>
      <c r="F1" s="1"/>
    </row>
    <row r="2" ht="30" customHeight="1" spans="1:6">
      <c r="A2" s="2" t="s">
        <v>532</v>
      </c>
      <c r="B2" s="2"/>
      <c r="C2" s="2"/>
      <c r="D2" s="2"/>
      <c r="E2" s="2"/>
      <c r="F2" s="2"/>
    </row>
    <row r="3" ht="21.75" customHeight="1" spans="1:6">
      <c r="A3" s="3" t="s">
        <v>533</v>
      </c>
      <c r="B3" s="3" t="s">
        <v>534</v>
      </c>
      <c r="C3" s="3" t="s">
        <v>535</v>
      </c>
      <c r="D3" s="3" t="s">
        <v>536</v>
      </c>
      <c r="E3" s="3" t="s">
        <v>537</v>
      </c>
      <c r="F3" s="3" t="s">
        <v>538</v>
      </c>
    </row>
    <row r="4" ht="31.5" customHeight="1" spans="1:6">
      <c r="A4" s="4" t="s">
        <v>539</v>
      </c>
      <c r="B4" s="5" t="s">
        <v>540</v>
      </c>
      <c r="C4" s="6" t="s">
        <v>541</v>
      </c>
      <c r="D4" s="7" t="s">
        <v>542</v>
      </c>
      <c r="E4" s="6" t="s">
        <v>543</v>
      </c>
      <c r="F4" s="8" t="s">
        <v>544</v>
      </c>
    </row>
    <row r="5" ht="31.5" customHeight="1" spans="1:6">
      <c r="A5" s="9" t="s">
        <v>545</v>
      </c>
      <c r="B5" s="10" t="s">
        <v>546</v>
      </c>
      <c r="C5" s="11" t="s">
        <v>547</v>
      </c>
      <c r="D5" s="12" t="s">
        <v>542</v>
      </c>
      <c r="E5" s="11" t="s">
        <v>548</v>
      </c>
      <c r="F5" s="13" t="s">
        <v>549</v>
      </c>
    </row>
    <row r="6" ht="31.5" customHeight="1" spans="1:6">
      <c r="A6" s="4" t="s">
        <v>550</v>
      </c>
      <c r="B6" s="5" t="s">
        <v>551</v>
      </c>
      <c r="C6" s="6" t="s">
        <v>552</v>
      </c>
      <c r="D6" s="7" t="s">
        <v>542</v>
      </c>
      <c r="E6" s="6" t="s">
        <v>553</v>
      </c>
      <c r="F6" s="8" t="s">
        <v>554</v>
      </c>
    </row>
    <row r="7" ht="31.5" customHeight="1" spans="1:6">
      <c r="A7" s="9" t="s">
        <v>180</v>
      </c>
      <c r="B7" s="10" t="s">
        <v>555</v>
      </c>
      <c r="C7" s="11" t="s">
        <v>556</v>
      </c>
      <c r="D7" s="12" t="s">
        <v>542</v>
      </c>
      <c r="E7" s="11" t="s">
        <v>557</v>
      </c>
      <c r="F7" s="13" t="s">
        <v>558</v>
      </c>
    </row>
    <row r="8" ht="31.5" customHeight="1" spans="1:6">
      <c r="A8" s="14" t="s">
        <v>217</v>
      </c>
      <c r="B8" s="15" t="s">
        <v>559</v>
      </c>
      <c r="C8" s="16" t="s">
        <v>560</v>
      </c>
      <c r="D8" s="17" t="s">
        <v>542</v>
      </c>
      <c r="E8" s="16" t="s">
        <v>561</v>
      </c>
      <c r="F8" s="18" t="s">
        <v>562</v>
      </c>
    </row>
    <row r="9" ht="31.5" customHeight="1" spans="1:6">
      <c r="A9" s="19" t="s">
        <v>218</v>
      </c>
      <c r="B9" s="20" t="s">
        <v>563</v>
      </c>
      <c r="C9" s="21" t="s">
        <v>564</v>
      </c>
      <c r="D9" s="22" t="s">
        <v>542</v>
      </c>
      <c r="E9" s="21" t="s">
        <v>565</v>
      </c>
      <c r="F9" s="23" t="s">
        <v>566</v>
      </c>
    </row>
    <row r="10" ht="31.5" customHeight="1" spans="1:6">
      <c r="A10" s="14" t="s">
        <v>219</v>
      </c>
      <c r="B10" s="15" t="s">
        <v>567</v>
      </c>
      <c r="C10" s="16" t="s">
        <v>568</v>
      </c>
      <c r="D10" s="17" t="s">
        <v>542</v>
      </c>
      <c r="E10" s="16" t="s">
        <v>569</v>
      </c>
      <c r="F10" s="18" t="s">
        <v>570</v>
      </c>
    </row>
    <row r="11" ht="31.5" customHeight="1" spans="1:6">
      <c r="A11" s="19" t="s">
        <v>571</v>
      </c>
      <c r="B11" s="20" t="s">
        <v>572</v>
      </c>
      <c r="C11" s="21" t="s">
        <v>573</v>
      </c>
      <c r="D11" s="22" t="s">
        <v>542</v>
      </c>
      <c r="E11" s="21" t="s">
        <v>574</v>
      </c>
      <c r="F11" s="23" t="s">
        <v>575</v>
      </c>
    </row>
    <row r="12" ht="31.5" customHeight="1" spans="1:6">
      <c r="A12" s="14" t="s">
        <v>576</v>
      </c>
      <c r="B12" s="15" t="s">
        <v>577</v>
      </c>
      <c r="C12" s="16" t="s">
        <v>578</v>
      </c>
      <c r="D12" s="17" t="s">
        <v>542</v>
      </c>
      <c r="E12" s="16" t="s">
        <v>579</v>
      </c>
      <c r="F12" s="18" t="s">
        <v>580</v>
      </c>
    </row>
    <row r="13" ht="31.5" customHeight="1" spans="1:6">
      <c r="A13" s="24" t="s">
        <v>581</v>
      </c>
      <c r="B13" s="25" t="s">
        <v>582</v>
      </c>
      <c r="C13" s="26" t="s">
        <v>583</v>
      </c>
      <c r="D13" s="27" t="s">
        <v>542</v>
      </c>
      <c r="E13" s="26" t="s">
        <v>584</v>
      </c>
      <c r="F13" s="28" t="s">
        <v>585</v>
      </c>
    </row>
    <row r="14" ht="31.5" customHeight="1" spans="1:6">
      <c r="A14" s="29" t="s">
        <v>586</v>
      </c>
      <c r="B14" s="30" t="s">
        <v>587</v>
      </c>
      <c r="C14" s="31" t="s">
        <v>588</v>
      </c>
      <c r="D14" s="32" t="s">
        <v>542</v>
      </c>
      <c r="E14" s="31" t="s">
        <v>589</v>
      </c>
      <c r="F14" s="33" t="s">
        <v>590</v>
      </c>
    </row>
    <row r="15" ht="31.5" customHeight="1" spans="1:6">
      <c r="A15" s="24" t="s">
        <v>591</v>
      </c>
      <c r="B15" s="25" t="s">
        <v>592</v>
      </c>
      <c r="C15" s="26" t="s">
        <v>593</v>
      </c>
      <c r="D15" s="27" t="s">
        <v>542</v>
      </c>
      <c r="E15" s="26" t="s">
        <v>594</v>
      </c>
      <c r="F15" s="28" t="s">
        <v>595</v>
      </c>
    </row>
    <row r="16" ht="31.5" customHeight="1" spans="1:6">
      <c r="A16" s="29" t="s">
        <v>596</v>
      </c>
      <c r="B16" s="30" t="s">
        <v>597</v>
      </c>
      <c r="C16" s="31" t="s">
        <v>598</v>
      </c>
      <c r="D16" s="32" t="s">
        <v>542</v>
      </c>
      <c r="E16" s="31" t="s">
        <v>599</v>
      </c>
      <c r="F16" s="33" t="s">
        <v>600</v>
      </c>
    </row>
    <row r="17" ht="31.5" customHeight="1" spans="1:6">
      <c r="A17" s="34" t="s">
        <v>601</v>
      </c>
      <c r="B17" s="35" t="s">
        <v>602</v>
      </c>
      <c r="C17" s="36" t="s">
        <v>603</v>
      </c>
      <c r="D17" s="37" t="s">
        <v>542</v>
      </c>
      <c r="E17" s="36" t="s">
        <v>604</v>
      </c>
      <c r="F17" s="38" t="s">
        <v>605</v>
      </c>
    </row>
    <row r="18" ht="31.5" customHeight="1" spans="1:6">
      <c r="A18" s="39" t="s">
        <v>606</v>
      </c>
      <c r="B18" s="40" t="s">
        <v>607</v>
      </c>
      <c r="C18" s="41" t="s">
        <v>608</v>
      </c>
      <c r="D18" s="42" t="s">
        <v>542</v>
      </c>
      <c r="E18" s="41" t="s">
        <v>609</v>
      </c>
      <c r="F18" s="43" t="s">
        <v>610</v>
      </c>
    </row>
    <row r="19" ht="31.5" customHeight="1" spans="1:6">
      <c r="A19" s="34" t="s">
        <v>611</v>
      </c>
      <c r="B19" s="35" t="s">
        <v>612</v>
      </c>
      <c r="C19" s="36" t="s">
        <v>613</v>
      </c>
      <c r="D19" s="37" t="s">
        <v>542</v>
      </c>
      <c r="E19" s="36" t="s">
        <v>614</v>
      </c>
      <c r="F19" s="38" t="s">
        <v>615</v>
      </c>
    </row>
    <row r="20" ht="31.5" customHeight="1" spans="1:6">
      <c r="A20" s="39" t="s">
        <v>616</v>
      </c>
      <c r="B20" s="40" t="s">
        <v>617</v>
      </c>
      <c r="C20" s="41" t="s">
        <v>618</v>
      </c>
      <c r="D20" s="42" t="s">
        <v>542</v>
      </c>
      <c r="E20" s="41" t="s">
        <v>619</v>
      </c>
      <c r="F20" s="43" t="s">
        <v>620</v>
      </c>
    </row>
    <row r="21" ht="31.5" customHeight="1" spans="1:6">
      <c r="A21" s="44" t="s">
        <v>621</v>
      </c>
      <c r="B21" s="45" t="s">
        <v>375</v>
      </c>
      <c r="C21" s="46" t="s">
        <v>622</v>
      </c>
      <c r="D21" s="47" t="s">
        <v>623</v>
      </c>
      <c r="E21" s="46" t="s">
        <v>624</v>
      </c>
      <c r="F21" s="48" t="s">
        <v>625</v>
      </c>
    </row>
    <row r="22" ht="31.5" customHeight="1" spans="1:6">
      <c r="A22" s="49" t="s">
        <v>626</v>
      </c>
      <c r="B22" s="50" t="s">
        <v>377</v>
      </c>
      <c r="C22" s="51" t="s">
        <v>627</v>
      </c>
      <c r="D22" s="52" t="s">
        <v>623</v>
      </c>
      <c r="E22" s="51" t="s">
        <v>628</v>
      </c>
      <c r="F22" s="53" t="s">
        <v>629</v>
      </c>
    </row>
    <row r="23" ht="31.5" customHeight="1" spans="1:6">
      <c r="A23" s="44" t="s">
        <v>630</v>
      </c>
      <c r="B23" s="54" t="s">
        <v>631</v>
      </c>
      <c r="C23" s="46" t="s">
        <v>632</v>
      </c>
      <c r="D23" s="47" t="s">
        <v>623</v>
      </c>
      <c r="E23" s="46" t="s">
        <v>633</v>
      </c>
      <c r="F23" s="48" t="s">
        <v>634</v>
      </c>
    </row>
    <row r="24" ht="31.5" customHeight="1" spans="1:6">
      <c r="A24" s="49" t="s">
        <v>635</v>
      </c>
      <c r="B24" s="55" t="s">
        <v>636</v>
      </c>
      <c r="C24" s="51" t="s">
        <v>637</v>
      </c>
      <c r="D24" s="52" t="s">
        <v>623</v>
      </c>
      <c r="E24" s="51" t="s">
        <v>638</v>
      </c>
      <c r="F24" s="53" t="s">
        <v>639</v>
      </c>
    </row>
    <row r="25" ht="31.5" customHeight="1" spans="1:6">
      <c r="A25" s="56" t="s">
        <v>393</v>
      </c>
      <c r="B25" s="57" t="s">
        <v>640</v>
      </c>
      <c r="C25" s="58" t="s">
        <v>641</v>
      </c>
      <c r="D25" s="59" t="s">
        <v>623</v>
      </c>
      <c r="E25" s="58" t="s">
        <v>642</v>
      </c>
      <c r="F25" s="60" t="s">
        <v>643</v>
      </c>
    </row>
    <row r="26" ht="31.5" customHeight="1" spans="1:6">
      <c r="A26" s="61" t="s">
        <v>394</v>
      </c>
      <c r="B26" s="62" t="s">
        <v>644</v>
      </c>
      <c r="C26" s="63" t="s">
        <v>645</v>
      </c>
      <c r="D26" s="64" t="s">
        <v>623</v>
      </c>
      <c r="E26" s="63" t="s">
        <v>646</v>
      </c>
      <c r="F26" s="65" t="s">
        <v>647</v>
      </c>
    </row>
    <row r="27" ht="31.5" customHeight="1" spans="1:6">
      <c r="A27" s="56" t="s">
        <v>395</v>
      </c>
      <c r="B27" s="57" t="s">
        <v>648</v>
      </c>
      <c r="C27" s="58" t="s">
        <v>649</v>
      </c>
      <c r="D27" s="59" t="s">
        <v>623</v>
      </c>
      <c r="E27" s="58" t="s">
        <v>650</v>
      </c>
      <c r="F27" s="60" t="s">
        <v>651</v>
      </c>
    </row>
    <row r="28" ht="31.5" customHeight="1" spans="1:6">
      <c r="A28" s="61" t="s">
        <v>652</v>
      </c>
      <c r="B28" s="62" t="s">
        <v>653</v>
      </c>
      <c r="C28" s="63" t="s">
        <v>654</v>
      </c>
      <c r="D28" s="64" t="s">
        <v>623</v>
      </c>
      <c r="E28" s="63" t="s">
        <v>655</v>
      </c>
      <c r="F28" s="65" t="s">
        <v>656</v>
      </c>
    </row>
    <row r="29" ht="31.5" customHeight="1" spans="1:6">
      <c r="A29" s="56" t="s">
        <v>397</v>
      </c>
      <c r="B29" s="57" t="s">
        <v>657</v>
      </c>
      <c r="C29" s="58" t="s">
        <v>658</v>
      </c>
      <c r="D29" s="59" t="s">
        <v>623</v>
      </c>
      <c r="E29" s="58" t="s">
        <v>659</v>
      </c>
      <c r="F29" s="60" t="s">
        <v>660</v>
      </c>
    </row>
    <row r="30" ht="31.5" customHeight="1" spans="1:6">
      <c r="A30" s="66" t="s">
        <v>661</v>
      </c>
      <c r="B30" s="67" t="s">
        <v>662</v>
      </c>
      <c r="C30" s="68" t="s">
        <v>663</v>
      </c>
      <c r="D30" s="69" t="s">
        <v>623</v>
      </c>
      <c r="E30" s="68" t="s">
        <v>664</v>
      </c>
      <c r="F30" s="70" t="s">
        <v>665</v>
      </c>
    </row>
    <row r="31" ht="31.5" customHeight="1" spans="1:6">
      <c r="A31" s="71" t="s">
        <v>666</v>
      </c>
      <c r="B31" s="72" t="s">
        <v>667</v>
      </c>
      <c r="C31" s="73" t="s">
        <v>668</v>
      </c>
      <c r="D31" s="74" t="s">
        <v>623</v>
      </c>
      <c r="E31" s="73" t="s">
        <v>669</v>
      </c>
      <c r="F31" s="75" t="s">
        <v>670</v>
      </c>
    </row>
    <row r="32" ht="31.5" customHeight="1" spans="1:6">
      <c r="A32" s="66" t="s">
        <v>423</v>
      </c>
      <c r="B32" s="67" t="s">
        <v>671</v>
      </c>
      <c r="C32" s="68" t="s">
        <v>672</v>
      </c>
      <c r="D32" s="69" t="s">
        <v>623</v>
      </c>
      <c r="E32" s="68" t="s">
        <v>673</v>
      </c>
      <c r="F32" s="70" t="s">
        <v>674</v>
      </c>
    </row>
    <row r="33" ht="31.5" customHeight="1" spans="1:6">
      <c r="A33" s="71" t="s">
        <v>675</v>
      </c>
      <c r="B33" s="72" t="s">
        <v>676</v>
      </c>
      <c r="C33" s="73" t="s">
        <v>677</v>
      </c>
      <c r="D33" s="74" t="s">
        <v>623</v>
      </c>
      <c r="E33" s="73" t="s">
        <v>678</v>
      </c>
      <c r="F33" s="75" t="s">
        <v>679</v>
      </c>
    </row>
    <row r="34" ht="31.5" customHeight="1" spans="1:6">
      <c r="A34" s="66" t="s">
        <v>680</v>
      </c>
      <c r="B34" s="67" t="s">
        <v>681</v>
      </c>
      <c r="C34" s="68" t="s">
        <v>682</v>
      </c>
      <c r="D34" s="69" t="s">
        <v>623</v>
      </c>
      <c r="E34" s="68" t="s">
        <v>683</v>
      </c>
      <c r="F34" s="70" t="s">
        <v>684</v>
      </c>
    </row>
    <row r="35" ht="31.5" customHeight="1" spans="1:6">
      <c r="A35" s="76" t="s">
        <v>444</v>
      </c>
      <c r="B35" s="77" t="s">
        <v>451</v>
      </c>
      <c r="C35" s="78" t="s">
        <v>685</v>
      </c>
      <c r="D35" s="79" t="s">
        <v>623</v>
      </c>
      <c r="E35" s="78" t="s">
        <v>686</v>
      </c>
      <c r="F35" s="80" t="s">
        <v>687</v>
      </c>
    </row>
    <row r="36" ht="31.5" customHeight="1" spans="1:6">
      <c r="A36" s="81" t="s">
        <v>445</v>
      </c>
      <c r="B36" s="82" t="s">
        <v>453</v>
      </c>
      <c r="C36" s="83" t="s">
        <v>688</v>
      </c>
      <c r="D36" s="84" t="s">
        <v>623</v>
      </c>
      <c r="E36" s="83" t="s">
        <v>689</v>
      </c>
      <c r="F36" s="85" t="s">
        <v>690</v>
      </c>
    </row>
    <row r="37" ht="31.5" customHeight="1" spans="1:6">
      <c r="A37" s="76" t="s">
        <v>446</v>
      </c>
      <c r="B37" s="77" t="s">
        <v>455</v>
      </c>
      <c r="C37" s="78" t="s">
        <v>691</v>
      </c>
      <c r="D37" s="79" t="s">
        <v>623</v>
      </c>
      <c r="E37" s="78" t="s">
        <v>692</v>
      </c>
      <c r="F37" s="80" t="s">
        <v>693</v>
      </c>
    </row>
    <row r="38" ht="31.5" customHeight="1" spans="1:6">
      <c r="A38" s="81" t="s">
        <v>447</v>
      </c>
      <c r="B38" s="82" t="s">
        <v>694</v>
      </c>
      <c r="C38" s="83" t="s">
        <v>695</v>
      </c>
      <c r="D38" s="84" t="s">
        <v>623</v>
      </c>
      <c r="E38" s="83" t="s">
        <v>696</v>
      </c>
      <c r="F38" s="85" t="s">
        <v>697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CRM Dataset</vt:lpstr>
      <vt:lpstr>LEFT RIGHT MID LEN</vt:lpstr>
      <vt:lpstr>UPPER LOWER PROPER TRIM CLEAN</vt:lpstr>
      <vt:lpstr>FIND SEARCH SUBSTITUTE REPLACE</vt:lpstr>
      <vt:lpstr>CONCAT TEXTJOIN TEXT</vt:lpstr>
      <vt:lpstr>TODAY NOW DATE TIME</vt:lpstr>
      <vt:lpstr>YEAR MONTH DAY WEEKDAY WEEKNUM</vt:lpstr>
      <vt:lpstr>DATEDIF DAYS NETWORKDAYS EDATE</vt:lpstr>
      <vt:lpstr>HOUR MINUTE SECOND TIMEVALUE</vt:lpstr>
      <vt:lpstr>Practice Exercises</vt:lpstr>
      <vt:lpstr>Quick Reference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Suraj singh</cp:lastModifiedBy>
  <cp:revision>0</cp:revision>
  <dcterms:created xsi:type="dcterms:W3CDTF">2026-03-12T10:35:00Z</dcterms:created>
  <dcterms:modified xsi:type="dcterms:W3CDTF">2026-08-24T08:01:02Z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FAD1F18FEA974073B950AABC2E241399_12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