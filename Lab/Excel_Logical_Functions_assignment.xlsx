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tabRatio="500" firstSheet="2" activeTab="4"/>
  </bookViews>
  <sheets>
    <sheet name="📋 Employee Dataset" sheetId="1" r:id="rId1"/>
    <sheet name="🔀 IF Function" sheetId="2" r:id="rId2"/>
    <sheet name="🔢 Nested IF &amp; IFS" sheetId="3" r:id="rId3"/>
    <sheet name="⚡ AND, OR, NOT" sheetId="4" r:id="rId4"/>
    <sheet name="🛡️ IFERROR &amp; IFNA" sheetId="5" r:id="rId5"/>
    <sheet name="📊 COUNTIF, SUMIF, AVGIF" sheetId="6" r:id="rId6"/>
    <sheet name="🔀 COUNTIFS, SUMIFS, AVGIFS" sheetId="7" r:id="rId7"/>
    <sheet name="🔄 SWITCH &amp; CHOOSE" sheetId="8" r:id="rId8"/>
    <sheet name="✏️ Practice Exercises" sheetId="9" r:id="rId9"/>
    <sheet name="📌 Quick Reference" sheetId="10" r:id="rId10"/>
  </sheets>
  <definedNames>
    <definedName name="HELLO">_xlfn.LAMBDA(_xlpm.name,_xldudf_BOARDFLARE_EXEC("hello",_xlpm.name))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<sst xmlns="http://schemas.openxmlformats.org/spreadsheetml/2006/main" count="903" uniqueCount="304">
  <si>
    <t>🏢  Employee Dataset  —  Use this data across all practice sheets</t>
  </si>
  <si>
    <t>Emp ID</t>
  </si>
  <si>
    <t>Name</t>
  </si>
  <si>
    <t>Department</t>
  </si>
  <si>
    <t>Age</t>
  </si>
  <si>
    <t>Salary</t>
  </si>
  <si>
    <t>Years Exp</t>
  </si>
  <si>
    <t>Performance</t>
  </si>
  <si>
    <t>Region</t>
  </si>
  <si>
    <t>Gender</t>
  </si>
  <si>
    <t>Bonus %</t>
  </si>
  <si>
    <t>Projects Done</t>
  </si>
  <si>
    <t>Active?</t>
  </si>
  <si>
    <t>E001</t>
  </si>
  <si>
    <t>Alice Johnson</t>
  </si>
  <si>
    <t>HR</t>
  </si>
  <si>
    <t>Excellent</t>
  </si>
  <si>
    <t>North</t>
  </si>
  <si>
    <t>F</t>
  </si>
  <si>
    <t>Yes</t>
  </si>
  <si>
    <t>E002</t>
  </si>
  <si>
    <t>Bob Smith</t>
  </si>
  <si>
    <t>IT</t>
  </si>
  <si>
    <t>Good</t>
  </si>
  <si>
    <t>South</t>
  </si>
  <si>
    <t>M</t>
  </si>
  <si>
    <t>E003</t>
  </si>
  <si>
    <t>Carol White</t>
  </si>
  <si>
    <t>Finance</t>
  </si>
  <si>
    <t>East</t>
  </si>
  <si>
    <t>E004</t>
  </si>
  <si>
    <t>David Brown</t>
  </si>
  <si>
    <t>Average</t>
  </si>
  <si>
    <t>West</t>
  </si>
  <si>
    <t>E005</t>
  </si>
  <si>
    <t>Eva Green</t>
  </si>
  <si>
    <t>Marketing</t>
  </si>
  <si>
    <t>E006</t>
  </si>
  <si>
    <t>Frank Lee</t>
  </si>
  <si>
    <t>No</t>
  </si>
  <si>
    <t>E007</t>
  </si>
  <si>
    <t>Grace Kim</t>
  </si>
  <si>
    <t>E008</t>
  </si>
  <si>
    <t>Henry Davis</t>
  </si>
  <si>
    <t>E009</t>
  </si>
  <si>
    <t>Isla Martin</t>
  </si>
  <si>
    <t>E010</t>
  </si>
  <si>
    <t>Jack Wilson</t>
  </si>
  <si>
    <t>E011</t>
  </si>
  <si>
    <t>Karen Taylor</t>
  </si>
  <si>
    <t>E012</t>
  </si>
  <si>
    <t>Liam Moore</t>
  </si>
  <si>
    <t>E013</t>
  </si>
  <si>
    <t>Mia Anderson</t>
  </si>
  <si>
    <t>E014</t>
  </si>
  <si>
    <t>Noah Thomas</t>
  </si>
  <si>
    <t>E015</t>
  </si>
  <si>
    <t>Olivia Harris</t>
  </si>
  <si>
    <t>E016</t>
  </si>
  <si>
    <t>Peter Clark</t>
  </si>
  <si>
    <t>E017</t>
  </si>
  <si>
    <t>Quinn Lewis</t>
  </si>
  <si>
    <t>E018</t>
  </si>
  <si>
    <t>Ryan Walker</t>
  </si>
  <si>
    <t>E019</t>
  </si>
  <si>
    <t>Sara Hall</t>
  </si>
  <si>
    <t>E020</t>
  </si>
  <si>
    <t>Tom Young</t>
  </si>
  <si>
    <t>E021</t>
  </si>
  <si>
    <t>Uma Scott</t>
  </si>
  <si>
    <t>E022</t>
  </si>
  <si>
    <t>Victor King</t>
  </si>
  <si>
    <t>E023</t>
  </si>
  <si>
    <t>Wendy Wright</t>
  </si>
  <si>
    <t>E024</t>
  </si>
  <si>
    <t>Xander Lopez</t>
  </si>
  <si>
    <t>E025</t>
  </si>
  <si>
    <t>Yara Hill</t>
  </si>
  <si>
    <t>🔀  IF Function  —  Syntax: =IF(logical_test, value_if_true, value_if_false)</t>
  </si>
  <si>
    <t>📌  The IF function checks a condition and returns one value if TRUE, another if FALSE.  It is the foundation of all logical functions in Excel.</t>
  </si>
  <si>
    <t>Senior? (IF)</t>
  </si>
  <si>
    <t>Bonus Category</t>
  </si>
  <si>
    <t>Performance Tag</t>
  </si>
  <si>
    <t>classify employees as "Senior" if their experience (column E) is 10 years or more, otherwise label them "Junior"</t>
  </si>
  <si>
    <t>determine the bonus category.If an employee's salary (column C) is 80,000 or more, return "High Bonus", otherwise return "Standard Bonus"</t>
  </si>
  <si>
    <t>In column H, categorize employees as: "Top Performer" if their designation in column F is Senior,Otherwise return "Regular".</t>
  </si>
  <si>
    <t>🔢  Nested IF &amp; IFS  —  Multiple conditions in sequence</t>
  </si>
  <si>
    <t>📌  Nested IF stacks multiple IF functions.  IFS (Excel 2019+) is cleaner for 3+ conditions.  Both evaluate conditions top-to-bottom and stop at the first TRUE.</t>
  </si>
  <si>
    <t>Grade (Nested IF)</t>
  </si>
  <si>
    <t>Salary Band (IFS)</t>
  </si>
  <si>
    <t>Appraisal Note</t>
  </si>
  <si>
    <r>
      <rPr>
        <sz val="11"/>
        <color theme="1"/>
        <rFont val="Calibri"/>
        <charset val="1"/>
      </rPr>
      <t xml:space="preserve">assign a </t>
    </r>
    <r>
      <rPr>
        <b/>
        <sz val="11"/>
        <color theme="1"/>
        <rFont val="Calibri"/>
        <charset val="1"/>
      </rPr>
      <t>grade</t>
    </r>
    <r>
      <rPr>
        <sz val="11"/>
        <color theme="1"/>
        <rFont val="Calibri"/>
        <charset val="1"/>
      </rPr>
      <t xml:space="preserve"> based on employee </t>
    </r>
    <r>
      <rPr>
        <b/>
        <sz val="11"/>
        <color theme="1"/>
        <rFont val="Calibri"/>
        <charset val="1"/>
      </rPr>
      <t>performance rating (column D)</t>
    </r>
    <r>
      <rPr>
        <sz val="11"/>
        <color theme="1"/>
        <rFont val="Calibri"/>
        <charset val="1"/>
      </rPr>
      <t xml:space="preserve"> and </t>
    </r>
    <r>
      <rPr>
        <b/>
        <sz val="11"/>
        <color theme="1"/>
        <rFont val="Calibri"/>
        <charset val="1"/>
      </rPr>
      <t>salary (column C)</t>
    </r>
    <r>
      <rPr>
        <sz val="11"/>
        <color theme="1"/>
        <rFont val="Calibri"/>
        <charset val="1"/>
      </rPr>
      <t xml:space="preserve"> using the following rules:</t>
    </r>
  </si>
  <si>
    <r>
      <rPr>
        <sz val="11"/>
        <color theme="1"/>
        <rFont val="Calibri"/>
        <charset val="1"/>
      </rPr>
      <t xml:space="preserve">If rating is </t>
    </r>
    <r>
      <rPr>
        <b/>
        <sz val="11"/>
        <color theme="1"/>
        <rFont val="Calibri"/>
        <charset val="1"/>
      </rPr>
      <t>Excellent</t>
    </r>
    <r>
      <rPr>
        <sz val="11"/>
        <color theme="1"/>
        <rFont val="Calibri"/>
        <charset val="1"/>
      </rPr>
      <t xml:space="preserve"> and salary ≥ 80,000 → </t>
    </r>
    <r>
      <rPr>
        <b/>
        <sz val="11"/>
        <color theme="1"/>
        <rFont val="Calibri"/>
        <charset val="1"/>
      </rPr>
      <t>A+</t>
    </r>
  </si>
  <si>
    <r>
      <rPr>
        <sz val="11"/>
        <color theme="1"/>
        <rFont val="Calibri"/>
        <charset val="1"/>
      </rPr>
      <t xml:space="preserve">If rating is </t>
    </r>
    <r>
      <rPr>
        <b/>
        <sz val="11"/>
        <color theme="1"/>
        <rFont val="Calibri"/>
        <charset val="1"/>
      </rPr>
      <t>Excellent</t>
    </r>
    <r>
      <rPr>
        <sz val="11"/>
        <color theme="1"/>
        <rFont val="Calibri"/>
        <charset val="1"/>
      </rPr>
      <t xml:space="preserve"> but salary &lt; 80,000 → </t>
    </r>
    <r>
      <rPr>
        <b/>
        <sz val="11"/>
        <color theme="1"/>
        <rFont val="Calibri"/>
        <charset val="1"/>
      </rPr>
      <t>A</t>
    </r>
  </si>
  <si>
    <r>
      <rPr>
        <sz val="11"/>
        <color theme="1"/>
        <rFont val="Calibri"/>
        <charset val="1"/>
      </rPr>
      <t xml:space="preserve">If rating is </t>
    </r>
    <r>
      <rPr>
        <b/>
        <sz val="11"/>
        <color theme="1"/>
        <rFont val="Calibri"/>
        <charset val="1"/>
      </rPr>
      <t>Good</t>
    </r>
    <r>
      <rPr>
        <sz val="11"/>
        <color theme="1"/>
        <rFont val="Calibri"/>
        <charset val="1"/>
      </rPr>
      <t xml:space="preserve"> → </t>
    </r>
    <r>
      <rPr>
        <b/>
        <sz val="11"/>
        <color theme="1"/>
        <rFont val="Calibri"/>
        <charset val="1"/>
      </rPr>
      <t>B</t>
    </r>
  </si>
  <si>
    <r>
      <rPr>
        <sz val="11"/>
        <color theme="1"/>
        <rFont val="Calibri"/>
        <charset val="1"/>
      </rPr>
      <t xml:space="preserve">If rating is </t>
    </r>
    <r>
      <rPr>
        <b/>
        <sz val="11"/>
        <color theme="1"/>
        <rFont val="Calibri"/>
        <charset val="1"/>
      </rPr>
      <t>Average</t>
    </r>
    <r>
      <rPr>
        <sz val="11"/>
        <color theme="1"/>
        <rFont val="Calibri"/>
        <charset val="1"/>
      </rPr>
      <t xml:space="preserve"> → </t>
    </r>
    <r>
      <rPr>
        <b/>
        <sz val="11"/>
        <color theme="1"/>
        <rFont val="Calibri"/>
        <charset val="1"/>
      </rPr>
      <t>C</t>
    </r>
  </si>
  <si>
    <r>
      <rPr>
        <sz val="11"/>
        <color theme="1"/>
        <rFont val="Calibri"/>
        <charset val="1"/>
      </rPr>
      <t xml:space="preserve">Otherwise → </t>
    </r>
    <r>
      <rPr>
        <b/>
        <sz val="11"/>
        <color theme="1"/>
        <rFont val="Calibri"/>
        <charset val="1"/>
      </rPr>
      <t>D</t>
    </r>
  </si>
  <si>
    <t xml:space="preserve">Assign salary band based on salary </t>
  </si>
  <si>
    <t>salary &gt;= 100000   →  Executive</t>
  </si>
  <si>
    <t>salary &gt;= 80000   →  Senior</t>
  </si>
  <si>
    <t>salary &gt;= 65000   →  Mid-Level</t>
  </si>
  <si>
    <t>salary &lt; 65000   →  Junior</t>
  </si>
  <si>
    <t>determine the promotion status using the following logic:</t>
  </si>
  <si>
    <t>If rating = Excellent AND experience ≥ 10 years → Promotion Candidate</t>
  </si>
  <si>
    <t>If rating = Average → Needs Improvement</t>
  </si>
  <si>
    <t>Otherwise → On Track</t>
  </si>
  <si>
    <t>⚡  AND, OR, NOT  —  Combine or invert multiple logical conditions</t>
  </si>
  <si>
    <t>📌  AND → all conditions must be TRUE  |  OR → at least one must be TRUE  |  NOT → reverses TRUE/FALSE  |  Combine them with IF for powerful logic.</t>
  </si>
  <si>
    <t>AND: Eligible?</t>
  </si>
  <si>
    <t>OR: Flag?</t>
  </si>
  <si>
    <t>NOT + IF Result</t>
  </si>
  <si>
    <r>
      <rPr>
        <sz val="11"/>
        <color theme="1"/>
        <rFont val="Calibri"/>
        <charset val="1"/>
      </rPr>
      <t xml:space="preserve">check if an employee is </t>
    </r>
    <r>
      <rPr>
        <b/>
        <sz val="11"/>
        <color theme="1"/>
        <rFont val="Calibri"/>
        <charset val="1"/>
      </rPr>
      <t>eligible</t>
    </r>
    <r>
      <rPr>
        <sz val="11"/>
        <color theme="1"/>
        <rFont val="Calibri"/>
        <charset val="1"/>
      </rPr>
      <t xml:space="preserve"> using these conditions:</t>
    </r>
  </si>
  <si>
    <t>Employee must:</t>
  </si>
  <si>
    <r>
      <rPr>
        <sz val="11"/>
        <color theme="1"/>
        <rFont val="Calibri"/>
        <charset val="1"/>
      </rPr>
      <t xml:space="preserve">Have rating </t>
    </r>
    <r>
      <rPr>
        <b/>
        <sz val="11"/>
        <color theme="1"/>
        <rFont val="Calibri"/>
        <charset val="1"/>
      </rPr>
      <t>Excellent</t>
    </r>
  </si>
  <si>
    <r>
      <rPr>
        <sz val="11"/>
        <color theme="1"/>
        <rFont val="Calibri"/>
        <charset val="1"/>
      </rPr>
      <t xml:space="preserve">Salary ≥ </t>
    </r>
    <r>
      <rPr>
        <b/>
        <sz val="11"/>
        <color theme="1"/>
        <rFont val="Calibri"/>
        <charset val="1"/>
      </rPr>
      <t>70,000</t>
    </r>
  </si>
  <si>
    <r>
      <rPr>
        <sz val="11"/>
        <color theme="1"/>
        <rFont val="Calibri"/>
        <charset val="1"/>
      </rPr>
      <t xml:space="preserve">Status in column E = </t>
    </r>
    <r>
      <rPr>
        <b/>
        <sz val="11"/>
        <color theme="1"/>
        <rFont val="Calibri"/>
        <charset val="1"/>
      </rPr>
      <t>Yes</t>
    </r>
  </si>
  <si>
    <r>
      <rPr>
        <sz val="11"/>
        <color theme="1"/>
        <rFont val="Calibri"/>
        <charset val="1"/>
      </rPr>
      <t xml:space="preserve">If all conditions are true → </t>
    </r>
    <r>
      <rPr>
        <b/>
        <sz val="11"/>
        <color theme="1"/>
        <rFont val="Calibri"/>
        <charset val="1"/>
      </rPr>
      <t>Eligible</t>
    </r>
    <r>
      <rPr>
        <sz val="11"/>
        <color theme="1"/>
        <rFont val="Calibri"/>
        <charset val="1"/>
      </rPr>
      <t xml:space="preserve">, otherwise → </t>
    </r>
    <r>
      <rPr>
        <b/>
        <sz val="11"/>
        <color theme="1"/>
        <rFont val="Calibri"/>
        <charset val="1"/>
      </rPr>
      <t>Not Eligible</t>
    </r>
    <r>
      <rPr>
        <sz val="11"/>
        <color theme="1"/>
        <rFont val="Calibri"/>
        <charset val="1"/>
      </rPr>
      <t>.</t>
    </r>
  </si>
  <si>
    <r>
      <rPr>
        <sz val="11"/>
        <color theme="1"/>
        <rFont val="Calibri"/>
        <charset val="1"/>
      </rPr>
      <t xml:space="preserve">mark employees as </t>
    </r>
    <r>
      <rPr>
        <b/>
        <sz val="11"/>
        <color theme="1"/>
        <rFont val="Calibri"/>
        <charset val="1"/>
      </rPr>
      <t>High Priority</t>
    </r>
    <r>
      <rPr>
        <sz val="11"/>
        <color theme="1"/>
        <rFont val="Calibri"/>
        <charset val="1"/>
      </rPr>
      <t xml:space="preserve"> if:</t>
    </r>
  </si>
  <si>
    <r>
      <rPr>
        <sz val="11"/>
        <color theme="1"/>
        <rFont val="Calibri"/>
        <charset val="1"/>
      </rPr>
      <t xml:space="preserve">Salary ≥ </t>
    </r>
    <r>
      <rPr>
        <b/>
        <sz val="11"/>
        <color theme="1"/>
        <rFont val="Calibri"/>
        <charset val="1"/>
      </rPr>
      <t>90,000</t>
    </r>
    <r>
      <rPr>
        <sz val="11"/>
        <color theme="1"/>
        <rFont val="Calibri"/>
        <charset val="1"/>
      </rPr>
      <t>, OR</t>
    </r>
  </si>
  <si>
    <r>
      <rPr>
        <sz val="11"/>
        <color theme="1"/>
        <rFont val="Calibri"/>
        <charset val="1"/>
      </rPr>
      <t xml:space="preserve">Rating is </t>
    </r>
    <r>
      <rPr>
        <b/>
        <sz val="11"/>
        <color theme="1"/>
        <rFont val="Calibri"/>
        <charset val="1"/>
      </rPr>
      <t>Excellent</t>
    </r>
  </si>
  <si>
    <r>
      <rPr>
        <sz val="11"/>
        <color theme="1"/>
        <rFont val="Calibri"/>
        <charset val="1"/>
      </rPr>
      <t xml:space="preserve">Otherwise mark them as </t>
    </r>
    <r>
      <rPr>
        <b/>
        <sz val="11"/>
        <color theme="1"/>
        <rFont val="Calibri"/>
        <charset val="1"/>
      </rPr>
      <t>Normal</t>
    </r>
    <r>
      <rPr>
        <sz val="11"/>
        <color theme="1"/>
        <rFont val="Calibri"/>
        <charset val="1"/>
      </rPr>
      <t>.</t>
    </r>
  </si>
  <si>
    <t>check employee activity status:</t>
  </si>
  <si>
    <r>
      <rPr>
        <sz val="11"/>
        <color theme="1"/>
        <rFont val="Calibri"/>
        <charset val="1"/>
      </rPr>
      <t xml:space="preserve">If column </t>
    </r>
    <r>
      <rPr>
        <b/>
        <sz val="11"/>
        <color theme="1"/>
        <rFont val="Calibri"/>
        <charset val="1"/>
      </rPr>
      <t>E is NOT "Yes"</t>
    </r>
    <r>
      <rPr>
        <sz val="11"/>
        <color theme="1"/>
        <rFont val="Calibri"/>
        <charset val="1"/>
      </rPr>
      <t xml:space="preserve"> → return </t>
    </r>
    <r>
      <rPr>
        <b/>
        <sz val="11"/>
        <color theme="1"/>
        <rFont val="Calibri"/>
        <charset val="1"/>
      </rPr>
      <t>Inactive Employee</t>
    </r>
  </si>
  <si>
    <r>
      <rPr>
        <sz val="11"/>
        <color theme="1"/>
        <rFont val="Calibri"/>
        <charset val="1"/>
      </rPr>
      <t xml:space="preserve">Otherwise → </t>
    </r>
    <r>
      <rPr>
        <b/>
        <sz val="11"/>
        <color theme="1"/>
        <rFont val="Calibri"/>
        <charset val="1"/>
      </rPr>
      <t>Active &amp; Working</t>
    </r>
  </si>
  <si>
    <t>🛡️  IFERROR &amp; IFNA  —  Handle errors gracefully in formulas</t>
  </si>
  <si>
    <t>📌  IFERROR catches ALL errors. IFNA catches only #N/A. Intentional error demo in column E.</t>
  </si>
  <si>
    <t>Projects</t>
  </si>
  <si>
    <t>Salary/Project (Raw)</t>
  </si>
  <si>
    <t>IFERROR Version</t>
  </si>
  <si>
    <t>IFNA + VLOOKUP</t>
  </si>
  <si>
    <t>📊  COUNTIF, SUMIF, AVERAGEIF  —  Aggregate data with one condition</t>
  </si>
  <si>
    <t>📌  COUNTIF counts rows matching a criterion  |  SUMIF sums matching values  |  AVERAGEIF averages matching values  |  Criteria can be text, numbers, or wildcards (*, ?).</t>
  </si>
  <si>
    <t>Department Summary</t>
  </si>
  <si>
    <t>Performance Summary</t>
  </si>
  <si>
    <t>Count of Employees</t>
  </si>
  <si>
    <t>Total Salary</t>
  </si>
  <si>
    <t>Avg Salary</t>
  </si>
  <si>
    <t>Avg Projects</t>
  </si>
  <si>
    <t>Count</t>
  </si>
  <si>
    <t>Avg Exp</t>
  </si>
  <si>
    <t>🔍  Wildcard &amp; Comparison Criteria Examples</t>
  </si>
  <si>
    <t>Description</t>
  </si>
  <si>
    <t>Formula Used</t>
  </si>
  <si>
    <t>Count employees with name starting with "A"</t>
  </si>
  <si>
    <t>Count salaries &gt; 80,000</t>
  </si>
  <si>
    <t>Sum salaries between 60k-80k (using SUMIFS)</t>
  </si>
  <si>
    <t>🔀  COUNTIFS, SUMIFS, AVERAGEIFS  —  Multiple conditions at once</t>
  </si>
  <si>
    <t>📌  The 'S' versions accept multiple criteria ranges.  All criteria must be met simultaneously (like AND logic).  Ranges must be the same size.</t>
  </si>
  <si>
    <t>Multi-Condition Analysis</t>
  </si>
  <si>
    <t>Dept</t>
  </si>
  <si>
    <t>Active</t>
  </si>
  <si>
    <t>COUNTIFS</t>
  </si>
  <si>
    <t>SUMIFS Salary</t>
  </si>
  <si>
    <t>AVGIFS Exp</t>
  </si>
  <si>
    <t>🔄  SWITCH &amp; CHOOSE  —  Select from a list of values or cases</t>
  </si>
  <si>
    <t>📌  SWITCH compares an expression against a list of values — cleaner than nested IF for exact matches.  CHOOSE returns the Nth value from a list — great for mapping numbers to labels.</t>
  </si>
  <si>
    <t>Perf Score #</t>
  </si>
  <si>
    <t>SWITCH: Dept Code</t>
  </si>
  <si>
    <t>CHOOSE: Perf Label</t>
  </si>
  <si>
    <t>SWITCH: Region Flag</t>
  </si>
  <si>
    <r>
      <rPr>
        <sz val="11"/>
        <color theme="1"/>
        <rFont val="Calibri"/>
        <charset val="1"/>
      </rPr>
      <t xml:space="preserve">convert department names into </t>
    </r>
    <r>
      <rPr>
        <b/>
        <sz val="11"/>
        <color theme="1"/>
        <rFont val="Calibri"/>
        <charset val="1"/>
      </rPr>
      <t>short department codes</t>
    </r>
    <r>
      <rPr>
        <sz val="11"/>
        <color theme="1"/>
        <rFont val="Calibri"/>
        <charset val="1"/>
      </rPr>
      <t>:</t>
    </r>
  </si>
  <si>
    <t>HR → HUM</t>
  </si>
  <si>
    <t>IT → TECH</t>
  </si>
  <si>
    <t>Finance → FIN</t>
  </si>
  <si>
    <t>Marketing → MKT</t>
  </si>
  <si>
    <t>Otherwise → UNK</t>
  </si>
  <si>
    <r>
      <rPr>
        <sz val="11"/>
        <color theme="1"/>
        <rFont val="Calibri"/>
        <charset val="1"/>
      </rPr>
      <t xml:space="preserve">convert the </t>
    </r>
    <r>
      <rPr>
        <b/>
        <sz val="11"/>
        <color theme="1"/>
        <rFont val="Calibri"/>
        <charset val="1"/>
      </rPr>
      <t>performance rating number (column D)</t>
    </r>
    <r>
      <rPr>
        <sz val="11"/>
        <color theme="1"/>
        <rFont val="Calibri"/>
        <charset val="1"/>
      </rPr>
      <t xml:space="preserve"> into text using the following mapping:</t>
    </r>
  </si>
  <si>
    <t>1 → Excellent</t>
  </si>
  <si>
    <t>2 → Good</t>
  </si>
  <si>
    <t>3 → Average</t>
  </si>
  <si>
    <r>
      <rPr>
        <sz val="11"/>
        <color theme="1"/>
        <rFont val="Calibri"/>
        <charset val="1"/>
      </rPr>
      <t xml:space="preserve">convert </t>
    </r>
    <r>
      <rPr>
        <b/>
        <sz val="11"/>
        <color theme="1"/>
        <rFont val="Calibri"/>
        <charset val="1"/>
      </rPr>
      <t>region names into single-letter codes</t>
    </r>
    <r>
      <rPr>
        <sz val="11"/>
        <color theme="1"/>
        <rFont val="Calibri"/>
        <charset val="1"/>
      </rPr>
      <t>:</t>
    </r>
  </si>
  <si>
    <t>North → N</t>
  </si>
  <si>
    <t>South → S</t>
  </si>
  <si>
    <t>East → E</t>
  </si>
  <si>
    <t>West → W</t>
  </si>
  <si>
    <t>Otherwise → ?</t>
  </si>
  <si>
    <t>✏️  Practice Exercises  —  Write your own formulas in the yellow cells!</t>
  </si>
  <si>
    <t>📌  Type your formula in each yellow cell.  The answer is hidden — use the other sheets to verify.  All formulas reference '📋 Employee Dataset'.</t>
  </si>
  <si>
    <t xml:space="preserve">  ✦  IF Functions</t>
  </si>
  <si>
    <t>Q1</t>
  </si>
  <si>
    <t>Using IF: Label each employee 'High Earner' if Salary &gt; 75000, else 'Standard'</t>
  </si>
  <si>
    <t>=IF(Salary,&gt;=75000,"Highe Earner",&lt;75000,"Standard")</t>
  </si>
  <si>
    <t>⭐ Easy</t>
  </si>
  <si>
    <t>Q2</t>
  </si>
  <si>
    <t>Using IF: Show 'Active' if Active? column is 'Yes', otherwise show 'Inactive'</t>
  </si>
  <si>
    <t>=IF("Active","Yes",False,"Inactive")</t>
  </si>
  <si>
    <t xml:space="preserve">  ✦  Nested IF Functions</t>
  </si>
  <si>
    <t>Q3</t>
  </si>
  <si>
    <t>Assign tax brackets: Salary ≥90k → 'High Tax', ≥65k → 'Mid Tax', else 'Low Tax'</t>
  </si>
  <si>
    <t>← Type your formula here</t>
  </si>
  <si>
    <t>⭐⭐ Medium</t>
  </si>
  <si>
    <t xml:space="preserve">  ✦  AND Functions</t>
  </si>
  <si>
    <t>Q4</t>
  </si>
  <si>
    <t>Flag employees who are in IT AND have Excellent performance</t>
  </si>
  <si>
    <t xml:space="preserve">  ✦  OR Functions</t>
  </si>
  <si>
    <t>Q5</t>
  </si>
  <si>
    <t>Mark 'Review' if Salary &lt; 60000 OR Years Exp &lt; 3</t>
  </si>
  <si>
    <t xml:space="preserve">  ✦  NOT Functions</t>
  </si>
  <si>
    <t>Q6</t>
  </si>
  <si>
    <t>Show 'Available for Project' if the employee is NOT inactive (Active?=No)</t>
  </si>
  <si>
    <t xml:space="preserve">  ✦  IFERROR Functions</t>
  </si>
  <si>
    <t>Q7</t>
  </si>
  <si>
    <t>Divide Salary by Projects Done, show 'N/A' on error</t>
  </si>
  <si>
    <t xml:space="preserve">  ✦  COUNTIF Functions</t>
  </si>
  <si>
    <t>Q8</t>
  </si>
  <si>
    <t>Count total employees in the Finance department</t>
  </si>
  <si>
    <t xml:space="preserve">  ✦  SUMIF Functions</t>
  </si>
  <si>
    <t>Q9</t>
  </si>
  <si>
    <t>Sum all salaries for Marketing employees</t>
  </si>
  <si>
    <t xml:space="preserve">  ✦  AVERAGEIF Functions</t>
  </si>
  <si>
    <t>Q10</t>
  </si>
  <si>
    <t>Average salary of employees with 'Excellent' performance</t>
  </si>
  <si>
    <t xml:space="preserve">  ✦  COUNTIFS Functions</t>
  </si>
  <si>
    <t>Q11</t>
  </si>
  <si>
    <t>Count employees in IT with Good OR Excellent performance AND Active=Yes</t>
  </si>
  <si>
    <t>⭐⭐⭐ Hard</t>
  </si>
  <si>
    <t xml:space="preserve">  ✦  SUMIFS Functions</t>
  </si>
  <si>
    <t>Q12</t>
  </si>
  <si>
    <t>Sum salaries of Excellent performers in the North region</t>
  </si>
  <si>
    <t xml:space="preserve">  ✦  IFS Functions</t>
  </si>
  <si>
    <t>Q13</t>
  </si>
  <si>
    <t>Using IFS: Assign 'Band A' if Salary≥90k, 'Band B' if ≥70k, else 'Band C'</t>
  </si>
  <si>
    <t xml:space="preserve">  ✦  SWITCH Functions</t>
  </si>
  <si>
    <t>Q14</t>
  </si>
  <si>
    <t>Using SWITCH: Map Department to short codes (HR→H, IT→I, Finance→F, Marketing→M)</t>
  </si>
  <si>
    <t xml:space="preserve">  ✦  CHOOSE Functions</t>
  </si>
  <si>
    <t>Q15</t>
  </si>
  <si>
    <t>Map the numeric Performance Score (1=Excellent,2=Good,3=Average) to star ratings ⭐⭐⭐, ⭐⭐, ⭐</t>
  </si>
  <si>
    <t>📌  Excel Logical Functions — Quick Reference Card</t>
  </si>
  <si>
    <t>Function</t>
  </si>
  <si>
    <t>Syntax</t>
  </si>
  <si>
    <t>Purpose</t>
  </si>
  <si>
    <t>Returns</t>
  </si>
  <si>
    <t>Since</t>
  </si>
  <si>
    <t>Example</t>
  </si>
  <si>
    <t>IF</t>
  </si>
  <si>
    <t>'=IF(test, TRUE(), FALSE())</t>
  </si>
  <si>
    <t>Test one condition</t>
  </si>
  <si>
    <t>Any value</t>
  </si>
  <si>
    <t>Excel 97</t>
  </si>
  <si>
    <t>'=IF(A1&gt;0,"Pos","Neg")</t>
  </si>
  <si>
    <t>IFS</t>
  </si>
  <si>
    <t>'=ifs(T1,V1, T2,V2, ...)</t>
  </si>
  <si>
    <t>Test multiple conditions in order</t>
  </si>
  <si>
    <t>2019+</t>
  </si>
  <si>
    <t>'=ifs(A1&gt;90,"A",A1&gt;80,"B","C")</t>
  </si>
  <si>
    <t>AND</t>
  </si>
  <si>
    <t>'=AND(cond1, cond2, ...)</t>
  </si>
  <si>
    <t>All conditions must be TRUE</t>
  </si>
  <si>
    <t>TRUE/FALSE</t>
  </si>
  <si>
    <t>'=AND(A1&gt;0,B1&lt;10)</t>
  </si>
  <si>
    <t>OR</t>
  </si>
  <si>
    <t>'=OR(cond1, cond2, ...)</t>
  </si>
  <si>
    <t>At least one must be TRUE</t>
  </si>
  <si>
    <t>'=OR(A1="Yes",B1="Yes")</t>
  </si>
  <si>
    <t>NOT</t>
  </si>
  <si>
    <t>'=NOT(condition)</t>
  </si>
  <si>
    <t>Inverts TRUE↔FALSE</t>
  </si>
  <si>
    <t>'=NOT(A1="No")</t>
  </si>
  <si>
    <t>IFERROR</t>
  </si>
  <si>
    <t>'=IFERROR(value, value_if_error)</t>
  </si>
  <si>
    <t>Catch any formula error</t>
  </si>
  <si>
    <t>2007+</t>
  </si>
  <si>
    <t>'=IFERROR(A1/B1,0)</t>
  </si>
  <si>
    <t>IFNA</t>
  </si>
  <si>
    <t>'=ifna(value, value_if_na)</t>
  </si>
  <si>
    <t>Catch only #N/A errors</t>
  </si>
  <si>
    <t>2013+</t>
  </si>
  <si>
    <t>'=ifna(VLOOKUP(A1,B:C,2,0),"NF")</t>
  </si>
  <si>
    <t>COUNTIF</t>
  </si>
  <si>
    <t>'=COUNTIF(range, criteria)</t>
  </si>
  <si>
    <t>Count matching cells</t>
  </si>
  <si>
    <t>Number</t>
  </si>
  <si>
    <t>'=COUNTIF(A:A,"IT")</t>
  </si>
  <si>
    <t>'=COUNTIFS(RNG1,crit1,RNG2,crit2,...)</t>
  </si>
  <si>
    <t>Count with multiple conditions</t>
  </si>
  <si>
    <t>'=COUNTIFS(A:A,"IT",B:B,"&gt;50k")</t>
  </si>
  <si>
    <t>SUMIF</t>
  </si>
  <si>
    <t>'=SUMIF(range, criteria, sum_range)</t>
  </si>
  <si>
    <t>Sum matching cells</t>
  </si>
  <si>
    <t>'=SUMIF(A:A,"IT",C:C)</t>
  </si>
  <si>
    <t>SUMIFS</t>
  </si>
  <si>
    <t>'=SUMIFS(sum_rng,RNG1,CR1,RNG2,CR2,...)</t>
  </si>
  <si>
    <t>Sum with multiple conditions</t>
  </si>
  <si>
    <t>'=SUMIFS(C:C,A:A,"IT",B:B,"Yes")</t>
  </si>
  <si>
    <t>AVERAGEIF</t>
  </si>
  <si>
    <t>'=AVERAGEIF(range, criteria, avg_range)</t>
  </si>
  <si>
    <t>Average matching cells</t>
  </si>
  <si>
    <t>'=AVERAGEIF(A:A,"IT",C:C)</t>
  </si>
  <si>
    <t>AVERAGEIFS</t>
  </si>
  <si>
    <t>'=AVERAGEIFS(avg_rng,RNG1,CR1,...)</t>
  </si>
  <si>
    <t>Average with multiple conditions</t>
  </si>
  <si>
    <t>'=AVERAGEIFS(C:C,A:A,"IT",B:B,"Yes")</t>
  </si>
  <si>
    <t>SWITCH</t>
  </si>
  <si>
    <t>'=switch(expr,VAL1,RES1,...,default)</t>
  </si>
  <si>
    <t>Match expression to value list</t>
  </si>
  <si>
    <t>'=switch(A1,"HR","H","IT","I","?")</t>
  </si>
  <si>
    <t>CHOOSE</t>
  </si>
  <si>
    <t>'=CHOOSE(index_num, VAL1, VAL2, ...)</t>
  </si>
  <si>
    <t>Pick Nth item from a list</t>
  </si>
  <si>
    <t>'=CHOOSE(A1,"Low","Mid","High")</t>
  </si>
  <si>
    <t>'=TRUE()  /  =FALSE()</t>
  </si>
  <si>
    <t>Return logical constant</t>
  </si>
  <si>
    <t>'=IF(TRUE(),"Yes","No")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</si>
</sst>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5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charset val="1"/>
    </font>
    <font>
      <sz val="9"/>
      <color rgb="FF2E75B6"/>
      <name val="Arial"/>
      <charset val="1"/>
    </font>
    <font>
      <b/>
      <sz val="14"/>
      <color rgb="FFFFFFFF"/>
      <name val="Arial"/>
      <charset val="1"/>
    </font>
    <font>
      <i/>
      <sz val="9"/>
      <color rgb="FF7D6608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D6608"/>
      <name val="Arial"/>
      <charset val="1"/>
    </font>
    <font>
      <b/>
      <sz val="13"/>
      <color rgb="FFFFFFFF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2980B9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F9E79F"/>
        <bgColor rgb="FFFDEBD0"/>
      </patternFill>
    </fill>
    <fill>
      <patternFill patternType="solid">
        <fgColor rgb="FFF2F3F4"/>
        <bgColor rgb="FFE9F7EF"/>
      </patternFill>
    </fill>
    <fill>
      <patternFill patternType="solid">
        <fgColor rgb="FFFFFFFF"/>
        <bgColor rgb="FFFDFEFE"/>
      </patternFill>
    </fill>
    <fill>
      <patternFill patternType="solid">
        <fgColor rgb="FFE67E22"/>
        <bgColor rgb="FFFF8080"/>
      </patternFill>
    </fill>
    <fill>
      <patternFill patternType="solid">
        <fgColor rgb="FF6C3483"/>
        <bgColor rgb="FF993366"/>
      </patternFill>
    </fill>
    <fill>
      <patternFill patternType="solid">
        <fgColor rgb="FFE9F7EF"/>
        <bgColor rgb="FFF2F3F4"/>
      </patternFill>
    </fill>
    <fill>
      <patternFill patternType="solid">
        <fgColor rgb="FFD6EAF8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6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8" borderId="8" applyNumberFormat="0" applyAlignment="0" applyProtection="0">
      <alignment vertical="center"/>
    </xf>
    <xf numFmtId="0" fontId="25" fillId="18" borderId="7" applyNumberFormat="0" applyAlignment="0" applyProtection="0">
      <alignment vertical="center"/>
    </xf>
    <xf numFmtId="0" fontId="26" fillId="19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13" fillId="3" borderId="3" xfId="0" applyFont="1" applyFill="1" applyBorder="1" applyAlignment="1">
      <alignment horizontal="left" vertical="center"/>
    </xf>
    <xf numFmtId="0" fontId="13" fillId="12" borderId="3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D6608"/>
      <rgbColor rgb="00800080"/>
      <rgbColor rgb="00117A65"/>
      <rgbColor rgb="00BFBFBF"/>
      <rgbColor rgb="00808080"/>
      <rgbColor rgb="009999FF"/>
      <rgbColor rgb="006C3483"/>
      <rgbColor rgb="00FDEBD0"/>
      <rgbColor rgb="00D6EAF8"/>
      <rgbColor rgb="00660066"/>
      <rgbColor rgb="00FF8080"/>
      <rgbColor rgb="000066CC"/>
      <rgbColor rgb="00E8DAEF"/>
      <rgbColor rgb="00000080"/>
      <rgbColor rgb="00FF00FF"/>
      <rgbColor rgb="00FFFF00"/>
      <rgbColor rgb="0000FFFF"/>
      <rgbColor rgb="00800080"/>
      <rgbColor rgb="00800000"/>
      <rgbColor rgb="002980B9"/>
      <rgbColor rgb="000000FF"/>
      <rgbColor rgb="0000CCFF"/>
      <rgbColor rgb="00E9F7EF"/>
      <rgbColor rgb="00D5F5E3"/>
      <rgbColor rgb="00F9E79F"/>
      <rgbColor rgb="00D6E4F0"/>
      <rgbColor rgb="00F2F3F4"/>
      <rgbColor rgb="00FDFEFE"/>
      <rgbColor rgb="00FADBD8"/>
      <rgbColor rgb="002E75B6"/>
      <rgbColor rgb="0033CCCC"/>
      <rgbColor rgb="0099CC00"/>
      <rgbColor rgb="00FFCC00"/>
      <rgbColor rgb="00D4AC0D"/>
      <rgbColor rgb="00E67E22"/>
      <rgbColor rgb="005D6D7E"/>
      <rgbColor rgb="00969696"/>
      <rgbColor rgb="001F3864"/>
      <rgbColor rgb="001E8449"/>
      <rgbColor rgb="00003300"/>
      <rgbColor rgb="00333300"/>
      <rgbColor rgb="00C0392B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L28"/>
  <sheetViews>
    <sheetView showGridLines="0" workbookViewId="0">
      <pane ySplit="2" topLeftCell="A12" activePane="bottomLeft" state="frozen"/>
      <selection/>
      <selection pane="bottomLeft" activeCell="M3" sqref="M3"/>
    </sheetView>
  </sheetViews>
  <sheetFormatPr defaultColWidth="8.66363636363636" defaultRowHeight="14.5"/>
  <cols>
    <col min="1" max="1" width="9" customWidth="1"/>
    <col min="2" max="2" width="18" customWidth="1"/>
    <col min="3" max="3" width="14" customWidth="1"/>
    <col min="4" max="4" width="7" customWidth="1"/>
    <col min="5" max="5" width="11" customWidth="1"/>
    <col min="6" max="6" width="10" customWidth="1"/>
    <col min="7" max="7" width="14" customWidth="1"/>
    <col min="8" max="8" width="12" customWidth="1"/>
    <col min="9" max="9" width="9" customWidth="1"/>
    <col min="10" max="10" width="10" customWidth="1"/>
    <col min="11" max="11" width="14" customWidth="1"/>
    <col min="12" max="12" width="9" customWidth="1"/>
  </cols>
  <sheetData>
    <row r="1" ht="36" customHeight="1" spans="1:12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ht="21.75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5" customHeight="1" spans="1:12">
      <c r="A3" s="36" t="s">
        <v>13</v>
      </c>
      <c r="B3" s="35" t="s">
        <v>14</v>
      </c>
      <c r="C3" s="35" t="s">
        <v>15</v>
      </c>
      <c r="D3" s="36">
        <v>34</v>
      </c>
      <c r="E3" s="36">
        <v>62000</v>
      </c>
      <c r="F3" s="36">
        <v>6</v>
      </c>
      <c r="G3" s="35" t="s">
        <v>16</v>
      </c>
      <c r="H3" s="36" t="s">
        <v>17</v>
      </c>
      <c r="I3" s="36" t="s">
        <v>18</v>
      </c>
      <c r="J3" s="36">
        <v>12</v>
      </c>
      <c r="K3" s="36">
        <v>8</v>
      </c>
      <c r="L3" s="36" t="s">
        <v>19</v>
      </c>
    </row>
    <row r="4" ht="15" customHeight="1" spans="1:12">
      <c r="A4" s="46" t="s">
        <v>20</v>
      </c>
      <c r="B4" s="47" t="s">
        <v>21</v>
      </c>
      <c r="C4" s="47" t="s">
        <v>22</v>
      </c>
      <c r="D4" s="46">
        <v>28</v>
      </c>
      <c r="E4" s="46">
        <v>75000</v>
      </c>
      <c r="F4" s="46">
        <v>4</v>
      </c>
      <c r="G4" s="47" t="s">
        <v>23</v>
      </c>
      <c r="H4" s="46" t="s">
        <v>24</v>
      </c>
      <c r="I4" s="46" t="s">
        <v>25</v>
      </c>
      <c r="J4" s="46">
        <v>10</v>
      </c>
      <c r="K4" s="46">
        <v>12</v>
      </c>
      <c r="L4" s="46" t="s">
        <v>19</v>
      </c>
    </row>
    <row r="5" ht="15" customHeight="1" spans="1:12">
      <c r="A5" s="36" t="s">
        <v>26</v>
      </c>
      <c r="B5" s="35" t="s">
        <v>27</v>
      </c>
      <c r="C5" s="35" t="s">
        <v>28</v>
      </c>
      <c r="D5" s="36">
        <v>45</v>
      </c>
      <c r="E5" s="36">
        <v>90000</v>
      </c>
      <c r="F5" s="36">
        <v>18</v>
      </c>
      <c r="G5" s="35" t="s">
        <v>16</v>
      </c>
      <c r="H5" s="36" t="s">
        <v>29</v>
      </c>
      <c r="I5" s="36" t="s">
        <v>18</v>
      </c>
      <c r="J5" s="36">
        <v>15</v>
      </c>
      <c r="K5" s="36">
        <v>20</v>
      </c>
      <c r="L5" s="36" t="s">
        <v>19</v>
      </c>
    </row>
    <row r="6" ht="15" customHeight="1" spans="1:12">
      <c r="A6" s="46" t="s">
        <v>30</v>
      </c>
      <c r="B6" s="47" t="s">
        <v>31</v>
      </c>
      <c r="C6" s="47" t="s">
        <v>22</v>
      </c>
      <c r="D6" s="46">
        <v>31</v>
      </c>
      <c r="E6" s="46">
        <v>71000</v>
      </c>
      <c r="F6" s="46">
        <v>7</v>
      </c>
      <c r="G6" s="47" t="s">
        <v>32</v>
      </c>
      <c r="H6" s="46" t="s">
        <v>33</v>
      </c>
      <c r="I6" s="46" t="s">
        <v>25</v>
      </c>
      <c r="J6" s="46">
        <v>8</v>
      </c>
      <c r="K6" s="46">
        <v>9</v>
      </c>
      <c r="L6" s="46" t="s">
        <v>19</v>
      </c>
    </row>
    <row r="7" ht="15" customHeight="1" spans="1:12">
      <c r="A7" s="36" t="s">
        <v>34</v>
      </c>
      <c r="B7" s="35" t="s">
        <v>35</v>
      </c>
      <c r="C7" s="35" t="s">
        <v>36</v>
      </c>
      <c r="D7" s="36">
        <v>26</v>
      </c>
      <c r="E7" s="36">
        <v>55000</v>
      </c>
      <c r="F7" s="36">
        <v>3</v>
      </c>
      <c r="G7" s="35" t="s">
        <v>23</v>
      </c>
      <c r="H7" s="36" t="s">
        <v>17</v>
      </c>
      <c r="I7" s="36" t="s">
        <v>18</v>
      </c>
      <c r="J7" s="36">
        <v>10</v>
      </c>
      <c r="K7" s="36">
        <v>6</v>
      </c>
      <c r="L7" s="36" t="s">
        <v>19</v>
      </c>
    </row>
    <row r="8" ht="15" customHeight="1" spans="1:12">
      <c r="A8" s="46" t="s">
        <v>37</v>
      </c>
      <c r="B8" s="47" t="s">
        <v>38</v>
      </c>
      <c r="C8" s="47" t="s">
        <v>15</v>
      </c>
      <c r="D8" s="46">
        <v>52</v>
      </c>
      <c r="E8" s="46">
        <v>68000</v>
      </c>
      <c r="F8" s="46">
        <v>22</v>
      </c>
      <c r="G8" s="47" t="s">
        <v>32</v>
      </c>
      <c r="H8" s="46" t="s">
        <v>24</v>
      </c>
      <c r="I8" s="46" t="s">
        <v>25</v>
      </c>
      <c r="J8" s="46">
        <v>8</v>
      </c>
      <c r="K8" s="46">
        <v>15</v>
      </c>
      <c r="L8" s="46" t="s">
        <v>39</v>
      </c>
    </row>
    <row r="9" ht="15" customHeight="1" spans="1:12">
      <c r="A9" s="36" t="s">
        <v>40</v>
      </c>
      <c r="B9" s="35" t="s">
        <v>41</v>
      </c>
      <c r="C9" s="35" t="s">
        <v>28</v>
      </c>
      <c r="D9" s="36">
        <v>38</v>
      </c>
      <c r="E9" s="36">
        <v>95000</v>
      </c>
      <c r="F9" s="36">
        <v>14</v>
      </c>
      <c r="G9" s="35" t="s">
        <v>16</v>
      </c>
      <c r="H9" s="36" t="s">
        <v>29</v>
      </c>
      <c r="I9" s="36" t="s">
        <v>18</v>
      </c>
      <c r="J9" s="36">
        <v>15</v>
      </c>
      <c r="K9" s="36">
        <v>22</v>
      </c>
      <c r="L9" s="36" t="s">
        <v>19</v>
      </c>
    </row>
    <row r="10" ht="15" customHeight="1" spans="1:12">
      <c r="A10" s="46" t="s">
        <v>42</v>
      </c>
      <c r="B10" s="47" t="s">
        <v>43</v>
      </c>
      <c r="C10" s="47" t="s">
        <v>22</v>
      </c>
      <c r="D10" s="46">
        <v>23</v>
      </c>
      <c r="E10" s="46">
        <v>58000</v>
      </c>
      <c r="F10" s="46">
        <v>1</v>
      </c>
      <c r="G10" s="47" t="s">
        <v>23</v>
      </c>
      <c r="H10" s="46" t="s">
        <v>33</v>
      </c>
      <c r="I10" s="46" t="s">
        <v>25</v>
      </c>
      <c r="J10" s="46">
        <v>10</v>
      </c>
      <c r="K10" s="46">
        <v>5</v>
      </c>
      <c r="L10" s="46" t="s">
        <v>19</v>
      </c>
    </row>
    <row r="11" ht="15" customHeight="1" spans="1:12">
      <c r="A11" s="36" t="s">
        <v>44</v>
      </c>
      <c r="B11" s="35" t="s">
        <v>45</v>
      </c>
      <c r="C11" s="35" t="s">
        <v>36</v>
      </c>
      <c r="D11" s="36">
        <v>41</v>
      </c>
      <c r="E11" s="36">
        <v>72000</v>
      </c>
      <c r="F11" s="36">
        <v>12</v>
      </c>
      <c r="G11" s="35" t="s">
        <v>16</v>
      </c>
      <c r="H11" s="36" t="s">
        <v>17</v>
      </c>
      <c r="I11" s="36" t="s">
        <v>18</v>
      </c>
      <c r="J11" s="36">
        <v>12</v>
      </c>
      <c r="K11" s="36">
        <v>18</v>
      </c>
      <c r="L11" s="36" t="s">
        <v>19</v>
      </c>
    </row>
    <row r="12" ht="15" customHeight="1" spans="1:12">
      <c r="A12" s="46" t="s">
        <v>46</v>
      </c>
      <c r="B12" s="47" t="s">
        <v>47</v>
      </c>
      <c r="C12" s="47" t="s">
        <v>28</v>
      </c>
      <c r="D12" s="46">
        <v>29</v>
      </c>
      <c r="E12" s="46">
        <v>80000</v>
      </c>
      <c r="F12" s="46">
        <v>5</v>
      </c>
      <c r="G12" s="47" t="s">
        <v>32</v>
      </c>
      <c r="H12" s="46" t="s">
        <v>24</v>
      </c>
      <c r="I12" s="46" t="s">
        <v>25</v>
      </c>
      <c r="J12" s="46">
        <v>8</v>
      </c>
      <c r="K12" s="46">
        <v>10</v>
      </c>
      <c r="L12" s="46" t="s">
        <v>19</v>
      </c>
    </row>
    <row r="13" ht="15" customHeight="1" spans="1:12">
      <c r="A13" s="36" t="s">
        <v>48</v>
      </c>
      <c r="B13" s="35" t="s">
        <v>49</v>
      </c>
      <c r="C13" s="35" t="s">
        <v>22</v>
      </c>
      <c r="D13" s="36">
        <v>36</v>
      </c>
      <c r="E13" s="36">
        <v>82000</v>
      </c>
      <c r="F13" s="36">
        <v>10</v>
      </c>
      <c r="G13" s="35" t="s">
        <v>23</v>
      </c>
      <c r="H13" s="36" t="s">
        <v>29</v>
      </c>
      <c r="I13" s="36" t="s">
        <v>18</v>
      </c>
      <c r="J13" s="36">
        <v>10</v>
      </c>
      <c r="K13" s="36">
        <v>14</v>
      </c>
      <c r="L13" s="36" t="s">
        <v>39</v>
      </c>
    </row>
    <row r="14" ht="15" customHeight="1" spans="1:12">
      <c r="A14" s="46" t="s">
        <v>50</v>
      </c>
      <c r="B14" s="47" t="s">
        <v>51</v>
      </c>
      <c r="C14" s="47" t="s">
        <v>15</v>
      </c>
      <c r="D14" s="46">
        <v>48</v>
      </c>
      <c r="E14" s="46">
        <v>63000</v>
      </c>
      <c r="F14" s="46">
        <v>20</v>
      </c>
      <c r="G14" s="47" t="s">
        <v>32</v>
      </c>
      <c r="H14" s="46" t="s">
        <v>33</v>
      </c>
      <c r="I14" s="46" t="s">
        <v>25</v>
      </c>
      <c r="J14" s="46">
        <v>8</v>
      </c>
      <c r="K14" s="46">
        <v>11</v>
      </c>
      <c r="L14" s="46" t="s">
        <v>19</v>
      </c>
    </row>
    <row r="15" ht="15" customHeight="1" spans="1:12">
      <c r="A15" s="36" t="s">
        <v>52</v>
      </c>
      <c r="B15" s="35" t="s">
        <v>53</v>
      </c>
      <c r="C15" s="35" t="s">
        <v>36</v>
      </c>
      <c r="D15" s="36">
        <v>33</v>
      </c>
      <c r="E15" s="36">
        <v>60000</v>
      </c>
      <c r="F15" s="36">
        <v>8</v>
      </c>
      <c r="G15" s="35" t="s">
        <v>23</v>
      </c>
      <c r="H15" s="36" t="s">
        <v>17</v>
      </c>
      <c r="I15" s="36" t="s">
        <v>18</v>
      </c>
      <c r="J15" s="36">
        <v>10</v>
      </c>
      <c r="K15" s="36">
        <v>9</v>
      </c>
      <c r="L15" s="36" t="s">
        <v>19</v>
      </c>
    </row>
    <row r="16" ht="15" customHeight="1" spans="1:12">
      <c r="A16" s="46" t="s">
        <v>54</v>
      </c>
      <c r="B16" s="47" t="s">
        <v>55</v>
      </c>
      <c r="C16" s="47" t="s">
        <v>28</v>
      </c>
      <c r="D16" s="46">
        <v>55</v>
      </c>
      <c r="E16" s="46">
        <v>105000</v>
      </c>
      <c r="F16" s="46">
        <v>28</v>
      </c>
      <c r="G16" s="47" t="s">
        <v>16</v>
      </c>
      <c r="H16" s="46" t="s">
        <v>24</v>
      </c>
      <c r="I16" s="46" t="s">
        <v>25</v>
      </c>
      <c r="J16" s="46">
        <v>20</v>
      </c>
      <c r="K16" s="46">
        <v>30</v>
      </c>
      <c r="L16" s="46" t="s">
        <v>19</v>
      </c>
    </row>
    <row r="17" ht="15" customHeight="1" spans="1:12">
      <c r="A17" s="36" t="s">
        <v>56</v>
      </c>
      <c r="B17" s="35" t="s">
        <v>57</v>
      </c>
      <c r="C17" s="35" t="s">
        <v>22</v>
      </c>
      <c r="D17" s="36">
        <v>27</v>
      </c>
      <c r="E17" s="36">
        <v>70000</v>
      </c>
      <c r="F17" s="36">
        <v>3</v>
      </c>
      <c r="G17" s="35" t="s">
        <v>16</v>
      </c>
      <c r="H17" s="36" t="s">
        <v>29</v>
      </c>
      <c r="I17" s="36" t="s">
        <v>18</v>
      </c>
      <c r="J17" s="36">
        <v>12</v>
      </c>
      <c r="K17" s="36">
        <v>7</v>
      </c>
      <c r="L17" s="36" t="s">
        <v>19</v>
      </c>
    </row>
    <row r="18" ht="15" customHeight="1" spans="1:12">
      <c r="A18" s="46" t="s">
        <v>58</v>
      </c>
      <c r="B18" s="47" t="s">
        <v>59</v>
      </c>
      <c r="C18" s="47" t="s">
        <v>15</v>
      </c>
      <c r="D18" s="46">
        <v>44</v>
      </c>
      <c r="E18" s="46">
        <v>67000</v>
      </c>
      <c r="F18" s="46">
        <v>16</v>
      </c>
      <c r="G18" s="47" t="s">
        <v>23</v>
      </c>
      <c r="H18" s="46" t="s">
        <v>33</v>
      </c>
      <c r="I18" s="46" t="s">
        <v>25</v>
      </c>
      <c r="J18" s="46">
        <v>10</v>
      </c>
      <c r="K18" s="46">
        <v>13</v>
      </c>
      <c r="L18" s="46" t="s">
        <v>39</v>
      </c>
    </row>
    <row r="19" ht="15" customHeight="1" spans="1:12">
      <c r="A19" s="36" t="s">
        <v>60</v>
      </c>
      <c r="B19" s="35" t="s">
        <v>61</v>
      </c>
      <c r="C19" s="35" t="s">
        <v>36</v>
      </c>
      <c r="D19" s="36">
        <v>30</v>
      </c>
      <c r="E19" s="36">
        <v>58000</v>
      </c>
      <c r="F19" s="36">
        <v>6</v>
      </c>
      <c r="G19" s="35" t="s">
        <v>32</v>
      </c>
      <c r="H19" s="36" t="s">
        <v>17</v>
      </c>
      <c r="I19" s="36" t="s">
        <v>18</v>
      </c>
      <c r="J19" s="36">
        <v>8</v>
      </c>
      <c r="K19" s="36">
        <v>8</v>
      </c>
      <c r="L19" s="36" t="s">
        <v>19</v>
      </c>
    </row>
    <row r="20" ht="15" customHeight="1" spans="1:12">
      <c r="A20" s="46" t="s">
        <v>62</v>
      </c>
      <c r="B20" s="47" t="s">
        <v>63</v>
      </c>
      <c r="C20" s="47" t="s">
        <v>22</v>
      </c>
      <c r="D20" s="46">
        <v>39</v>
      </c>
      <c r="E20" s="46">
        <v>88000</v>
      </c>
      <c r="F20" s="46">
        <v>13</v>
      </c>
      <c r="G20" s="47" t="s">
        <v>16</v>
      </c>
      <c r="H20" s="46" t="s">
        <v>24</v>
      </c>
      <c r="I20" s="46" t="s">
        <v>25</v>
      </c>
      <c r="J20" s="46">
        <v>15</v>
      </c>
      <c r="K20" s="46">
        <v>17</v>
      </c>
      <c r="L20" s="46" t="s">
        <v>19</v>
      </c>
    </row>
    <row r="21" ht="15" customHeight="1" spans="1:12">
      <c r="A21" s="36" t="s">
        <v>64</v>
      </c>
      <c r="B21" s="35" t="s">
        <v>65</v>
      </c>
      <c r="C21" s="35" t="s">
        <v>28</v>
      </c>
      <c r="D21" s="36">
        <v>25</v>
      </c>
      <c r="E21" s="36">
        <v>76000</v>
      </c>
      <c r="F21" s="36">
        <v>2</v>
      </c>
      <c r="G21" s="35" t="s">
        <v>23</v>
      </c>
      <c r="H21" s="36" t="s">
        <v>29</v>
      </c>
      <c r="I21" s="36" t="s">
        <v>18</v>
      </c>
      <c r="J21" s="36">
        <v>10</v>
      </c>
      <c r="K21" s="36">
        <v>6</v>
      </c>
      <c r="L21" s="36" t="s">
        <v>19</v>
      </c>
    </row>
    <row r="22" ht="15" customHeight="1" spans="1:12">
      <c r="A22" s="46" t="s">
        <v>66</v>
      </c>
      <c r="B22" s="47" t="s">
        <v>67</v>
      </c>
      <c r="C22" s="47" t="s">
        <v>36</v>
      </c>
      <c r="D22" s="46">
        <v>50</v>
      </c>
      <c r="E22" s="46">
        <v>65000</v>
      </c>
      <c r="F22" s="46">
        <v>24</v>
      </c>
      <c r="G22" s="47" t="s">
        <v>32</v>
      </c>
      <c r="H22" s="46" t="s">
        <v>33</v>
      </c>
      <c r="I22" s="46" t="s">
        <v>25</v>
      </c>
      <c r="J22" s="46">
        <v>8</v>
      </c>
      <c r="K22" s="46">
        <v>19</v>
      </c>
      <c r="L22" s="46" t="s">
        <v>19</v>
      </c>
    </row>
    <row r="23" ht="15" customHeight="1" spans="1:12">
      <c r="A23" s="36" t="s">
        <v>68</v>
      </c>
      <c r="B23" s="35" t="s">
        <v>69</v>
      </c>
      <c r="C23" s="35" t="s">
        <v>15</v>
      </c>
      <c r="D23" s="36">
        <v>35</v>
      </c>
      <c r="E23" s="36">
        <v>64000</v>
      </c>
      <c r="F23" s="36">
        <v>9</v>
      </c>
      <c r="G23" s="35" t="s">
        <v>16</v>
      </c>
      <c r="H23" s="36" t="s">
        <v>17</v>
      </c>
      <c r="I23" s="36" t="s">
        <v>18</v>
      </c>
      <c r="J23" s="36">
        <v>12</v>
      </c>
      <c r="K23" s="36">
        <v>10</v>
      </c>
      <c r="L23" s="36" t="s">
        <v>19</v>
      </c>
    </row>
    <row r="24" ht="15" customHeight="1" spans="1:12">
      <c r="A24" s="46" t="s">
        <v>70</v>
      </c>
      <c r="B24" s="47" t="s">
        <v>71</v>
      </c>
      <c r="C24" s="47" t="s">
        <v>22</v>
      </c>
      <c r="D24" s="46">
        <v>43</v>
      </c>
      <c r="E24" s="46">
        <v>79000</v>
      </c>
      <c r="F24" s="46">
        <v>15</v>
      </c>
      <c r="G24" s="47" t="s">
        <v>23</v>
      </c>
      <c r="H24" s="46" t="s">
        <v>24</v>
      </c>
      <c r="I24" s="46" t="s">
        <v>25</v>
      </c>
      <c r="J24" s="46">
        <v>10</v>
      </c>
      <c r="K24" s="46">
        <v>16</v>
      </c>
      <c r="L24" s="46" t="s">
        <v>19</v>
      </c>
    </row>
    <row r="25" ht="15" customHeight="1" spans="1:12">
      <c r="A25" s="36" t="s">
        <v>72</v>
      </c>
      <c r="B25" s="35" t="s">
        <v>73</v>
      </c>
      <c r="C25" s="35" t="s">
        <v>28</v>
      </c>
      <c r="D25" s="36">
        <v>32</v>
      </c>
      <c r="E25" s="36">
        <v>87000</v>
      </c>
      <c r="F25" s="36">
        <v>8</v>
      </c>
      <c r="G25" s="35" t="s">
        <v>16</v>
      </c>
      <c r="H25" s="36" t="s">
        <v>29</v>
      </c>
      <c r="I25" s="36" t="s">
        <v>18</v>
      </c>
      <c r="J25" s="36">
        <v>15</v>
      </c>
      <c r="K25" s="36">
        <v>14</v>
      </c>
      <c r="L25" s="36" t="s">
        <v>19</v>
      </c>
    </row>
    <row r="26" ht="15" customHeight="1" spans="1:12">
      <c r="A26" s="46" t="s">
        <v>74</v>
      </c>
      <c r="B26" s="47" t="s">
        <v>75</v>
      </c>
      <c r="C26" s="47" t="s">
        <v>36</v>
      </c>
      <c r="D26" s="46">
        <v>46</v>
      </c>
      <c r="E26" s="46">
        <v>61000</v>
      </c>
      <c r="F26" s="46">
        <v>18</v>
      </c>
      <c r="G26" s="47" t="s">
        <v>32</v>
      </c>
      <c r="H26" s="46" t="s">
        <v>33</v>
      </c>
      <c r="I26" s="46" t="s">
        <v>25</v>
      </c>
      <c r="J26" s="46">
        <v>8</v>
      </c>
      <c r="K26" s="46">
        <v>12</v>
      </c>
      <c r="L26" s="46" t="s">
        <v>39</v>
      </c>
    </row>
    <row r="27" ht="18" customHeight="1" spans="1:12">
      <c r="A27" s="36" t="s">
        <v>76</v>
      </c>
      <c r="B27" s="35" t="s">
        <v>77</v>
      </c>
      <c r="C27" s="35" t="s">
        <v>22</v>
      </c>
      <c r="D27" s="36">
        <v>29</v>
      </c>
      <c r="E27" s="36">
        <v>73000</v>
      </c>
      <c r="F27" s="36">
        <v>4</v>
      </c>
      <c r="G27" s="35" t="s">
        <v>23</v>
      </c>
      <c r="H27" s="36" t="s">
        <v>17</v>
      </c>
      <c r="I27" s="36" t="s">
        <v>18</v>
      </c>
      <c r="J27" s="36">
        <v>10</v>
      </c>
      <c r="K27" s="36">
        <v>8</v>
      </c>
      <c r="L27" s="36" t="s">
        <v>19</v>
      </c>
    </row>
    <row r="28" ht="19.5" customHeight="1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K33"/>
  <sheetViews>
    <sheetView showGridLines="0" topLeftCell="E1" workbookViewId="0">
      <pane ySplit="3" topLeftCell="A6" activePane="bottomLeft" state="frozen"/>
      <selection/>
      <selection pane="bottomLeft" activeCell="J3" sqref="J3"/>
    </sheetView>
  </sheetViews>
  <sheetFormatPr defaultColWidth="8.66363636363636" defaultRowHeight="14.5"/>
  <cols>
    <col min="1" max="1" width="10" customWidth="1"/>
    <col min="2" max="2" width="18" customWidth="1"/>
    <col min="3" max="4" width="10" customWidth="1"/>
    <col min="5" max="5" width="19" customWidth="1"/>
    <col min="6" max="6" width="14" customWidth="1"/>
    <col min="7" max="7" width="16" customWidth="1"/>
    <col min="8" max="8" width="20" customWidth="1"/>
    <col min="10" max="10" width="17.7818181818182" customWidth="1"/>
  </cols>
  <sheetData>
    <row r="1" ht="36" customHeight="1" spans="1:11">
      <c r="A1" s="38" t="s">
        <v>78</v>
      </c>
      <c r="B1" s="38"/>
      <c r="C1" s="38"/>
      <c r="D1" s="38"/>
      <c r="E1" s="38"/>
      <c r="F1" s="38"/>
      <c r="G1" s="38"/>
      <c r="H1" s="38"/>
    </row>
    <row r="2" ht="30" customHeight="1" spans="1:11">
      <c r="A2" s="39" t="s">
        <v>79</v>
      </c>
      <c r="B2" s="39"/>
      <c r="C2" s="39"/>
      <c r="D2" s="39"/>
      <c r="E2" s="39"/>
      <c r="F2" s="39"/>
      <c r="G2" s="39"/>
      <c r="H2" s="39"/>
    </row>
    <row r="3" ht="21.75" customHeight="1" spans="1:11">
      <c r="A3" s="2" t="s">
        <v>1</v>
      </c>
      <c r="B3" s="2" t="s">
        <v>2</v>
      </c>
      <c r="C3" s="2" t="s">
        <v>5</v>
      </c>
      <c r="D3" s="2" t="s">
        <v>4</v>
      </c>
      <c r="E3" s="2" t="s">
        <v>6</v>
      </c>
      <c r="F3" s="2" t="s">
        <v>80</v>
      </c>
      <c r="G3" s="2" t="s">
        <v>81</v>
      </c>
      <c r="H3" s="2" t="s">
        <v>82</v>
      </c>
    </row>
    <row r="4" ht="15" customHeight="1" spans="1:11">
      <c r="A4" s="46" t="s">
        <v>13</v>
      </c>
      <c r="B4" s="47" t="s">
        <v>14</v>
      </c>
      <c r="C4" s="46">
        <v>62000</v>
      </c>
      <c r="D4" s="46">
        <v>34</v>
      </c>
      <c r="E4" s="46">
        <v>6</v>
      </c>
      <c r="F4" s="11" t="str" cm="1">
        <f t="array" ref="F4:F28">IF(E4:E28&gt;10,"senior","Junior")</f>
        <v>Junior</v>
      </c>
      <c r="G4" s="6" t="str" cm="1">
        <f t="array" ref="G4:G28">IF(C4:C28&gt;80000,"Highe","Standar Bonus")</f>
        <v>Standar Bonus</v>
      </c>
      <c r="H4" s="47" t="str" cm="1">
        <f t="array" ref="H4">_xlfn.IFS(F4="senior","top performer",F4="Junior","Regular")</f>
        <v>Regular</v>
      </c>
    </row>
    <row r="5" ht="15" customHeight="1" spans="1:11">
      <c r="A5" s="36" t="s">
        <v>20</v>
      </c>
      <c r="B5" s="35" t="s">
        <v>21</v>
      </c>
      <c r="C5" s="36">
        <v>75000</v>
      </c>
      <c r="D5" s="36">
        <v>28</v>
      </c>
      <c r="E5" s="36">
        <v>4</v>
      </c>
      <c r="F5" s="55" t="str">
        <v>Junior</v>
      </c>
      <c r="G5" s="56" t="str">
        <v>Standar Bonus</v>
      </c>
      <c r="H5" s="47" t="str" cm="1">
        <f t="array" ref="H5">_xlfn.IFS(F5="senior","top performer",F5="Junior","Regular")</f>
        <v>Regular</v>
      </c>
    </row>
    <row r="6" ht="15" customHeight="1" spans="1:11">
      <c r="A6" s="46" t="s">
        <v>26</v>
      </c>
      <c r="B6" s="47" t="s">
        <v>27</v>
      </c>
      <c r="C6" s="46">
        <v>90000</v>
      </c>
      <c r="D6" s="46">
        <v>45</v>
      </c>
      <c r="E6" s="46">
        <v>18</v>
      </c>
      <c r="F6" s="11" t="str">
        <v>senior</v>
      </c>
      <c r="G6" s="6" t="str">
        <v>Highe</v>
      </c>
      <c r="H6" s="47" t="str" cm="1">
        <f t="array" ref="H6">_xlfn.IFS(F6="senior","top performer",F6="Junior","Regular")</f>
        <v>top performer</v>
      </c>
      <c r="J6" s="2" t="s">
        <v>80</v>
      </c>
      <c r="K6" t="s">
        <v>83</v>
      </c>
    </row>
    <row r="7" ht="15" customHeight="1" spans="1:11">
      <c r="A7" s="36" t="s">
        <v>30</v>
      </c>
      <c r="B7" s="35" t="s">
        <v>31</v>
      </c>
      <c r="C7" s="36">
        <v>71000</v>
      </c>
      <c r="D7" s="36">
        <v>31</v>
      </c>
      <c r="E7" s="36">
        <v>7</v>
      </c>
      <c r="F7" s="55" t="str">
        <v>Junior</v>
      </c>
      <c r="G7" s="56" t="str">
        <v>Standar Bonus</v>
      </c>
      <c r="H7" s="47" t="str" cm="1">
        <f t="array" ref="H7">_xlfn.IFS(F7="senior","top performer",F7="Junior","Regular")</f>
        <v>Regular</v>
      </c>
    </row>
    <row r="8" ht="15" customHeight="1" spans="1:11">
      <c r="A8" s="46" t="s">
        <v>34</v>
      </c>
      <c r="B8" s="47" t="s">
        <v>35</v>
      </c>
      <c r="C8" s="46">
        <v>55000</v>
      </c>
      <c r="D8" s="46">
        <v>26</v>
      </c>
      <c r="E8" s="46">
        <v>3</v>
      </c>
      <c r="F8" s="11" t="str">
        <v>Junior</v>
      </c>
      <c r="G8" s="6" t="str">
        <v>Standar Bonus</v>
      </c>
      <c r="H8" s="47" t="str" cm="1">
        <f t="array" ref="H8">_xlfn.IFS(F8="senior","top performer",F8="Junior","Regular")</f>
        <v>Regular</v>
      </c>
      <c r="J8" s="2" t="s">
        <v>81</v>
      </c>
      <c r="K8" t="s">
        <v>84</v>
      </c>
    </row>
    <row r="9" ht="15" customHeight="1" spans="1:11">
      <c r="A9" s="36" t="s">
        <v>37</v>
      </c>
      <c r="B9" s="35" t="s">
        <v>38</v>
      </c>
      <c r="C9" s="36">
        <v>68000</v>
      </c>
      <c r="D9" s="36">
        <v>52</v>
      </c>
      <c r="E9" s="36">
        <v>22</v>
      </c>
      <c r="F9" s="55" t="str">
        <v>senior</v>
      </c>
      <c r="G9" s="56" t="str">
        <v>Standar Bonus</v>
      </c>
      <c r="H9" s="47" t="str" cm="1">
        <f t="array" ref="H9">_xlfn.IFS(F9="senior","top performer",F9="Junior","Regular")</f>
        <v>top performer</v>
      </c>
    </row>
    <row r="10" ht="15" customHeight="1" spans="1:11">
      <c r="A10" s="46" t="s">
        <v>40</v>
      </c>
      <c r="B10" s="47" t="s">
        <v>41</v>
      </c>
      <c r="C10" s="46">
        <v>95000</v>
      </c>
      <c r="D10" s="46">
        <v>38</v>
      </c>
      <c r="E10" s="46">
        <v>14</v>
      </c>
      <c r="F10" s="11" t="str">
        <v>senior</v>
      </c>
      <c r="G10" s="6" t="str">
        <v>Highe</v>
      </c>
      <c r="H10" s="47" t="str" cm="1">
        <f t="array" ref="H10">_xlfn.IFS(F10="senior","top performer",F10="Junior","Regular")</f>
        <v>top performer</v>
      </c>
      <c r="J10" s="2" t="s">
        <v>82</v>
      </c>
      <c r="K10" t="s">
        <v>85</v>
      </c>
    </row>
    <row r="11" ht="15" customHeight="1" spans="1:11">
      <c r="A11" s="36" t="s">
        <v>42</v>
      </c>
      <c r="B11" s="35" t="s">
        <v>43</v>
      </c>
      <c r="C11" s="36">
        <v>58000</v>
      </c>
      <c r="D11" s="36">
        <v>23</v>
      </c>
      <c r="E11" s="36">
        <v>1</v>
      </c>
      <c r="F11" s="55" t="str">
        <v>Junior</v>
      </c>
      <c r="G11" s="56" t="str">
        <v>Standar Bonus</v>
      </c>
      <c r="H11" s="47" t="str" cm="1">
        <f t="array" ref="H11">_xlfn.IFS(F11="senior","top performer",F11="Junior","Regular")</f>
        <v>Regular</v>
      </c>
    </row>
    <row r="12" ht="15" customHeight="1" spans="1:11">
      <c r="A12" s="46" t="s">
        <v>44</v>
      </c>
      <c r="B12" s="47" t="s">
        <v>45</v>
      </c>
      <c r="C12" s="46">
        <v>72000</v>
      </c>
      <c r="D12" s="46">
        <v>41</v>
      </c>
      <c r="E12" s="46">
        <v>12</v>
      </c>
      <c r="F12" s="11" t="str">
        <v>senior</v>
      </c>
      <c r="G12" s="6" t="str">
        <v>Standar Bonus</v>
      </c>
      <c r="H12" s="47" t="str" cm="1">
        <f t="array" ref="H12">_xlfn.IFS(F12="senior","top performer",F12="Junior","Regular")</f>
        <v>top performer</v>
      </c>
    </row>
    <row r="13" ht="15" customHeight="1" spans="1:11">
      <c r="A13" s="36" t="s">
        <v>46</v>
      </c>
      <c r="B13" s="35" t="s">
        <v>47</v>
      </c>
      <c r="C13" s="36">
        <v>80000</v>
      </c>
      <c r="D13" s="36">
        <v>29</v>
      </c>
      <c r="E13" s="36">
        <v>5</v>
      </c>
      <c r="F13" s="55" t="str">
        <v>Junior</v>
      </c>
      <c r="G13" s="56" t="str">
        <v>Standar Bonus</v>
      </c>
      <c r="H13" s="47" t="str" cm="1">
        <f t="array" ref="H13">_xlfn.IFS(F13="senior","top performer",F13="Junior","Regular")</f>
        <v>Regular</v>
      </c>
    </row>
    <row r="14" ht="15" customHeight="1" spans="1:11">
      <c r="A14" s="46" t="s">
        <v>48</v>
      </c>
      <c r="B14" s="47" t="s">
        <v>49</v>
      </c>
      <c r="C14" s="46">
        <v>82000</v>
      </c>
      <c r="D14" s="46">
        <v>36</v>
      </c>
      <c r="E14" s="46">
        <v>10</v>
      </c>
      <c r="F14" s="11" t="str">
        <v>Junior</v>
      </c>
      <c r="G14" s="6" t="str">
        <v>Highe</v>
      </c>
      <c r="H14" s="47" t="str" cm="1">
        <f t="array" ref="H14">_xlfn.IFS(F14="senior","top performer",F14="Junior","Regular")</f>
        <v>Regular</v>
      </c>
    </row>
    <row r="15" ht="15" customHeight="1" spans="1:11">
      <c r="A15" s="36" t="s">
        <v>50</v>
      </c>
      <c r="B15" s="35" t="s">
        <v>51</v>
      </c>
      <c r="C15" s="36">
        <v>63000</v>
      </c>
      <c r="D15" s="36">
        <v>48</v>
      </c>
      <c r="E15" s="36">
        <v>20</v>
      </c>
      <c r="F15" s="55" t="str">
        <v>senior</v>
      </c>
      <c r="G15" s="56" t="str">
        <v>Standar Bonus</v>
      </c>
      <c r="H15" s="47" t="str" cm="1">
        <f t="array" ref="H15">_xlfn.IFS(F15="senior","top performer",F15="Junior","Regular")</f>
        <v>top performer</v>
      </c>
    </row>
    <row r="16" ht="15" customHeight="1" spans="1:11">
      <c r="A16" s="46" t="s">
        <v>52</v>
      </c>
      <c r="B16" s="47" t="s">
        <v>53</v>
      </c>
      <c r="C16" s="46">
        <v>60000</v>
      </c>
      <c r="D16" s="46">
        <v>33</v>
      </c>
      <c r="E16" s="46">
        <v>8</v>
      </c>
      <c r="F16" s="11" t="str">
        <v>Junior</v>
      </c>
      <c r="G16" s="6" t="str">
        <v>Standar Bonus</v>
      </c>
      <c r="H16" s="47" t="str" cm="1">
        <f t="array" ref="H16">_xlfn.IFS(F16="senior","top performer",F16="Junior","Regular")</f>
        <v>Regular</v>
      </c>
    </row>
    <row r="17" ht="15" customHeight="1" spans="1:8">
      <c r="A17" s="36" t="s">
        <v>54</v>
      </c>
      <c r="B17" s="35" t="s">
        <v>55</v>
      </c>
      <c r="C17" s="36">
        <v>105000</v>
      </c>
      <c r="D17" s="36">
        <v>55</v>
      </c>
      <c r="E17" s="36">
        <v>28</v>
      </c>
      <c r="F17" s="55" t="str">
        <v>senior</v>
      </c>
      <c r="G17" s="56" t="str">
        <v>Highe</v>
      </c>
      <c r="H17" s="47" t="str" cm="1">
        <f t="array" ref="H17">_xlfn.IFS(F17="senior","top performer",F17="Junior","Regular")</f>
        <v>top performer</v>
      </c>
    </row>
    <row r="18" ht="15" customHeight="1" spans="1:8">
      <c r="A18" s="46" t="s">
        <v>56</v>
      </c>
      <c r="B18" s="47" t="s">
        <v>57</v>
      </c>
      <c r="C18" s="46">
        <v>70000</v>
      </c>
      <c r="D18" s="46">
        <v>27</v>
      </c>
      <c r="E18" s="46">
        <v>3</v>
      </c>
      <c r="F18" s="11" t="str">
        <v>Junior</v>
      </c>
      <c r="G18" s="6" t="str">
        <v>Standar Bonus</v>
      </c>
      <c r="H18" s="47" t="str" cm="1">
        <f t="array" ref="H18">_xlfn.IFS(F18="senior","top performer",F18="Junior","Regular")</f>
        <v>Regular</v>
      </c>
    </row>
    <row r="19" ht="15" customHeight="1" spans="1:8">
      <c r="A19" s="36" t="s">
        <v>58</v>
      </c>
      <c r="B19" s="35" t="s">
        <v>59</v>
      </c>
      <c r="C19" s="36">
        <v>67000</v>
      </c>
      <c r="D19" s="36">
        <v>44</v>
      </c>
      <c r="E19" s="36">
        <v>16</v>
      </c>
      <c r="F19" s="55" t="str">
        <v>senior</v>
      </c>
      <c r="G19" s="56" t="str">
        <v>Standar Bonus</v>
      </c>
      <c r="H19" s="47" t="str" cm="1">
        <f t="array" ref="H19">_xlfn.IFS(F19="senior","top performer",F19="Junior","Regular")</f>
        <v>top performer</v>
      </c>
    </row>
    <row r="20" ht="15" customHeight="1" spans="1:8">
      <c r="A20" s="46" t="s">
        <v>60</v>
      </c>
      <c r="B20" s="47" t="s">
        <v>61</v>
      </c>
      <c r="C20" s="46">
        <v>58000</v>
      </c>
      <c r="D20" s="46">
        <v>30</v>
      </c>
      <c r="E20" s="46">
        <v>6</v>
      </c>
      <c r="F20" s="11" t="str">
        <v>Junior</v>
      </c>
      <c r="G20" s="6" t="str">
        <v>Standar Bonus</v>
      </c>
      <c r="H20" s="47" t="str" cm="1">
        <f t="array" ref="H20">_xlfn.IFS(F20="senior","top performer",F20="Junior","Regular")</f>
        <v>Regular</v>
      </c>
    </row>
    <row r="21" ht="15" customHeight="1" spans="1:8">
      <c r="A21" s="36" t="s">
        <v>62</v>
      </c>
      <c r="B21" s="35" t="s">
        <v>63</v>
      </c>
      <c r="C21" s="36">
        <v>88000</v>
      </c>
      <c r="D21" s="36">
        <v>39</v>
      </c>
      <c r="E21" s="36">
        <v>13</v>
      </c>
      <c r="F21" s="55" t="str">
        <v>senior</v>
      </c>
      <c r="G21" s="56" t="str">
        <v>Highe</v>
      </c>
      <c r="H21" s="47" t="str" cm="1">
        <f t="array" ref="H21">_xlfn.IFS(F21="senior","top performer",F21="Junior","Regular")</f>
        <v>top performer</v>
      </c>
    </row>
    <row r="22" ht="15" customHeight="1" spans="1:8">
      <c r="A22" s="46" t="s">
        <v>64</v>
      </c>
      <c r="B22" s="47" t="s">
        <v>65</v>
      </c>
      <c r="C22" s="46">
        <v>76000</v>
      </c>
      <c r="D22" s="46">
        <v>25</v>
      </c>
      <c r="E22" s="46">
        <v>2</v>
      </c>
      <c r="F22" s="11" t="str">
        <v>Junior</v>
      </c>
      <c r="G22" s="6" t="str">
        <v>Standar Bonus</v>
      </c>
      <c r="H22" s="47" t="str" cm="1">
        <f t="array" ref="H22">_xlfn.IFS(F22="senior","top performer",F22="Junior","Regular")</f>
        <v>Regular</v>
      </c>
    </row>
    <row r="23" ht="15" customHeight="1" spans="1:8">
      <c r="A23" s="36" t="s">
        <v>66</v>
      </c>
      <c r="B23" s="35" t="s">
        <v>67</v>
      </c>
      <c r="C23" s="36">
        <v>65000</v>
      </c>
      <c r="D23" s="36">
        <v>50</v>
      </c>
      <c r="E23" s="36">
        <v>24</v>
      </c>
      <c r="F23" s="55" t="str">
        <v>senior</v>
      </c>
      <c r="G23" s="56" t="str">
        <v>Standar Bonus</v>
      </c>
      <c r="H23" s="47" t="str" cm="1">
        <f t="array" ref="H23">_xlfn.IFS(F23="senior","top performer",F23="Junior","Regular")</f>
        <v>top performer</v>
      </c>
    </row>
    <row r="24" ht="15" customHeight="1" spans="1:8">
      <c r="A24" s="46" t="s">
        <v>68</v>
      </c>
      <c r="B24" s="47" t="s">
        <v>69</v>
      </c>
      <c r="C24" s="46">
        <v>64000</v>
      </c>
      <c r="D24" s="46">
        <v>35</v>
      </c>
      <c r="E24" s="46">
        <v>9</v>
      </c>
      <c r="F24" s="11" t="str">
        <v>Junior</v>
      </c>
      <c r="G24" s="6" t="str">
        <v>Standar Bonus</v>
      </c>
      <c r="H24" s="47" t="str" cm="1">
        <f t="array" ref="H24">_xlfn.IFS(F24="senior","top performer",F24="Junior","Regular")</f>
        <v>Regular</v>
      </c>
    </row>
    <row r="25" ht="15" customHeight="1" spans="1:8">
      <c r="A25" s="36" t="s">
        <v>70</v>
      </c>
      <c r="B25" s="35" t="s">
        <v>71</v>
      </c>
      <c r="C25" s="36">
        <v>79000</v>
      </c>
      <c r="D25" s="36">
        <v>43</v>
      </c>
      <c r="E25" s="36">
        <v>15</v>
      </c>
      <c r="F25" s="55" t="str">
        <v>senior</v>
      </c>
      <c r="G25" s="56" t="str">
        <v>Standar Bonus</v>
      </c>
      <c r="H25" s="47" t="str" cm="1">
        <f t="array" ref="H25">_xlfn.IFS(F25="senior","top performer",F25="Junior","Regular")</f>
        <v>top performer</v>
      </c>
    </row>
    <row r="26" ht="15" customHeight="1" spans="1:8">
      <c r="A26" s="46" t="s">
        <v>72</v>
      </c>
      <c r="B26" s="47" t="s">
        <v>73</v>
      </c>
      <c r="C26" s="46">
        <v>87000</v>
      </c>
      <c r="D26" s="46">
        <v>32</v>
      </c>
      <c r="E26" s="46">
        <v>8</v>
      </c>
      <c r="F26" s="11" t="str">
        <v>Junior</v>
      </c>
      <c r="G26" s="6" t="str">
        <v>Highe</v>
      </c>
      <c r="H26" s="47" t="str" cm="1">
        <f t="array" ref="H26">_xlfn.IFS(F26="senior","top performer",F26="Junior","Regular")</f>
        <v>Regular</v>
      </c>
    </row>
    <row r="27" ht="15" customHeight="1" spans="1:8">
      <c r="A27" s="36" t="s">
        <v>74</v>
      </c>
      <c r="B27" s="35" t="s">
        <v>75</v>
      </c>
      <c r="C27" s="36">
        <v>61000</v>
      </c>
      <c r="D27" s="36">
        <v>46</v>
      </c>
      <c r="E27" s="36">
        <v>18</v>
      </c>
      <c r="F27" s="55" t="str">
        <v>senior</v>
      </c>
      <c r="G27" s="56" t="str">
        <v>Standar Bonus</v>
      </c>
      <c r="H27" s="47" t="str" cm="1">
        <f t="array" ref="H27">_xlfn.IFS(F27="senior","top performer",F27="Junior","Regular")</f>
        <v>top performer</v>
      </c>
    </row>
    <row r="28" ht="15" customHeight="1" spans="1:8">
      <c r="A28" s="46" t="s">
        <v>76</v>
      </c>
      <c r="B28" s="47" t="s">
        <v>77</v>
      </c>
      <c r="C28" s="46">
        <v>73000</v>
      </c>
      <c r="D28" s="46">
        <v>29</v>
      </c>
      <c r="E28" s="46">
        <v>4</v>
      </c>
      <c r="F28" s="11" t="str">
        <v>Junior</v>
      </c>
      <c r="G28" s="6" t="str">
        <v>Standar Bonus</v>
      </c>
      <c r="H28" s="47" t="str" cm="1">
        <f t="array" ref="H28">_xlfn.IFS(F28="senior","top performer",F28="Junior","Regular")</f>
        <v>Regular</v>
      </c>
    </row>
    <row r="30" ht="27.75" customHeight="1"/>
    <row r="31" ht="21.75" customHeight="1"/>
    <row r="32" ht="21.75" customHeight="1"/>
    <row r="33" ht="21.75" customHeight="1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7E22"/>
  </sheetPr>
  <dimension ref="A1:L39"/>
  <sheetViews>
    <sheetView showGridLines="0" topLeftCell="F1" workbookViewId="0">
      <pane ySplit="3" topLeftCell="A4" activePane="bottomLeft" state="frozen"/>
      <selection/>
      <selection pane="bottomLeft" activeCell="I4" sqref="I4"/>
    </sheetView>
  </sheetViews>
  <sheetFormatPr defaultColWidth="8.66363636363636" defaultRowHeight="14.5"/>
  <cols>
    <col min="1" max="1" width="10" customWidth="1"/>
    <col min="2" max="2" width="18" customWidth="1"/>
    <col min="3" max="5" width="10" customWidth="1"/>
    <col min="6" max="6" width="21.5545454545455" customWidth="1"/>
    <col min="7" max="7" width="20" customWidth="1"/>
    <col min="8" max="8" width="22" customWidth="1"/>
    <col min="11" max="11" width="19.3363636363636" customWidth="1"/>
  </cols>
  <sheetData>
    <row r="1" ht="36" customHeight="1" spans="1:12">
      <c r="A1" s="38" t="s">
        <v>86</v>
      </c>
      <c r="B1" s="38"/>
      <c r="C1" s="38"/>
      <c r="D1" s="38"/>
      <c r="E1" s="38"/>
      <c r="F1" s="38"/>
      <c r="G1" s="38"/>
      <c r="H1" s="38"/>
    </row>
    <row r="2" ht="30" customHeight="1" spans="1:12">
      <c r="A2" s="39" t="s">
        <v>87</v>
      </c>
      <c r="B2" s="39"/>
      <c r="C2" s="39"/>
      <c r="D2" s="39"/>
      <c r="E2" s="39"/>
      <c r="F2" s="39"/>
      <c r="G2" s="39"/>
      <c r="H2" s="39"/>
    </row>
    <row r="3" ht="21.75" customHeight="1" spans="1:12">
      <c r="A3" s="2" t="s">
        <v>1</v>
      </c>
      <c r="B3" s="2" t="s">
        <v>2</v>
      </c>
      <c r="C3" s="2" t="s">
        <v>5</v>
      </c>
      <c r="D3" s="2" t="s">
        <v>7</v>
      </c>
      <c r="E3" s="2" t="s">
        <v>6</v>
      </c>
      <c r="F3" s="2" t="s">
        <v>88</v>
      </c>
      <c r="G3" s="2" t="s">
        <v>89</v>
      </c>
      <c r="H3" s="2" t="s">
        <v>90</v>
      </c>
    </row>
    <row r="4" ht="15" customHeight="1" spans="1:12">
      <c r="A4" s="46" t="s">
        <v>13</v>
      </c>
      <c r="B4" s="47" t="s">
        <v>14</v>
      </c>
      <c r="C4" s="46">
        <v>62000</v>
      </c>
      <c r="D4" s="46" t="s">
        <v>16</v>
      </c>
      <c r="E4" s="46">
        <v>6</v>
      </c>
      <c r="F4" s="11" t="str" cm="1">
        <f t="array" ref="F4">_xlfn.IFS(AND(D4="Excellent",C4&gt;=80000),"A+",AND(D4="Excellent",C4&lt;80000),"A",AND(D4="Good"),"B",AND(D4="Average"),"C",TRUE,"D")</f>
        <v>A</v>
      </c>
      <c r="G4" s="15" t="str" cm="1">
        <f t="array" ref="G4:G28">_xlfn.IFS(C4:C28&gt;=100000,"Executive",C4:C28&gt;=80000,"Senior",C4:C28&gt;=65000,"Mid-Level",C4:C28&lt;=65000,"Junior")</f>
        <v>Junior</v>
      </c>
      <c r="H4" s="47" t="str" cm="1">
        <f t="array" ref="H4">_xlfn.IFS(AND(D4="Excillent",C4&gt;=10),"Promotion Candidate",AND(D4="Average"),"Needs Improvement",TRUE,"On Track")</f>
        <v>On Track</v>
      </c>
    </row>
    <row r="5" ht="15" customHeight="1" spans="1:12">
      <c r="A5" s="36" t="s">
        <v>20</v>
      </c>
      <c r="B5" s="35" t="s">
        <v>21</v>
      </c>
      <c r="C5" s="36">
        <v>75000</v>
      </c>
      <c r="D5" s="36" t="s">
        <v>23</v>
      </c>
      <c r="E5" s="36">
        <v>4</v>
      </c>
      <c r="F5" s="11" t="str" cm="1">
        <f t="array" ref="F5">_xlfn.IFS(AND(D5="Excellent",C5&gt;=80000),"A+",AND(D5="Excellent",C5&lt;80000),"A",AND(D5="Good"),"B",AND(D5="Average"),"C",TRUE,"D")</f>
        <v>B</v>
      </c>
      <c r="G5" s="15" t="str">
        <v>Mid-Level</v>
      </c>
      <c r="H5" s="47" t="str" cm="1">
        <f t="array" ref="H5">_xlfn.IFS(AND(D5="Excillent",C5&gt;=10),"Promotion Candidate",AND(D5="Average"),"Needs Improvement",TRUE,"On Track")</f>
        <v>On Track</v>
      </c>
    </row>
    <row r="6" ht="15" customHeight="1" spans="1:12">
      <c r="A6" s="46" t="s">
        <v>26</v>
      </c>
      <c r="B6" s="47" t="s">
        <v>27</v>
      </c>
      <c r="C6" s="46">
        <v>90000</v>
      </c>
      <c r="D6" s="46" t="s">
        <v>16</v>
      </c>
      <c r="E6" s="46">
        <v>18</v>
      </c>
      <c r="F6" s="11" t="str" cm="1">
        <f t="array" ref="F6">_xlfn.IFS(AND(D6="Excellent",C6&gt;=80000),"A+",AND(D6="Excellent",C6&lt;80000),"A",AND(D6="Good"),"B",AND(D6="Average"),"C",TRUE,"D")</f>
        <v>A+</v>
      </c>
      <c r="G6" s="15" t="str">
        <v>Senior</v>
      </c>
      <c r="H6" s="47" t="str" cm="1">
        <f t="array" ref="H6">_xlfn.IFS(AND(D6="Excillent",C6&gt;=10),"Promotion Candidate",AND(D6="Average"),"Needs Improvement",TRUE,"On Track")</f>
        <v>On Track</v>
      </c>
    </row>
    <row r="7" ht="15" customHeight="1" spans="1:12">
      <c r="A7" s="36" t="s">
        <v>30</v>
      </c>
      <c r="B7" s="35" t="s">
        <v>31</v>
      </c>
      <c r="C7" s="36">
        <v>71000</v>
      </c>
      <c r="D7" s="36" t="s">
        <v>32</v>
      </c>
      <c r="E7" s="36">
        <v>7</v>
      </c>
      <c r="F7" s="11" t="str" cm="1">
        <f t="array" ref="F7">_xlfn.IFS(AND(D7="Excellent",C7&gt;=80000),"A+",AND(D7="Excellent",C7&lt;80000),"A",AND(D7="Good"),"B",AND(D7="Average"),"C",TRUE,"D")</f>
        <v>C</v>
      </c>
      <c r="G7" s="15" t="str">
        <v>Mid-Level</v>
      </c>
      <c r="H7" s="47" t="str" cm="1">
        <f t="array" ref="H7">_xlfn.IFS(AND(D7="Excillent",C7&gt;=10),"Promotion Candidate",AND(D7="Average"),"Needs Improvement",TRUE,"On Track")</f>
        <v>Needs Improvement</v>
      </c>
      <c r="K7" s="2" t="s">
        <v>88</v>
      </c>
      <c r="L7" t="s">
        <v>91</v>
      </c>
    </row>
    <row r="8" ht="15" customHeight="1" spans="1:12">
      <c r="A8" s="46" t="s">
        <v>34</v>
      </c>
      <c r="B8" s="47" t="s">
        <v>35</v>
      </c>
      <c r="C8" s="46">
        <v>55000</v>
      </c>
      <c r="D8" s="46" t="s">
        <v>23</v>
      </c>
      <c r="E8" s="46">
        <v>3</v>
      </c>
      <c r="F8" s="11" t="str" cm="1">
        <f t="array" ref="F8">_xlfn.IFS(AND(D8="Excellent",C8&gt;=80000),"A+",AND(D8="Excellent",C8&lt;80000),"A",AND(D8="Good"),"B",AND(D8="Average"),"C",TRUE,"D")</f>
        <v>B</v>
      </c>
      <c r="G8" s="15" t="str">
        <v>Junior</v>
      </c>
      <c r="H8" s="47" t="str" cm="1">
        <f t="array" ref="H8">_xlfn.IFS(AND(D8="Excillent",C8&gt;=10),"Promotion Candidate",AND(D8="Average"),"Needs Improvement",TRUE,"On Track")</f>
        <v>On Track</v>
      </c>
      <c r="L8" s="48"/>
    </row>
    <row r="9" ht="15" customHeight="1" spans="1:12">
      <c r="A9" s="36" t="s">
        <v>37</v>
      </c>
      <c r="B9" s="35" t="s">
        <v>38</v>
      </c>
      <c r="C9" s="36">
        <v>68000</v>
      </c>
      <c r="D9" s="36" t="s">
        <v>32</v>
      </c>
      <c r="E9" s="36">
        <v>22</v>
      </c>
      <c r="F9" s="11" t="str" cm="1">
        <f t="array" ref="F9">_xlfn.IFS(AND(D9="Excellent",C9&gt;=80000),"A+",AND(D9="Excellent",C9&lt;80000),"A",AND(D9="Good"),"B",AND(D9="Average"),"C",TRUE,"D")</f>
        <v>C</v>
      </c>
      <c r="G9" s="15" t="str">
        <v>Mid-Level</v>
      </c>
      <c r="H9" s="47" t="str" cm="1">
        <f t="array" ref="H9">_xlfn.IFS(AND(D9="Excillent",C9&gt;=10),"Promotion Candidate",AND(D9="Average"),"Needs Improvement",TRUE,"On Track")</f>
        <v>Needs Improvement</v>
      </c>
      <c r="L9" s="48" t="s">
        <v>92</v>
      </c>
    </row>
    <row r="10" ht="15" customHeight="1" spans="1:12">
      <c r="A10" s="46" t="s">
        <v>40</v>
      </c>
      <c r="B10" s="47" t="s">
        <v>41</v>
      </c>
      <c r="C10" s="46">
        <v>95000</v>
      </c>
      <c r="D10" s="46" t="s">
        <v>16</v>
      </c>
      <c r="E10" s="46">
        <v>14</v>
      </c>
      <c r="F10" s="11" t="str" cm="1">
        <f t="array" ref="F10">_xlfn.IFS(AND(D10="Excellent",C10&gt;=80000),"A+",AND(D10="Excellent",C10&lt;80000),"A",AND(D10="Good"),"B",AND(D10="Average"),"C",TRUE,"D")</f>
        <v>A+</v>
      </c>
      <c r="G10" s="15" t="str">
        <v>Senior</v>
      </c>
      <c r="H10" s="47" t="str" cm="1">
        <f t="array" ref="H10">_xlfn.IFS(AND(D10="Excillent",C10&gt;=10),"Promotion Candidate",AND(D10="Average"),"Needs Improvement",TRUE,"On Track")</f>
        <v>On Track</v>
      </c>
      <c r="L10" s="48" t="s">
        <v>93</v>
      </c>
    </row>
    <row r="11" ht="15" customHeight="1" spans="1:12">
      <c r="A11" s="36" t="s">
        <v>42</v>
      </c>
      <c r="B11" s="35" t="s">
        <v>43</v>
      </c>
      <c r="C11" s="36">
        <v>58000</v>
      </c>
      <c r="D11" s="36" t="s">
        <v>23</v>
      </c>
      <c r="E11" s="36">
        <v>1</v>
      </c>
      <c r="F11" s="11" t="str" cm="1">
        <f t="array" ref="F11">_xlfn.IFS(AND(D11="Excellent",C11&gt;=80000),"A+",AND(D11="Excellent",C11&lt;80000),"A",AND(D11="Good"),"B",AND(D11="Average"),"C",TRUE,"D")</f>
        <v>B</v>
      </c>
      <c r="G11" s="15" t="str">
        <v>Junior</v>
      </c>
      <c r="H11" s="47" t="str" cm="1">
        <f t="array" ref="H11">_xlfn.IFS(AND(D11="Excillent",C11&gt;=10),"Promotion Candidate",AND(D11="Average"),"Needs Improvement",TRUE,"On Track")</f>
        <v>On Track</v>
      </c>
      <c r="L11" s="48" t="s">
        <v>94</v>
      </c>
    </row>
    <row r="12" ht="15" customHeight="1" spans="1:12">
      <c r="A12" s="46" t="s">
        <v>44</v>
      </c>
      <c r="B12" s="47" t="s">
        <v>45</v>
      </c>
      <c r="C12" s="46">
        <v>72000</v>
      </c>
      <c r="D12" s="46" t="s">
        <v>16</v>
      </c>
      <c r="E12" s="46">
        <v>12</v>
      </c>
      <c r="F12" s="11" t="str" cm="1">
        <f t="array" ref="F12">_xlfn.IFS(AND(D12="Excellent",C12&gt;=80000),"A+",AND(D12="Excellent",C12&lt;80000),"A",AND(D12="Good"),"B",AND(D12="Average"),"C",TRUE,"D")</f>
        <v>A</v>
      </c>
      <c r="G12" s="15" t="str">
        <v>Mid-Level</v>
      </c>
      <c r="H12" s="47" t="str" cm="1">
        <f t="array" ref="H12">_xlfn.IFS(AND(D12="Excillent",C12&gt;=10),"Promotion Candidate",AND(D12="Average"),"Needs Improvement",TRUE,"On Track")</f>
        <v>On Track</v>
      </c>
      <c r="L12" s="48" t="s">
        <v>95</v>
      </c>
    </row>
    <row r="13" ht="15" customHeight="1" spans="1:12">
      <c r="A13" s="36" t="s">
        <v>46</v>
      </c>
      <c r="B13" s="35" t="s">
        <v>47</v>
      </c>
      <c r="C13" s="36">
        <v>80000</v>
      </c>
      <c r="D13" s="36" t="s">
        <v>32</v>
      </c>
      <c r="E13" s="36">
        <v>5</v>
      </c>
      <c r="F13" s="11" t="str" cm="1">
        <f t="array" ref="F13">_xlfn.IFS(AND(D13="Excellent",C13&gt;=80000),"A+",AND(D13="Excellent",C13&lt;80000),"A",AND(D13="Good"),"B",AND(D13="Average"),"C",TRUE,"D")</f>
        <v>C</v>
      </c>
      <c r="G13" s="15" t="str">
        <v>Senior</v>
      </c>
      <c r="H13" s="47" t="str" cm="1">
        <f t="array" ref="H13">_xlfn.IFS(AND(D13="Excillent",C13&gt;=10),"Promotion Candidate",AND(D13="Average"),"Needs Improvement",TRUE,"On Track")</f>
        <v>Needs Improvement</v>
      </c>
      <c r="L13" s="48" t="s">
        <v>96</v>
      </c>
    </row>
    <row r="14" ht="15" customHeight="1" spans="1:12">
      <c r="A14" s="46" t="s">
        <v>48</v>
      </c>
      <c r="B14" s="47" t="s">
        <v>49</v>
      </c>
      <c r="C14" s="46">
        <v>82000</v>
      </c>
      <c r="D14" s="46" t="s">
        <v>23</v>
      </c>
      <c r="E14" s="46">
        <v>10</v>
      </c>
      <c r="F14" s="11" t="str" cm="1">
        <f t="array" ref="F14">_xlfn.IFS(AND(D14="Excellent",C14&gt;=80000),"A+",AND(D14="Excellent",C14&lt;80000),"A",AND(D14="Good"),"B",AND(D14="Average"),"C",TRUE,"D")</f>
        <v>B</v>
      </c>
      <c r="G14" s="15" t="str">
        <v>Senior</v>
      </c>
      <c r="H14" s="47" t="str" cm="1">
        <f t="array" ref="H14">_xlfn.IFS(AND(D14="Excillent",C14&gt;=10),"Promotion Candidate",AND(D14="Average"),"Needs Improvement",TRUE,"On Track")</f>
        <v>On Track</v>
      </c>
      <c r="L14" s="48"/>
    </row>
    <row r="15" ht="15" customHeight="1" spans="1:12">
      <c r="A15" s="36" t="s">
        <v>50</v>
      </c>
      <c r="B15" s="35" t="s">
        <v>51</v>
      </c>
      <c r="C15" s="36">
        <v>63000</v>
      </c>
      <c r="D15" s="36" t="s">
        <v>32</v>
      </c>
      <c r="E15" s="36">
        <v>20</v>
      </c>
      <c r="F15" s="11" t="str" cm="1">
        <f t="array" ref="F15">_xlfn.IFS(AND(D15="Excellent",C15&gt;=80000),"A+",AND(D15="Excellent",C15&lt;80000),"A",AND(D15="Good"),"B",AND(D15="Average"),"C",TRUE,"D")</f>
        <v>C</v>
      </c>
      <c r="G15" s="15" t="str">
        <v>Junior</v>
      </c>
      <c r="H15" s="47" t="str" cm="1">
        <f t="array" ref="H15">_xlfn.IFS(AND(D15="Excillent",C15&gt;=10),"Promotion Candidate",AND(D15="Average"),"Needs Improvement",TRUE,"On Track")</f>
        <v>Needs Improvement</v>
      </c>
    </row>
    <row r="16" ht="15" customHeight="1" spans="1:12">
      <c r="A16" s="46" t="s">
        <v>52</v>
      </c>
      <c r="B16" s="47" t="s">
        <v>53</v>
      </c>
      <c r="C16" s="46">
        <v>60000</v>
      </c>
      <c r="D16" s="46" t="s">
        <v>23</v>
      </c>
      <c r="E16" s="46">
        <v>8</v>
      </c>
      <c r="F16" s="11" t="str" cm="1">
        <f t="array" ref="F16">_xlfn.IFS(AND(D16="Excellent",C16&gt;=80000),"A+",AND(D16="Excellent",C16&lt;80000),"A",AND(D16="Good"),"B",AND(D16="Average"),"C",TRUE,"D")</f>
        <v>B</v>
      </c>
      <c r="G16" s="15" t="str">
        <v>Junior</v>
      </c>
      <c r="H16" s="47" t="str" cm="1">
        <f t="array" ref="H16">_xlfn.IFS(AND(D16="Excillent",C16&gt;=10),"Promotion Candidate",AND(D16="Average"),"Needs Improvement",TRUE,"On Track")</f>
        <v>On Track</v>
      </c>
      <c r="K16" s="2" t="s">
        <v>89</v>
      </c>
      <c r="L16" t="s">
        <v>97</v>
      </c>
    </row>
    <row r="17" ht="15" customHeight="1" spans="1:12">
      <c r="A17" s="36" t="s">
        <v>54</v>
      </c>
      <c r="B17" s="35" t="s">
        <v>55</v>
      </c>
      <c r="C17" s="36">
        <v>105000</v>
      </c>
      <c r="D17" s="36" t="s">
        <v>16</v>
      </c>
      <c r="E17" s="36">
        <v>28</v>
      </c>
      <c r="F17" s="11" t="str" cm="1">
        <f t="array" ref="F17">_xlfn.IFS(AND(D17="Excellent",C17&gt;=80000),"A+",AND(D17="Excellent",C17&lt;80000),"A",AND(D17="Good"),"B",AND(D17="Average"),"C",TRUE,"D")</f>
        <v>A+</v>
      </c>
      <c r="G17" s="15" t="str">
        <v>Executive</v>
      </c>
      <c r="H17" s="47" t="str" cm="1">
        <f t="array" ref="H17">_xlfn.IFS(AND(D17="Excillent",C17&gt;=10),"Promotion Candidate",AND(D17="Average"),"Needs Improvement",TRUE,"On Track")</f>
        <v>On Track</v>
      </c>
    </row>
    <row r="18" ht="15" customHeight="1" spans="1:12">
      <c r="A18" s="46" t="s">
        <v>56</v>
      </c>
      <c r="B18" s="47" t="s">
        <v>57</v>
      </c>
      <c r="C18" s="46">
        <v>70000</v>
      </c>
      <c r="D18" s="46" t="s">
        <v>16</v>
      </c>
      <c r="E18" s="46">
        <v>3</v>
      </c>
      <c r="F18" s="11" t="str" cm="1">
        <f t="array" ref="F18">_xlfn.IFS(AND(D18="Excellent",C18&gt;=80000),"A+",AND(D18="Excellent",C18&lt;80000),"A",AND(D18="Good"),"B",AND(D18="Average"),"C",TRUE,"D")</f>
        <v>A</v>
      </c>
      <c r="G18" s="15" t="str">
        <v>Mid-Level</v>
      </c>
      <c r="H18" s="47" t="str" cm="1">
        <f t="array" ref="H18">_xlfn.IFS(AND(D18="Excillent",C18&gt;=10),"Promotion Candidate",AND(D18="Average"),"Needs Improvement",TRUE,"On Track")</f>
        <v>On Track</v>
      </c>
      <c r="L18" t="s">
        <v>98</v>
      </c>
    </row>
    <row r="19" ht="15" customHeight="1" spans="1:12">
      <c r="A19" s="36" t="s">
        <v>58</v>
      </c>
      <c r="B19" s="35" t="s">
        <v>59</v>
      </c>
      <c r="C19" s="36">
        <v>67000</v>
      </c>
      <c r="D19" s="36" t="s">
        <v>23</v>
      </c>
      <c r="E19" s="36">
        <v>16</v>
      </c>
      <c r="F19" s="11" t="str" cm="1">
        <f t="array" ref="F19">_xlfn.IFS(AND(D19="Excellent",C19&gt;=80000),"A+",AND(D19="Excellent",C19&lt;80000),"A",AND(D19="Good"),"B",AND(D19="Average"),"C",TRUE,"D")</f>
        <v>B</v>
      </c>
      <c r="G19" s="15" t="str">
        <v>Mid-Level</v>
      </c>
      <c r="H19" s="47" t="str" cm="1">
        <f t="array" ref="H19">_xlfn.IFS(AND(D19="Excillent",C19&gt;=10),"Promotion Candidate",AND(D19="Average"),"Needs Improvement",TRUE,"On Track")</f>
        <v>On Track</v>
      </c>
      <c r="L19" t="s">
        <v>99</v>
      </c>
    </row>
    <row r="20" ht="15" customHeight="1" spans="1:12">
      <c r="A20" s="46" t="s">
        <v>60</v>
      </c>
      <c r="B20" s="47" t="s">
        <v>61</v>
      </c>
      <c r="C20" s="46">
        <v>58000</v>
      </c>
      <c r="D20" s="46" t="s">
        <v>32</v>
      </c>
      <c r="E20" s="46">
        <v>6</v>
      </c>
      <c r="F20" s="11" t="str" cm="1">
        <f t="array" ref="F20">_xlfn.IFS(AND(D20="Excellent",C20&gt;=80000),"A+",AND(D20="Excellent",C20&lt;80000),"A",AND(D20="Good"),"B",AND(D20="Average"),"C",TRUE,"D")</f>
        <v>C</v>
      </c>
      <c r="G20" s="15" t="str">
        <v>Junior</v>
      </c>
      <c r="H20" s="47" t="str" cm="1">
        <f t="array" ref="H20">_xlfn.IFS(AND(D20="Excillent",C20&gt;=10),"Promotion Candidate",AND(D20="Average"),"Needs Improvement",TRUE,"On Track")</f>
        <v>Needs Improvement</v>
      </c>
      <c r="L20" t="s">
        <v>100</v>
      </c>
    </row>
    <row r="21" ht="15" customHeight="1" spans="1:12">
      <c r="A21" s="36" t="s">
        <v>62</v>
      </c>
      <c r="B21" s="35" t="s">
        <v>63</v>
      </c>
      <c r="C21" s="36">
        <v>88000</v>
      </c>
      <c r="D21" s="36" t="s">
        <v>16</v>
      </c>
      <c r="E21" s="36">
        <v>13</v>
      </c>
      <c r="F21" s="11" t="str" cm="1">
        <f t="array" ref="F21">_xlfn.IFS(AND(D21="Excellent",C21&gt;=80000),"A+",AND(D21="Excellent",C21&lt;80000),"A",AND(D21="Good"),"B",AND(D21="Average"),"C",TRUE,"D")</f>
        <v>A+</v>
      </c>
      <c r="G21" s="15" t="str">
        <v>Senior</v>
      </c>
      <c r="H21" s="47" t="str" cm="1">
        <f t="array" ref="H21">_xlfn.IFS(AND(D21="Excillent",C21&gt;=10),"Promotion Candidate",AND(D21="Average"),"Needs Improvement",TRUE,"On Track")</f>
        <v>On Track</v>
      </c>
      <c r="L21" t="s">
        <v>101</v>
      </c>
    </row>
    <row r="22" ht="15" customHeight="1" spans="1:12">
      <c r="A22" s="46" t="s">
        <v>64</v>
      </c>
      <c r="B22" s="47" t="s">
        <v>65</v>
      </c>
      <c r="C22" s="46">
        <v>76000</v>
      </c>
      <c r="D22" s="46" t="s">
        <v>23</v>
      </c>
      <c r="E22" s="46">
        <v>2</v>
      </c>
      <c r="F22" s="11" t="str" cm="1">
        <f t="array" ref="F22">_xlfn.IFS(AND(D22="Excellent",C22&gt;=80000),"A+",AND(D22="Excellent",C22&lt;80000),"A",AND(D22="Good"),"B",AND(D22="Average"),"C",TRUE,"D")</f>
        <v>B</v>
      </c>
      <c r="G22" s="15" t="str">
        <v>Mid-Level</v>
      </c>
      <c r="H22" s="47" t="str" cm="1">
        <f t="array" ref="H22">_xlfn.IFS(AND(D22="Excillent",C22&gt;=10),"Promotion Candidate",AND(D22="Average"),"Needs Improvement",TRUE,"On Track")</f>
        <v>On Track</v>
      </c>
    </row>
    <row r="23" ht="15" customHeight="1" spans="1:12">
      <c r="A23" s="36" t="s">
        <v>66</v>
      </c>
      <c r="B23" s="35" t="s">
        <v>67</v>
      </c>
      <c r="C23" s="36">
        <v>65000</v>
      </c>
      <c r="D23" s="36" t="s">
        <v>32</v>
      </c>
      <c r="E23" s="36">
        <v>24</v>
      </c>
      <c r="F23" s="11" t="str" cm="1">
        <f t="array" ref="F23">_xlfn.IFS(AND(D23="Excellent",C23&gt;=80000),"A+",AND(D23="Excellent",C23&lt;80000),"A",AND(D23="Good"),"B",AND(D23="Average"),"C",TRUE,"D")</f>
        <v>C</v>
      </c>
      <c r="G23" s="15" t="str">
        <v>Mid-Level</v>
      </c>
      <c r="H23" s="47" t="str" cm="1">
        <f t="array" ref="H23">_xlfn.IFS(AND(D23="Excillent",C23&gt;=10),"Promotion Candidate",AND(D23="Average"),"Needs Improvement",TRUE,"On Track")</f>
        <v>Needs Improvement</v>
      </c>
    </row>
    <row r="24" ht="15" customHeight="1" spans="1:12">
      <c r="A24" s="46" t="s">
        <v>68</v>
      </c>
      <c r="B24" s="47" t="s">
        <v>69</v>
      </c>
      <c r="C24" s="46">
        <v>64000</v>
      </c>
      <c r="D24" s="46" t="s">
        <v>16</v>
      </c>
      <c r="E24" s="46">
        <v>9</v>
      </c>
      <c r="F24" s="11" t="str" cm="1">
        <f t="array" ref="F24">_xlfn.IFS(AND(D24="Excellent",C24&gt;=80000),"A+",AND(D24="Excellent",C24&lt;80000),"A",AND(D24="Good"),"B",AND(D24="Average"),"C",TRUE,"D")</f>
        <v>A</v>
      </c>
      <c r="G24" s="15" t="str">
        <v>Junior</v>
      </c>
      <c r="H24" s="47" t="str" cm="1">
        <f t="array" ref="H24">_xlfn.IFS(AND(D24="Excillent",C24&gt;=10),"Promotion Candidate",AND(D24="Average"),"Needs Improvement",TRUE,"On Track")</f>
        <v>On Track</v>
      </c>
      <c r="K24" s="2" t="s">
        <v>90</v>
      </c>
      <c r="L24" t="s">
        <v>102</v>
      </c>
    </row>
    <row r="25" ht="15" customHeight="1" spans="1:12">
      <c r="A25" s="36" t="s">
        <v>70</v>
      </c>
      <c r="B25" s="35" t="s">
        <v>71</v>
      </c>
      <c r="C25" s="36">
        <v>79000</v>
      </c>
      <c r="D25" s="36" t="s">
        <v>23</v>
      </c>
      <c r="E25" s="36">
        <v>15</v>
      </c>
      <c r="F25" s="11" t="str" cm="1">
        <f t="array" ref="F25">_xlfn.IFS(AND(D25="Excellent",C25&gt;=80000),"A+",AND(D25="Excellent",C25&lt;80000),"A",AND(D25="Good"),"B",AND(D25="Average"),"C",TRUE,"D")</f>
        <v>B</v>
      </c>
      <c r="G25" s="15" t="str">
        <v>Mid-Level</v>
      </c>
      <c r="H25" s="47" t="str" cm="1">
        <f t="array" ref="H25">_xlfn.IFS(AND(D25="Excillent",C25&gt;=10),"Promotion Candidate",AND(D25="Average"),"Needs Improvement",TRUE,"On Track")</f>
        <v>On Track</v>
      </c>
    </row>
    <row r="26" ht="15" customHeight="1" spans="1:12">
      <c r="A26" s="46" t="s">
        <v>72</v>
      </c>
      <c r="B26" s="47" t="s">
        <v>73</v>
      </c>
      <c r="C26" s="46">
        <v>87000</v>
      </c>
      <c r="D26" s="46" t="s">
        <v>16</v>
      </c>
      <c r="E26" s="46">
        <v>8</v>
      </c>
      <c r="F26" s="11" t="str" cm="1">
        <f t="array" ref="F26">_xlfn.IFS(AND(D26="Excellent",C26&gt;=80000),"A+",AND(D26="Excellent",C26&lt;80000),"A",AND(D26="Good"),"B",AND(D26="Average"),"C",TRUE,"D")</f>
        <v>A+</v>
      </c>
      <c r="G26" s="15" t="str">
        <v>Senior</v>
      </c>
      <c r="H26" s="47" t="str" cm="1">
        <f t="array" ref="H26">_xlfn.IFS(AND(D26="Excillent",C26&gt;=10),"Promotion Candidate",AND(D26="Average"),"Needs Improvement",TRUE,"On Track")</f>
        <v>On Track</v>
      </c>
      <c r="L26" t="s">
        <v>103</v>
      </c>
    </row>
    <row r="27" ht="15" customHeight="1" spans="1:12">
      <c r="A27" s="36" t="s">
        <v>74</v>
      </c>
      <c r="B27" s="35" t="s">
        <v>75</v>
      </c>
      <c r="C27" s="36">
        <v>61000</v>
      </c>
      <c r="D27" s="36" t="s">
        <v>32</v>
      </c>
      <c r="E27" s="36">
        <v>18</v>
      </c>
      <c r="F27" s="11" t="str" cm="1">
        <f t="array" ref="F27">_xlfn.IFS(AND(D27="Excellent",C27&gt;=80000),"A+",AND(D27="Excellent",C27&lt;80000),"A",AND(D27="Good"),"B",AND(D27="Average"),"C",TRUE,"D")</f>
        <v>C</v>
      </c>
      <c r="G27" s="15" t="str">
        <v>Junior</v>
      </c>
      <c r="H27" s="47" t="str" cm="1">
        <f t="array" ref="H27">_xlfn.IFS(AND(D27="Excillent",C27&gt;=10),"Promotion Candidate",AND(D27="Average"),"Needs Improvement",TRUE,"On Track")</f>
        <v>Needs Improvement</v>
      </c>
      <c r="L27" t="s">
        <v>104</v>
      </c>
    </row>
    <row r="28" ht="15" customHeight="1" spans="1:12">
      <c r="A28" s="46" t="s">
        <v>76</v>
      </c>
      <c r="B28" s="47" t="s">
        <v>77</v>
      </c>
      <c r="C28" s="46">
        <v>73000</v>
      </c>
      <c r="D28" s="46" t="s">
        <v>23</v>
      </c>
      <c r="E28" s="46">
        <v>4</v>
      </c>
      <c r="F28" s="11" t="str" cm="1">
        <f t="array" ref="F28">_xlfn.IFS(AND(D28="Excellent",C28&gt;=80000),"A+",AND(D28="Excellent",C28&lt;80000),"A",AND(D28="Good"),"B",AND(D28="Average"),"C",TRUE,"D")</f>
        <v>B</v>
      </c>
      <c r="G28" s="15" t="str">
        <v>Mid-Level</v>
      </c>
      <c r="H28" s="47" t="str" cm="1">
        <f t="array" ref="H28">_xlfn.IFS(AND(D28="Excillent",C28&gt;=10),"Promotion Candidate",AND(D28="Average"),"Needs Improvement",TRUE,"On Track")</f>
        <v>On Track</v>
      </c>
      <c r="L28" t="s">
        <v>105</v>
      </c>
    </row>
    <row r="30" ht="27.75" customHeight="1"/>
    <row r="31" ht="24" customHeight="1"/>
    <row r="32" ht="24" customHeight="1"/>
    <row r="38" spans="12:12">
      <c r="L38" s="48"/>
    </row>
    <row r="39" spans="12:12">
      <c r="L39" s="48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8449"/>
  </sheetPr>
  <dimension ref="A1:L33"/>
  <sheetViews>
    <sheetView showGridLines="0" zoomScale="91" zoomScaleNormal="91" topLeftCell="B1" workbookViewId="0">
      <pane ySplit="3" topLeftCell="A10" activePane="bottomLeft" state="frozen"/>
      <selection/>
      <selection pane="bottomLeft" activeCell="H7" sqref="H7"/>
    </sheetView>
  </sheetViews>
  <sheetFormatPr defaultColWidth="8.66363636363636" defaultRowHeight="14.5"/>
  <cols>
    <col min="1" max="1" width="10" customWidth="1"/>
    <col min="2" max="2" width="18" customWidth="1"/>
    <col min="3" max="5" width="10" customWidth="1"/>
    <col min="6" max="7" width="18" customWidth="1"/>
    <col min="8" max="8" width="22" customWidth="1"/>
    <col min="11" max="11" width="18.1090909090909" customWidth="1"/>
  </cols>
  <sheetData>
    <row r="1" ht="36" customHeight="1" spans="1:12">
      <c r="A1" s="38" t="s">
        <v>106</v>
      </c>
      <c r="B1" s="38"/>
      <c r="C1" s="38"/>
      <c r="D1" s="38"/>
      <c r="E1" s="38"/>
      <c r="F1" s="38"/>
      <c r="G1" s="38"/>
      <c r="H1" s="38"/>
    </row>
    <row r="2" ht="30" customHeight="1" spans="1:12">
      <c r="A2" s="39" t="s">
        <v>107</v>
      </c>
      <c r="B2" s="39"/>
      <c r="C2" s="39"/>
      <c r="D2" s="39"/>
      <c r="E2" s="39"/>
      <c r="F2" s="39"/>
      <c r="G2" s="39"/>
      <c r="H2" s="39"/>
    </row>
    <row r="3" ht="21.75" customHeight="1" spans="1:12">
      <c r="A3" s="2" t="s">
        <v>1</v>
      </c>
      <c r="B3" s="2" t="s">
        <v>2</v>
      </c>
      <c r="C3" s="2" t="s">
        <v>5</v>
      </c>
      <c r="D3" s="2" t="s">
        <v>7</v>
      </c>
      <c r="E3" s="2" t="s">
        <v>12</v>
      </c>
      <c r="F3" s="2" t="s">
        <v>108</v>
      </c>
      <c r="G3" s="2" t="s">
        <v>109</v>
      </c>
      <c r="H3" s="2" t="s">
        <v>110</v>
      </c>
    </row>
    <row r="4" ht="15" customHeight="1" spans="1:12">
      <c r="A4" s="46" t="s">
        <v>13</v>
      </c>
      <c r="B4" s="47" t="s">
        <v>14</v>
      </c>
      <c r="C4" s="46">
        <v>62000</v>
      </c>
      <c r="D4" s="46" t="s">
        <v>16</v>
      </c>
      <c r="E4" s="46" t="s">
        <v>19</v>
      </c>
      <c r="F4" s="10" t="str">
        <f>IF(AND(D4="Excellent",C4&gt;=70000,E4="Yes"),"Eligible","Not Eligible")</f>
        <v>Not Eligible</v>
      </c>
      <c r="G4" s="15" t="str">
        <f>IF(OR(C4&gt;=90000,D4="Excellent"),"Highe Priority","Normal")</f>
        <v>Highe Priority</v>
      </c>
      <c r="H4" s="47" t="str">
        <f>IF(NOT(E4="yes"),"Inactive Employee","Active &amp;Working")</f>
        <v>Active &amp;Working</v>
      </c>
    </row>
    <row r="5" ht="15" customHeight="1" spans="1:12">
      <c r="A5" s="36" t="s">
        <v>20</v>
      </c>
      <c r="B5" s="35" t="s">
        <v>21</v>
      </c>
      <c r="C5" s="36">
        <v>75000</v>
      </c>
      <c r="D5" s="36" t="s">
        <v>23</v>
      </c>
      <c r="E5" s="36" t="s">
        <v>19</v>
      </c>
      <c r="F5" s="10" t="str">
        <f t="shared" ref="F5:F28" si="0">IF(AND(D5="Excellent",C5&gt;=70000,E5="Yes"),"Eligible","Not Eligible")</f>
        <v>Not Eligible</v>
      </c>
      <c r="G5" s="15" t="str">
        <f t="shared" ref="G5:G28" si="1">IF(OR(C5&gt;=90000,D5="Excellent"),"Highe Priority","Normal")</f>
        <v>Normal</v>
      </c>
      <c r="H5" s="47" t="str">
        <f t="shared" ref="H5:H28" si="2">IF(NOT(E5="yes"),"Inactive Employee","Active &amp;Working")</f>
        <v>Active &amp;Working</v>
      </c>
    </row>
    <row r="6" ht="15" customHeight="1" spans="1:12">
      <c r="A6" s="46" t="s">
        <v>26</v>
      </c>
      <c r="B6" s="47" t="s">
        <v>27</v>
      </c>
      <c r="C6" s="46">
        <v>90000</v>
      </c>
      <c r="D6" s="46" t="s">
        <v>16</v>
      </c>
      <c r="E6" s="46" t="s">
        <v>19</v>
      </c>
      <c r="F6" s="10" t="str">
        <f t="shared" si="0"/>
        <v>Eligible</v>
      </c>
      <c r="G6" s="15" t="str">
        <f t="shared" si="1"/>
        <v>Highe Priority</v>
      </c>
      <c r="H6" s="47" t="str">
        <f t="shared" si="2"/>
        <v>Active &amp;Working</v>
      </c>
      <c r="K6" s="2" t="s">
        <v>108</v>
      </c>
      <c r="L6" t="s">
        <v>111</v>
      </c>
    </row>
    <row r="7" ht="15" customHeight="1" spans="1:12">
      <c r="A7" s="36" t="s">
        <v>30</v>
      </c>
      <c r="B7" s="35" t="s">
        <v>31</v>
      </c>
      <c r="C7" s="36">
        <v>71000</v>
      </c>
      <c r="D7" s="36" t="s">
        <v>32</v>
      </c>
      <c r="E7" s="36" t="s">
        <v>19</v>
      </c>
      <c r="F7" s="10" t="str">
        <f t="shared" si="0"/>
        <v>Not Eligible</v>
      </c>
      <c r="G7" s="15" t="str">
        <f t="shared" si="1"/>
        <v>Normal</v>
      </c>
      <c r="H7" s="47" t="str">
        <f t="shared" si="2"/>
        <v>Active &amp;Working</v>
      </c>
    </row>
    <row r="8" ht="15" customHeight="1" spans="1:12">
      <c r="A8" s="46" t="s">
        <v>34</v>
      </c>
      <c r="B8" s="47" t="s">
        <v>35</v>
      </c>
      <c r="C8" s="46">
        <v>55000</v>
      </c>
      <c r="D8" s="46" t="s">
        <v>23</v>
      </c>
      <c r="E8" s="46" t="s">
        <v>19</v>
      </c>
      <c r="F8" s="10" t="str">
        <f t="shared" si="0"/>
        <v>Not Eligible</v>
      </c>
      <c r="G8" s="15" t="str">
        <f t="shared" si="1"/>
        <v>Normal</v>
      </c>
      <c r="H8" s="47" t="str">
        <f t="shared" si="2"/>
        <v>Active &amp;Working</v>
      </c>
      <c r="L8" t="s">
        <v>112</v>
      </c>
    </row>
    <row r="9" ht="15" customHeight="1" spans="1:12">
      <c r="A9" s="36" t="s">
        <v>37</v>
      </c>
      <c r="B9" s="35" t="s">
        <v>38</v>
      </c>
      <c r="C9" s="36">
        <v>68000</v>
      </c>
      <c r="D9" s="36" t="s">
        <v>32</v>
      </c>
      <c r="E9" s="36" t="s">
        <v>39</v>
      </c>
      <c r="F9" s="10" t="str">
        <f t="shared" si="0"/>
        <v>Not Eligible</v>
      </c>
      <c r="G9" s="15" t="str">
        <f t="shared" si="1"/>
        <v>Normal</v>
      </c>
      <c r="H9" s="47" t="str">
        <f t="shared" si="2"/>
        <v>Inactive Employee</v>
      </c>
      <c r="L9" s="48" t="s">
        <v>113</v>
      </c>
    </row>
    <row r="10" ht="15" customHeight="1" spans="1:12">
      <c r="A10" s="46" t="s">
        <v>40</v>
      </c>
      <c r="B10" s="47" t="s">
        <v>41</v>
      </c>
      <c r="C10" s="46">
        <v>95000</v>
      </c>
      <c r="D10" s="46" t="s">
        <v>16</v>
      </c>
      <c r="E10" s="46" t="s">
        <v>19</v>
      </c>
      <c r="F10" s="10" t="str">
        <f t="shared" si="0"/>
        <v>Eligible</v>
      </c>
      <c r="G10" s="15" t="str">
        <f t="shared" si="1"/>
        <v>Highe Priority</v>
      </c>
      <c r="H10" s="47" t="str">
        <f t="shared" si="2"/>
        <v>Active &amp;Working</v>
      </c>
      <c r="L10" s="48" t="s">
        <v>114</v>
      </c>
    </row>
    <row r="11" ht="15" customHeight="1" spans="1:12">
      <c r="A11" s="36" t="s">
        <v>42</v>
      </c>
      <c r="B11" s="35" t="s">
        <v>43</v>
      </c>
      <c r="C11" s="36">
        <v>58000</v>
      </c>
      <c r="D11" s="36" t="s">
        <v>23</v>
      </c>
      <c r="E11" s="36" t="s">
        <v>19</v>
      </c>
      <c r="F11" s="10" t="str">
        <f t="shared" si="0"/>
        <v>Not Eligible</v>
      </c>
      <c r="G11" s="15" t="str">
        <f t="shared" si="1"/>
        <v>Normal</v>
      </c>
      <c r="H11" s="47" t="str">
        <f t="shared" si="2"/>
        <v>Active &amp;Working</v>
      </c>
      <c r="L11" s="48" t="s">
        <v>115</v>
      </c>
    </row>
    <row r="12" ht="15" customHeight="1" spans="1:12">
      <c r="A12" s="46" t="s">
        <v>44</v>
      </c>
      <c r="B12" s="47" t="s">
        <v>45</v>
      </c>
      <c r="C12" s="46">
        <v>72000</v>
      </c>
      <c r="D12" s="46" t="s">
        <v>16</v>
      </c>
      <c r="E12" s="46" t="s">
        <v>19</v>
      </c>
      <c r="F12" s="10" t="str">
        <f t="shared" si="0"/>
        <v>Eligible</v>
      </c>
      <c r="G12" s="15" t="str">
        <f t="shared" si="1"/>
        <v>Highe Priority</v>
      </c>
      <c r="H12" s="47" t="str">
        <f t="shared" si="2"/>
        <v>Active &amp;Working</v>
      </c>
      <c r="L12" t="s">
        <v>116</v>
      </c>
    </row>
    <row r="13" ht="15" customHeight="1" spans="1:12">
      <c r="A13" s="36" t="s">
        <v>46</v>
      </c>
      <c r="B13" s="35" t="s">
        <v>47</v>
      </c>
      <c r="C13" s="36">
        <v>80000</v>
      </c>
      <c r="D13" s="36" t="s">
        <v>32</v>
      </c>
      <c r="E13" s="36" t="s">
        <v>19</v>
      </c>
      <c r="F13" s="10" t="str">
        <f t="shared" si="0"/>
        <v>Not Eligible</v>
      </c>
      <c r="G13" s="15" t="str">
        <f t="shared" si="1"/>
        <v>Normal</v>
      </c>
      <c r="H13" s="47" t="str">
        <f t="shared" si="2"/>
        <v>Active &amp;Working</v>
      </c>
      <c r="L13" s="48"/>
    </row>
    <row r="14" ht="15" customHeight="1" spans="1:12">
      <c r="A14" s="46" t="s">
        <v>48</v>
      </c>
      <c r="B14" s="47" t="s">
        <v>49</v>
      </c>
      <c r="C14" s="46">
        <v>82000</v>
      </c>
      <c r="D14" s="46" t="s">
        <v>23</v>
      </c>
      <c r="E14" s="46" t="s">
        <v>39</v>
      </c>
      <c r="F14" s="10" t="str">
        <f t="shared" si="0"/>
        <v>Not Eligible</v>
      </c>
      <c r="G14" s="15" t="str">
        <f t="shared" si="1"/>
        <v>Normal</v>
      </c>
      <c r="H14" s="47" t="str">
        <f t="shared" si="2"/>
        <v>Inactive Employee</v>
      </c>
    </row>
    <row r="15" ht="15" customHeight="1" spans="1:12">
      <c r="A15" s="36" t="s">
        <v>50</v>
      </c>
      <c r="B15" s="35" t="s">
        <v>51</v>
      </c>
      <c r="C15" s="36">
        <v>63000</v>
      </c>
      <c r="D15" s="36" t="s">
        <v>32</v>
      </c>
      <c r="E15" s="36" t="s">
        <v>19</v>
      </c>
      <c r="F15" s="10" t="str">
        <f t="shared" si="0"/>
        <v>Not Eligible</v>
      </c>
      <c r="G15" s="15" t="str">
        <f t="shared" si="1"/>
        <v>Normal</v>
      </c>
      <c r="H15" s="47" t="str">
        <f t="shared" si="2"/>
        <v>Active &amp;Working</v>
      </c>
      <c r="K15" s="2" t="s">
        <v>109</v>
      </c>
      <c r="L15" t="s">
        <v>117</v>
      </c>
    </row>
    <row r="16" ht="15" customHeight="1" spans="1:12">
      <c r="A16" s="46" t="s">
        <v>52</v>
      </c>
      <c r="B16" s="47" t="s">
        <v>53</v>
      </c>
      <c r="C16" s="46">
        <v>60000</v>
      </c>
      <c r="D16" s="46" t="s">
        <v>23</v>
      </c>
      <c r="E16" s="46" t="s">
        <v>19</v>
      </c>
      <c r="F16" s="10" t="str">
        <f t="shared" si="0"/>
        <v>Not Eligible</v>
      </c>
      <c r="G16" s="15" t="str">
        <f t="shared" si="1"/>
        <v>Normal</v>
      </c>
      <c r="H16" s="47" t="str">
        <f t="shared" si="2"/>
        <v>Active &amp;Working</v>
      </c>
      <c r="L16" s="48"/>
    </row>
    <row r="17" ht="15" customHeight="1" spans="1:12">
      <c r="A17" s="36" t="s">
        <v>54</v>
      </c>
      <c r="B17" s="35" t="s">
        <v>55</v>
      </c>
      <c r="C17" s="36">
        <v>105000</v>
      </c>
      <c r="D17" s="36" t="s">
        <v>16</v>
      </c>
      <c r="E17" s="36" t="s">
        <v>19</v>
      </c>
      <c r="F17" s="10" t="str">
        <f t="shared" si="0"/>
        <v>Eligible</v>
      </c>
      <c r="G17" s="15" t="str">
        <f t="shared" si="1"/>
        <v>Highe Priority</v>
      </c>
      <c r="H17" s="47" t="str">
        <f t="shared" si="2"/>
        <v>Active &amp;Working</v>
      </c>
      <c r="L17" s="48" t="s">
        <v>118</v>
      </c>
    </row>
    <row r="18" ht="15" customHeight="1" spans="1:12">
      <c r="A18" s="46" t="s">
        <v>56</v>
      </c>
      <c r="B18" s="47" t="s">
        <v>57</v>
      </c>
      <c r="C18" s="46">
        <v>70000</v>
      </c>
      <c r="D18" s="46" t="s">
        <v>16</v>
      </c>
      <c r="E18" s="46" t="s">
        <v>19</v>
      </c>
      <c r="F18" s="10" t="str">
        <f t="shared" si="0"/>
        <v>Eligible</v>
      </c>
      <c r="G18" s="15" t="str">
        <f t="shared" si="1"/>
        <v>Highe Priority</v>
      </c>
      <c r="H18" s="47" t="str">
        <f t="shared" si="2"/>
        <v>Active &amp;Working</v>
      </c>
      <c r="L18" s="48" t="s">
        <v>119</v>
      </c>
    </row>
    <row r="19" ht="15" customHeight="1" spans="1:12">
      <c r="A19" s="36" t="s">
        <v>58</v>
      </c>
      <c r="B19" s="35" t="s">
        <v>59</v>
      </c>
      <c r="C19" s="36">
        <v>67000</v>
      </c>
      <c r="D19" s="36" t="s">
        <v>23</v>
      </c>
      <c r="E19" s="36" t="s">
        <v>39</v>
      </c>
      <c r="F19" s="10" t="str">
        <f t="shared" si="0"/>
        <v>Not Eligible</v>
      </c>
      <c r="G19" s="15" t="str">
        <f t="shared" si="1"/>
        <v>Normal</v>
      </c>
      <c r="H19" s="47" t="str">
        <f t="shared" si="2"/>
        <v>Inactive Employee</v>
      </c>
      <c r="L19" t="s">
        <v>120</v>
      </c>
    </row>
    <row r="20" ht="15" customHeight="1" spans="1:12">
      <c r="A20" s="46" t="s">
        <v>60</v>
      </c>
      <c r="B20" s="47" t="s">
        <v>61</v>
      </c>
      <c r="C20" s="46">
        <v>58000</v>
      </c>
      <c r="D20" s="46" t="s">
        <v>32</v>
      </c>
      <c r="E20" s="46" t="s">
        <v>19</v>
      </c>
      <c r="F20" s="10" t="str">
        <f t="shared" si="0"/>
        <v>Not Eligible</v>
      </c>
      <c r="G20" s="15" t="str">
        <f t="shared" si="1"/>
        <v>Normal</v>
      </c>
      <c r="H20" s="47" t="str">
        <f t="shared" si="2"/>
        <v>Active &amp;Working</v>
      </c>
    </row>
    <row r="21" ht="15" customHeight="1" spans="1:12">
      <c r="A21" s="36" t="s">
        <v>62</v>
      </c>
      <c r="B21" s="35" t="s">
        <v>63</v>
      </c>
      <c r="C21" s="36">
        <v>88000</v>
      </c>
      <c r="D21" s="36" t="s">
        <v>16</v>
      </c>
      <c r="E21" s="36" t="s">
        <v>19</v>
      </c>
      <c r="F21" s="10" t="str">
        <f t="shared" si="0"/>
        <v>Eligible</v>
      </c>
      <c r="G21" s="15" t="str">
        <f t="shared" si="1"/>
        <v>Highe Priority</v>
      </c>
      <c r="H21" s="47" t="str">
        <f t="shared" si="2"/>
        <v>Active &amp;Working</v>
      </c>
    </row>
    <row r="22" ht="15" customHeight="1" spans="1:12">
      <c r="A22" s="46" t="s">
        <v>64</v>
      </c>
      <c r="B22" s="47" t="s">
        <v>65</v>
      </c>
      <c r="C22" s="46">
        <v>76000</v>
      </c>
      <c r="D22" s="46" t="s">
        <v>23</v>
      </c>
      <c r="E22" s="46" t="s">
        <v>19</v>
      </c>
      <c r="F22" s="10" t="str">
        <f t="shared" si="0"/>
        <v>Not Eligible</v>
      </c>
      <c r="G22" s="15" t="str">
        <f t="shared" si="1"/>
        <v>Normal</v>
      </c>
      <c r="H22" s="47" t="str">
        <f t="shared" si="2"/>
        <v>Active &amp;Working</v>
      </c>
    </row>
    <row r="23" ht="15" customHeight="1" spans="1:12">
      <c r="A23" s="36" t="s">
        <v>66</v>
      </c>
      <c r="B23" s="35" t="s">
        <v>67</v>
      </c>
      <c r="C23" s="36">
        <v>65000</v>
      </c>
      <c r="D23" s="36" t="s">
        <v>32</v>
      </c>
      <c r="E23" s="36" t="s">
        <v>19</v>
      </c>
      <c r="F23" s="10" t="str">
        <f t="shared" si="0"/>
        <v>Not Eligible</v>
      </c>
      <c r="G23" s="15" t="str">
        <f t="shared" si="1"/>
        <v>Normal</v>
      </c>
      <c r="H23" s="47" t="str">
        <f t="shared" si="2"/>
        <v>Active &amp;Working</v>
      </c>
      <c r="K23" s="2" t="s">
        <v>110</v>
      </c>
      <c r="L23" t="s">
        <v>121</v>
      </c>
    </row>
    <row r="24" ht="15" customHeight="1" spans="1:12">
      <c r="A24" s="46" t="s">
        <v>68</v>
      </c>
      <c r="B24" s="47" t="s">
        <v>69</v>
      </c>
      <c r="C24" s="46">
        <v>64000</v>
      </c>
      <c r="D24" s="46" t="s">
        <v>16</v>
      </c>
      <c r="E24" s="46" t="s">
        <v>19</v>
      </c>
      <c r="F24" s="10" t="str">
        <f t="shared" si="0"/>
        <v>Not Eligible</v>
      </c>
      <c r="G24" s="15" t="str">
        <f t="shared" si="1"/>
        <v>Highe Priority</v>
      </c>
      <c r="H24" s="47" t="str">
        <f t="shared" si="2"/>
        <v>Active &amp;Working</v>
      </c>
      <c r="L24" s="48"/>
    </row>
    <row r="25" ht="15" customHeight="1" spans="1:12">
      <c r="A25" s="36" t="s">
        <v>70</v>
      </c>
      <c r="B25" s="35" t="s">
        <v>71</v>
      </c>
      <c r="C25" s="36">
        <v>79000</v>
      </c>
      <c r="D25" s="36" t="s">
        <v>23</v>
      </c>
      <c r="E25" s="36" t="s">
        <v>19</v>
      </c>
      <c r="F25" s="10" t="str">
        <f t="shared" si="0"/>
        <v>Not Eligible</v>
      </c>
      <c r="G25" s="15" t="str">
        <f t="shared" si="1"/>
        <v>Normal</v>
      </c>
      <c r="H25" s="47" t="str">
        <f t="shared" si="2"/>
        <v>Active &amp;Working</v>
      </c>
      <c r="L25" s="48" t="s">
        <v>122</v>
      </c>
    </row>
    <row r="26" ht="15" customHeight="1" spans="1:12">
      <c r="A26" s="46" t="s">
        <v>72</v>
      </c>
      <c r="B26" s="47" t="s">
        <v>73</v>
      </c>
      <c r="C26" s="46">
        <v>87000</v>
      </c>
      <c r="D26" s="46" t="s">
        <v>16</v>
      </c>
      <c r="E26" s="46" t="s">
        <v>19</v>
      </c>
      <c r="F26" s="10" t="str">
        <f t="shared" si="0"/>
        <v>Eligible</v>
      </c>
      <c r="G26" s="15" t="str">
        <f t="shared" si="1"/>
        <v>Highe Priority</v>
      </c>
      <c r="H26" s="47" t="str">
        <f t="shared" si="2"/>
        <v>Active &amp;Working</v>
      </c>
      <c r="L26" s="48" t="s">
        <v>123</v>
      </c>
    </row>
    <row r="27" ht="15" customHeight="1" spans="1:12">
      <c r="A27" s="36" t="s">
        <v>74</v>
      </c>
      <c r="B27" s="35" t="s">
        <v>75</v>
      </c>
      <c r="C27" s="36">
        <v>61000</v>
      </c>
      <c r="D27" s="36" t="s">
        <v>32</v>
      </c>
      <c r="E27" s="36" t="s">
        <v>39</v>
      </c>
      <c r="F27" s="10" t="str">
        <f t="shared" si="0"/>
        <v>Not Eligible</v>
      </c>
      <c r="G27" s="15" t="str">
        <f t="shared" si="1"/>
        <v>Normal</v>
      </c>
      <c r="H27" s="47" t="str">
        <f t="shared" si="2"/>
        <v>Inactive Employee</v>
      </c>
    </row>
    <row r="28" ht="15" customHeight="1" spans="1:12">
      <c r="A28" s="46" t="s">
        <v>76</v>
      </c>
      <c r="B28" s="47" t="s">
        <v>77</v>
      </c>
      <c r="C28" s="46">
        <v>73000</v>
      </c>
      <c r="D28" s="46" t="s">
        <v>23</v>
      </c>
      <c r="E28" s="46" t="s">
        <v>19</v>
      </c>
      <c r="F28" s="10" t="str">
        <f t="shared" si="0"/>
        <v>Not Eligible</v>
      </c>
      <c r="G28" s="15" t="str">
        <f t="shared" si="1"/>
        <v>Normal</v>
      </c>
      <c r="H28" s="47" t="str">
        <f t="shared" si="2"/>
        <v>Active &amp;Working</v>
      </c>
    </row>
    <row r="30" ht="27.75" customHeight="1"/>
    <row r="31" ht="24" customHeight="1"/>
    <row r="32" ht="24" customHeight="1"/>
    <row r="33" ht="24" customHeight="1"/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G33"/>
  <sheetViews>
    <sheetView showGridLines="0" tabSelected="1" workbookViewId="0">
      <pane ySplit="3" topLeftCell="A4" activePane="bottomLeft" state="frozen"/>
      <selection/>
      <selection pane="bottomLeft" activeCell="J4" sqref="J4"/>
    </sheetView>
  </sheetViews>
  <sheetFormatPr defaultColWidth="8.66363636363636" defaultRowHeight="14.5" outlineLevelCol="6"/>
  <cols>
    <col min="1" max="1" width="8" customWidth="1"/>
    <col min="2" max="2" width="12.8909090909091" customWidth="1"/>
    <col min="3" max="3" width="7.10909090909091" customWidth="1"/>
    <col min="4" max="4" width="9" customWidth="1"/>
    <col min="5" max="5" width="20.8909090909091" customWidth="1"/>
    <col min="6" max="6" width="18.3363636363636" customWidth="1"/>
    <col min="7" max="7" width="18.2181818181818" customWidth="1"/>
  </cols>
  <sheetData>
    <row r="1" ht="36" customHeight="1" spans="1:7">
      <c r="A1" s="38" t="s">
        <v>124</v>
      </c>
      <c r="B1" s="38"/>
      <c r="C1" s="38"/>
      <c r="D1" s="38"/>
      <c r="E1" s="38"/>
      <c r="F1" s="38"/>
      <c r="G1" s="38"/>
    </row>
    <row r="2" ht="30" customHeight="1" spans="1:7">
      <c r="A2" s="39" t="s">
        <v>125</v>
      </c>
      <c r="B2" s="39"/>
      <c r="C2" s="39"/>
      <c r="D2" s="39"/>
      <c r="E2" s="39"/>
      <c r="F2" s="39"/>
      <c r="G2" s="39"/>
    </row>
    <row r="3" ht="21.75" customHeight="1" spans="1:7">
      <c r="A3" s="2" t="s">
        <v>1</v>
      </c>
      <c r="B3" s="2" t="s">
        <v>2</v>
      </c>
      <c r="C3" s="2" t="s">
        <v>5</v>
      </c>
      <c r="D3" s="2" t="s">
        <v>126</v>
      </c>
      <c r="E3" s="2" t="s">
        <v>127</v>
      </c>
      <c r="F3" s="2" t="s">
        <v>128</v>
      </c>
      <c r="G3" s="2" t="s">
        <v>129</v>
      </c>
    </row>
    <row r="4" ht="23.25" customHeight="1" spans="1:7">
      <c r="A4" s="46" t="s">
        <v>13</v>
      </c>
      <c r="B4" s="47" t="s">
        <v>14</v>
      </c>
      <c r="C4" s="46">
        <v>62000</v>
      </c>
      <c r="D4" s="46">
        <v>8</v>
      </c>
      <c r="E4" s="21">
        <f>IFERROR(C4/D4,"NA")</f>
        <v>7750</v>
      </c>
      <c r="F4" s="11"/>
      <c r="G4" s="16"/>
    </row>
    <row r="5" ht="23.25" customHeight="1" spans="1:7">
      <c r="A5" s="36" t="s">
        <v>20</v>
      </c>
      <c r="B5" s="35" t="s">
        <v>21</v>
      </c>
      <c r="C5" s="36">
        <v>75000</v>
      </c>
      <c r="D5" s="36">
        <v>12</v>
      </c>
      <c r="E5" s="21">
        <f t="shared" ref="E5:E28" si="0">IFERROR(C5/D5,"NA")</f>
        <v>6250</v>
      </c>
      <c r="F5" s="55"/>
      <c r="G5" s="16"/>
    </row>
    <row r="6" ht="23.25" customHeight="1" spans="1:7">
      <c r="A6" s="46" t="s">
        <v>26</v>
      </c>
      <c r="B6" s="47" t="s">
        <v>27</v>
      </c>
      <c r="C6" s="46">
        <v>90000</v>
      </c>
      <c r="D6" s="46">
        <v>20</v>
      </c>
      <c r="E6" s="21">
        <f t="shared" si="0"/>
        <v>4500</v>
      </c>
      <c r="F6" s="11"/>
      <c r="G6" s="16"/>
    </row>
    <row r="7" ht="23.25" customHeight="1" spans="1:7">
      <c r="A7" s="36" t="s">
        <v>30</v>
      </c>
      <c r="B7" s="35" t="s">
        <v>31</v>
      </c>
      <c r="C7" s="36">
        <v>71000</v>
      </c>
      <c r="D7" s="36">
        <v>9</v>
      </c>
      <c r="E7" s="21">
        <f t="shared" si="0"/>
        <v>7888.88888888889</v>
      </c>
      <c r="F7" s="55"/>
      <c r="G7" s="16"/>
    </row>
    <row r="8" ht="23.25" customHeight="1" spans="1:7">
      <c r="A8" s="46" t="s">
        <v>34</v>
      </c>
      <c r="B8" s="47" t="s">
        <v>35</v>
      </c>
      <c r="C8" s="46">
        <v>55000</v>
      </c>
      <c r="D8" s="46">
        <v>6</v>
      </c>
      <c r="E8" s="21">
        <f t="shared" si="0"/>
        <v>9166.66666666667</v>
      </c>
      <c r="F8" s="11"/>
      <c r="G8" s="16"/>
    </row>
    <row r="9" ht="23.25" customHeight="1" spans="1:7">
      <c r="A9" s="36" t="s">
        <v>37</v>
      </c>
      <c r="B9" s="35" t="s">
        <v>38</v>
      </c>
      <c r="C9" s="36">
        <v>68000</v>
      </c>
      <c r="D9" s="36">
        <v>15</v>
      </c>
      <c r="E9" s="21">
        <f t="shared" si="0"/>
        <v>4533.33333333333</v>
      </c>
      <c r="F9" s="55"/>
      <c r="G9" s="16"/>
    </row>
    <row r="10" ht="23.25" customHeight="1" spans="1:7">
      <c r="A10" s="46" t="s">
        <v>40</v>
      </c>
      <c r="B10" s="47" t="s">
        <v>41</v>
      </c>
      <c r="C10" s="46">
        <v>95000</v>
      </c>
      <c r="D10" s="46">
        <v>22</v>
      </c>
      <c r="E10" s="21">
        <f t="shared" si="0"/>
        <v>4318.18181818182</v>
      </c>
      <c r="F10" s="11"/>
      <c r="G10" s="16"/>
    </row>
    <row r="11" ht="23.25" customHeight="1" spans="1:7">
      <c r="A11" s="36" t="s">
        <v>42</v>
      </c>
      <c r="B11" s="35" t="s">
        <v>43</v>
      </c>
      <c r="C11" s="36">
        <v>58000</v>
      </c>
      <c r="D11" s="36">
        <v>0</v>
      </c>
      <c r="E11" s="21" t="str">
        <f t="shared" si="0"/>
        <v>NA</v>
      </c>
      <c r="F11" s="55"/>
      <c r="G11" s="16"/>
    </row>
    <row r="12" ht="23.25" customHeight="1" spans="1:7">
      <c r="A12" s="46" t="s">
        <v>44</v>
      </c>
      <c r="B12" s="47" t="s">
        <v>45</v>
      </c>
      <c r="C12" s="46">
        <v>72000</v>
      </c>
      <c r="D12" s="46">
        <v>18</v>
      </c>
      <c r="E12" s="21">
        <f t="shared" si="0"/>
        <v>4000</v>
      </c>
      <c r="F12" s="11"/>
      <c r="G12" s="16"/>
    </row>
    <row r="13" ht="23.25" customHeight="1" spans="1:7">
      <c r="A13" s="36" t="s">
        <v>46</v>
      </c>
      <c r="B13" s="35" t="s">
        <v>47</v>
      </c>
      <c r="C13" s="36">
        <v>80000</v>
      </c>
      <c r="D13" s="36">
        <v>10</v>
      </c>
      <c r="E13" s="21">
        <f t="shared" si="0"/>
        <v>8000</v>
      </c>
      <c r="F13" s="55"/>
      <c r="G13" s="16"/>
    </row>
    <row r="14" ht="23.25" customHeight="1" spans="1:7">
      <c r="A14" s="46" t="s">
        <v>48</v>
      </c>
      <c r="B14" s="47" t="s">
        <v>49</v>
      </c>
      <c r="C14" s="46">
        <v>82000</v>
      </c>
      <c r="D14" s="46">
        <v>14</v>
      </c>
      <c r="E14" s="21">
        <f t="shared" si="0"/>
        <v>5857.14285714286</v>
      </c>
      <c r="F14" s="11"/>
      <c r="G14" s="16"/>
    </row>
    <row r="15" ht="23.25" customHeight="1" spans="1:7">
      <c r="A15" s="36" t="s">
        <v>50</v>
      </c>
      <c r="B15" s="35" t="s">
        <v>51</v>
      </c>
      <c r="C15" s="36">
        <v>63000</v>
      </c>
      <c r="D15" s="36">
        <v>11</v>
      </c>
      <c r="E15" s="21">
        <f t="shared" si="0"/>
        <v>5727.27272727273</v>
      </c>
      <c r="F15" s="55"/>
      <c r="G15" s="16"/>
    </row>
    <row r="16" ht="23.25" customHeight="1" spans="1:7">
      <c r="A16" s="46" t="s">
        <v>52</v>
      </c>
      <c r="B16" s="47" t="s">
        <v>53</v>
      </c>
      <c r="C16" s="46">
        <v>60000</v>
      </c>
      <c r="D16" s="46">
        <v>9</v>
      </c>
      <c r="E16" s="21">
        <f t="shared" si="0"/>
        <v>6666.66666666667</v>
      </c>
      <c r="F16" s="11"/>
      <c r="G16" s="16"/>
    </row>
    <row r="17" ht="23.25" customHeight="1" spans="1:7">
      <c r="A17" s="36" t="s">
        <v>54</v>
      </c>
      <c r="B17" s="35" t="s">
        <v>55</v>
      </c>
      <c r="C17" s="36">
        <v>105000</v>
      </c>
      <c r="D17" s="36">
        <v>30</v>
      </c>
      <c r="E17" s="21">
        <f t="shared" si="0"/>
        <v>3500</v>
      </c>
      <c r="F17" s="55"/>
      <c r="G17" s="16"/>
    </row>
    <row r="18" ht="23.25" customHeight="1" spans="1:7">
      <c r="A18" s="46" t="s">
        <v>56</v>
      </c>
      <c r="B18" s="47" t="s">
        <v>57</v>
      </c>
      <c r="C18" s="46">
        <v>70000</v>
      </c>
      <c r="D18" s="46">
        <v>7</v>
      </c>
      <c r="E18" s="21">
        <f t="shared" si="0"/>
        <v>10000</v>
      </c>
      <c r="F18" s="11"/>
      <c r="G18" s="16"/>
    </row>
    <row r="19" ht="23.25" customHeight="1" spans="1:7">
      <c r="A19" s="36" t="s">
        <v>58</v>
      </c>
      <c r="B19" s="35" t="s">
        <v>59</v>
      </c>
      <c r="C19" s="36">
        <v>67000</v>
      </c>
      <c r="D19" s="36">
        <v>13</v>
      </c>
      <c r="E19" s="21">
        <f t="shared" si="0"/>
        <v>5153.84615384615</v>
      </c>
      <c r="F19" s="55"/>
      <c r="G19" s="16"/>
    </row>
    <row r="20" ht="23.25" customHeight="1" spans="1:7">
      <c r="A20" s="46" t="s">
        <v>60</v>
      </c>
      <c r="B20" s="47" t="s">
        <v>61</v>
      </c>
      <c r="C20" s="46">
        <v>58000</v>
      </c>
      <c r="D20" s="46">
        <v>8</v>
      </c>
      <c r="E20" s="21">
        <f t="shared" si="0"/>
        <v>7250</v>
      </c>
      <c r="F20" s="11"/>
      <c r="G20" s="16"/>
    </row>
    <row r="21" ht="23.25" customHeight="1" spans="1:7">
      <c r="A21" s="36" t="s">
        <v>62</v>
      </c>
      <c r="B21" s="35" t="s">
        <v>63</v>
      </c>
      <c r="C21" s="36">
        <v>88000</v>
      </c>
      <c r="D21" s="36">
        <v>17</v>
      </c>
      <c r="E21" s="21">
        <f t="shared" si="0"/>
        <v>5176.47058823529</v>
      </c>
      <c r="F21" s="55"/>
      <c r="G21" s="16"/>
    </row>
    <row r="22" ht="23.25" customHeight="1" spans="1:7">
      <c r="A22" s="46" t="s">
        <v>64</v>
      </c>
      <c r="B22" s="47" t="s">
        <v>65</v>
      </c>
      <c r="C22" s="46">
        <v>76000</v>
      </c>
      <c r="D22" s="46">
        <v>0</v>
      </c>
      <c r="E22" s="21" t="str">
        <f t="shared" si="0"/>
        <v>NA</v>
      </c>
      <c r="F22" s="11"/>
      <c r="G22" s="16"/>
    </row>
    <row r="23" ht="23.25" customHeight="1" spans="1:7">
      <c r="A23" s="36" t="s">
        <v>66</v>
      </c>
      <c r="B23" s="35" t="s">
        <v>67</v>
      </c>
      <c r="C23" s="36">
        <v>65000</v>
      </c>
      <c r="D23" s="36">
        <v>19</v>
      </c>
      <c r="E23" s="21">
        <f t="shared" si="0"/>
        <v>3421.05263157895</v>
      </c>
      <c r="F23" s="55"/>
      <c r="G23" s="16"/>
    </row>
    <row r="24" ht="23.25" customHeight="1" spans="1:7">
      <c r="A24" s="46" t="s">
        <v>68</v>
      </c>
      <c r="B24" s="47" t="s">
        <v>69</v>
      </c>
      <c r="C24" s="46">
        <v>64000</v>
      </c>
      <c r="D24" s="46">
        <v>10</v>
      </c>
      <c r="E24" s="21">
        <f t="shared" si="0"/>
        <v>6400</v>
      </c>
      <c r="F24" s="11"/>
      <c r="G24" s="16"/>
    </row>
    <row r="25" ht="23.25" customHeight="1" spans="1:7">
      <c r="A25" s="36" t="s">
        <v>70</v>
      </c>
      <c r="B25" s="35" t="s">
        <v>71</v>
      </c>
      <c r="C25" s="36">
        <v>79000</v>
      </c>
      <c r="D25" s="36">
        <v>16</v>
      </c>
      <c r="E25" s="21">
        <f t="shared" si="0"/>
        <v>4937.5</v>
      </c>
      <c r="F25" s="55"/>
      <c r="G25" s="16"/>
    </row>
    <row r="26" ht="23.25" customHeight="1" spans="1:7">
      <c r="A26" s="46" t="s">
        <v>72</v>
      </c>
      <c r="B26" s="47" t="s">
        <v>73</v>
      </c>
      <c r="C26" s="46">
        <v>87000</v>
      </c>
      <c r="D26" s="46">
        <v>14</v>
      </c>
      <c r="E26" s="21">
        <f t="shared" si="0"/>
        <v>6214.28571428571</v>
      </c>
      <c r="F26" s="11"/>
      <c r="G26" s="16"/>
    </row>
    <row r="27" ht="23.25" customHeight="1" spans="1:7">
      <c r="A27" s="36" t="s">
        <v>74</v>
      </c>
      <c r="B27" s="35" t="s">
        <v>75</v>
      </c>
      <c r="C27" s="36">
        <v>61000</v>
      </c>
      <c r="D27" s="36">
        <v>12</v>
      </c>
      <c r="E27" s="21">
        <f t="shared" si="0"/>
        <v>5083.33333333333</v>
      </c>
      <c r="F27" s="55"/>
      <c r="G27" s="16"/>
    </row>
    <row r="28" ht="23.25" customHeight="1" spans="1:7">
      <c r="A28" s="46" t="s">
        <v>76</v>
      </c>
      <c r="B28" s="47" t="s">
        <v>77</v>
      </c>
      <c r="C28" s="46">
        <v>73000</v>
      </c>
      <c r="D28" s="46">
        <v>8</v>
      </c>
      <c r="E28" s="21">
        <f t="shared" si="0"/>
        <v>9125</v>
      </c>
      <c r="F28" s="11"/>
      <c r="G28" s="16"/>
    </row>
    <row r="30" ht="27.75" customHeight="1"/>
    <row r="31" ht="24" customHeight="1"/>
    <row r="32" ht="24" customHeight="1"/>
    <row r="33" ht="24" customHeight="1"/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C3483"/>
  </sheetPr>
  <dimension ref="A1:J14"/>
  <sheetViews>
    <sheetView showGridLines="0" topLeftCell="B2" workbookViewId="0">
      <selection activeCell="E5" sqref="E5"/>
    </sheetView>
  </sheetViews>
  <sheetFormatPr defaultColWidth="8.66363636363636" defaultRowHeight="14.5"/>
  <cols>
    <col min="1" max="1" width="42.6636363636364" customWidth="1"/>
    <col min="2" max="2" width="50" customWidth="1"/>
    <col min="3" max="10" width="15" customWidth="1"/>
  </cols>
  <sheetData>
    <row r="1" ht="36" customHeight="1" spans="1:10">
      <c r="A1" s="38" t="s">
        <v>130</v>
      </c>
      <c r="B1" s="38"/>
      <c r="C1" s="38"/>
      <c r="D1" s="38"/>
      <c r="E1" s="38"/>
      <c r="F1" s="38"/>
      <c r="G1" s="38"/>
      <c r="H1" s="38"/>
      <c r="I1" s="38"/>
      <c r="J1" s="38"/>
    </row>
    <row r="2" ht="30" customHeight="1" spans="1:10">
      <c r="A2" s="39" t="s">
        <v>131</v>
      </c>
      <c r="B2" s="39"/>
      <c r="C2" s="39"/>
      <c r="D2" s="39"/>
      <c r="E2" s="39"/>
      <c r="F2" s="39"/>
      <c r="G2" s="39"/>
      <c r="H2" s="39"/>
      <c r="I2" s="39"/>
      <c r="J2" s="39"/>
    </row>
    <row r="3" ht="27.75" customHeight="1" spans="1:10">
      <c r="A3" s="49" t="s">
        <v>132</v>
      </c>
      <c r="B3" s="49"/>
      <c r="C3" s="49"/>
      <c r="D3" s="49"/>
      <c r="E3" s="49"/>
      <c r="F3" s="50" t="s">
        <v>133</v>
      </c>
      <c r="G3" s="50"/>
      <c r="H3" s="50"/>
      <c r="I3" s="50"/>
      <c r="J3" s="50"/>
    </row>
    <row r="4" ht="15" customHeight="1" spans="1:10">
      <c r="A4" s="2" t="s">
        <v>3</v>
      </c>
      <c r="B4" s="2" t="s">
        <v>134</v>
      </c>
      <c r="C4" s="2" t="s">
        <v>135</v>
      </c>
      <c r="D4" s="2" t="s">
        <v>136</v>
      </c>
      <c r="E4" s="2" t="s">
        <v>137</v>
      </c>
      <c r="F4" s="51" t="s">
        <v>7</v>
      </c>
      <c r="G4" s="51" t="s">
        <v>138</v>
      </c>
      <c r="H4" s="51" t="s">
        <v>135</v>
      </c>
      <c r="I4" s="51" t="s">
        <v>136</v>
      </c>
      <c r="J4" s="51" t="s">
        <v>139</v>
      </c>
    </row>
    <row r="5" ht="15" customHeight="1" spans="1:10">
      <c r="A5" s="52" t="s">
        <v>15</v>
      </c>
      <c r="B5" s="11">
        <f>COUNTIF('📋 Employee Dataset'!B3:C27,"HR")</f>
        <v>5</v>
      </c>
      <c r="C5" s="11">
        <f>SUMIFS('📋 Employee Dataset'!E3:E27,'📋 Employee Dataset'!C3:C27,"HR")</f>
        <v>324000</v>
      </c>
      <c r="D5" s="11">
        <f>AVERAGEIFS('📋 Employee Dataset'!E3:E27,'📋 Employee Dataset'!C3:C27,"HR")</f>
        <v>64800</v>
      </c>
      <c r="E5" s="11">
        <f>AVERAGEIFS('📋 Employee Dataset'!K3:K27,'📋 Employee Dataset'!C3:C27,"HR")</f>
        <v>11.4</v>
      </c>
      <c r="F5" s="52" t="s">
        <v>16</v>
      </c>
      <c r="G5" s="16">
        <f>COUNTIF('📋 Employee Dataset'!G3:G27,"Excellent*")</f>
        <v>9</v>
      </c>
      <c r="H5" s="16">
        <f>SUMIF('📋 Employee Dataset'!G3:G27,"Excellent*",'📋 Employee Dataset'!E3:E27)</f>
        <v>733000</v>
      </c>
      <c r="I5" s="16">
        <f>AVERAGEIF('📋 Employee Dataset'!G3:G27,"Excellent",'📋 Employee Dataset'!E3:E27)</f>
        <v>81444.4444444444</v>
      </c>
      <c r="J5" s="16">
        <f>AVERAGEIF('📋 Employee Dataset'!G3:G27,"Excellent*",'📋 Employee Dataset'!F3:F27)</f>
        <v>12.3333333333333</v>
      </c>
    </row>
    <row r="6" ht="15" customHeight="1" spans="1:10">
      <c r="A6" s="53" t="s">
        <v>22</v>
      </c>
      <c r="B6" s="11">
        <f>COUNTIF('📋 Employee Dataset'!B3:C27,"IT")</f>
        <v>8</v>
      </c>
      <c r="C6" s="11">
        <f>SUMIFS('📋 Employee Dataset'!E3:E27,'📋 Employee Dataset'!C3:C27,"IT")</f>
        <v>596000</v>
      </c>
      <c r="D6" s="11">
        <f>AVERAGEIFS('📋 Employee Dataset'!E3:E27,'📋 Employee Dataset'!C3:C27,"IT")</f>
        <v>74500</v>
      </c>
      <c r="E6" s="11">
        <f>AVERAGEIFS('📋 Employee Dataset'!K3:K27,'📋 Employee Dataset'!C3:C27,"IT")</f>
        <v>11</v>
      </c>
      <c r="F6" s="53" t="s">
        <v>23</v>
      </c>
      <c r="G6" s="16">
        <f>COUNTIF('📋 Employee Dataset'!G3:G27,"Good*")</f>
        <v>9</v>
      </c>
      <c r="H6" s="16">
        <f>SUMIF('📋 Employee Dataset'!G3:G27,"Good*",'📋 Employee Dataset'!E3:E27)</f>
        <v>625000</v>
      </c>
      <c r="I6" s="16">
        <f>AVERAGEIF('📋 Employee Dataset'!G3:G27,"Good",'📋 Employee Dataset'!E3:E27)</f>
        <v>69444.4444444444</v>
      </c>
      <c r="J6" s="16">
        <f>AVERAGEIF('📋 Employee Dataset'!G3:G27,"Good*",'📋 Employee Dataset'!F3:F27)</f>
        <v>7</v>
      </c>
    </row>
    <row r="7" ht="15" customHeight="1" spans="1:10">
      <c r="A7" s="52" t="s">
        <v>28</v>
      </c>
      <c r="B7" s="11">
        <f>COUNTIF('📋 Employee Dataset'!B3:C27,"Finance")</f>
        <v>6</v>
      </c>
      <c r="C7" s="11">
        <f>SUMIFS('📋 Employee Dataset'!E3:E27,'📋 Employee Dataset'!C3:C27,"Finance")</f>
        <v>533000</v>
      </c>
      <c r="D7" s="11">
        <f>AVERAGEIFS('📋 Employee Dataset'!E3:E27,'📋 Employee Dataset'!C3:C27,"Finance")</f>
        <v>88833.3333333333</v>
      </c>
      <c r="E7" s="11">
        <f>AVERAGEIFS('📋 Employee Dataset'!K3:K27,'📋 Employee Dataset'!C3:C27,"Finance")</f>
        <v>17</v>
      </c>
      <c r="F7" s="52" t="s">
        <v>32</v>
      </c>
      <c r="G7" s="16">
        <f>COUNTIF('📋 Employee Dataset'!G3:G27,"Average*")</f>
        <v>7</v>
      </c>
      <c r="H7" s="16">
        <f>SUMIF('📋 Employee Dataset'!G3:G27,"Average*",'📋 Employee Dataset'!E3:E27)</f>
        <v>466000</v>
      </c>
      <c r="I7" s="16">
        <f>AVERAGEIF('📋 Employee Dataset'!G3:G27,"Average",'📋 Employee Dataset'!E3:E27)</f>
        <v>66571.4285714286</v>
      </c>
      <c r="J7" s="16">
        <f>AVERAGEIF('📋 Employee Dataset'!G3:G27,"Average*",'📋 Employee Dataset'!F3:F27)</f>
        <v>14.5714285714286</v>
      </c>
    </row>
    <row r="8" ht="15" customHeight="1" spans="1:10">
      <c r="A8" s="53" t="s">
        <v>36</v>
      </c>
      <c r="B8" s="11">
        <f>COUNTIF('📋 Employee Dataset'!B3:C27,"Marketing")</f>
        <v>6</v>
      </c>
      <c r="C8" s="11">
        <f>SUMIFS('📋 Employee Dataset'!E3:E27,'📋 Employee Dataset'!C3:C27,"Marketing")</f>
        <v>371000</v>
      </c>
      <c r="D8" s="11">
        <f>AVERAGEIFS('📋 Employee Dataset'!E3:E27,'📋 Employee Dataset'!C3:C27,"Marketing")</f>
        <v>61833.3333333333</v>
      </c>
      <c r="E8" s="11">
        <f>AVERAGEIFS('📋 Employee Dataset'!K3:K27,'📋 Employee Dataset'!C3:C27,"Marketing")</f>
        <v>12</v>
      </c>
    </row>
    <row r="9" ht="15.25"/>
    <row r="10" ht="27.75" customHeight="1" spans="1:10">
      <c r="A10" s="54" t="s">
        <v>140</v>
      </c>
      <c r="B10" s="54"/>
      <c r="C10" s="54"/>
      <c r="D10" s="54"/>
      <c r="E10" s="54"/>
      <c r="F10" s="54"/>
      <c r="G10" s="54"/>
      <c r="H10" s="54"/>
      <c r="I10" s="54"/>
      <c r="J10" s="54"/>
    </row>
    <row r="11" ht="15" customHeight="1" spans="1:10">
      <c r="A11" s="2" t="s">
        <v>141</v>
      </c>
      <c r="B11" s="2" t="s">
        <v>142</v>
      </c>
      <c r="C11" s="2"/>
      <c r="D11" s="2"/>
      <c r="E11" s="2"/>
    </row>
    <row r="12" ht="27.75" customHeight="1" spans="1:10">
      <c r="A12" s="47" t="s">
        <v>143</v>
      </c>
      <c r="B12" s="24">
        <f>COUNTIF('📋 Employee Dataset'!B3:B27,"A*")</f>
        <v>1</v>
      </c>
      <c r="C12" s="24"/>
      <c r="D12" s="24"/>
      <c r="E12" s="24"/>
    </row>
    <row r="13" ht="27.75" customHeight="1" spans="1:10">
      <c r="A13" s="35" t="s">
        <v>144</v>
      </c>
      <c r="B13" s="24">
        <f>COUNTIF('📋 Employee Dataset'!E3:E27,"&gt;8000")</f>
        <v>25</v>
      </c>
      <c r="C13" s="24"/>
      <c r="D13" s="24"/>
      <c r="E13" s="24"/>
    </row>
    <row r="14" ht="27.75" customHeight="1" spans="1:10">
      <c r="A14" s="47" t="s">
        <v>145</v>
      </c>
      <c r="B14" s="24">
        <f>SUMIFS('📋 Employee Dataset'!E3:E27,'📋 Employee Dataset'!E3:E27,"&gt;=60000",'📋 Employee Dataset'!E3:E27,"&lt;=80000")</f>
        <v>1106000</v>
      </c>
      <c r="C14" s="24"/>
      <c r="D14" s="24"/>
      <c r="E14" s="24"/>
    </row>
  </sheetData>
  <mergeCells count="9">
    <mergeCell ref="A1:J1"/>
    <mergeCell ref="A2:J2"/>
    <mergeCell ref="A3:E3"/>
    <mergeCell ref="F3:J3"/>
    <mergeCell ref="A10:J10"/>
    <mergeCell ref="B11:E11"/>
    <mergeCell ref="B12:E12"/>
    <mergeCell ref="B13:E13"/>
    <mergeCell ref="B14:E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980B9"/>
  </sheetPr>
  <dimension ref="A1:G19"/>
  <sheetViews>
    <sheetView showGridLines="0" workbookViewId="0">
      <selection activeCell="G5" sqref="G5"/>
    </sheetView>
  </sheetViews>
  <sheetFormatPr defaultColWidth="8.66363636363636" defaultRowHeight="14.5" outlineLevelCol="6"/>
  <cols>
    <col min="1" max="2" width="45" customWidth="1"/>
    <col min="3" max="7" width="16" customWidth="1"/>
  </cols>
  <sheetData>
    <row r="1" ht="36" customHeight="1" spans="1:7">
      <c r="A1" s="38" t="s">
        <v>146</v>
      </c>
      <c r="B1" s="38"/>
      <c r="C1" s="38"/>
      <c r="D1" s="38"/>
      <c r="E1" s="38"/>
      <c r="F1" s="38"/>
      <c r="G1" s="38"/>
    </row>
    <row r="2" ht="30" customHeight="1" spans="1:7">
      <c r="A2" s="39" t="s">
        <v>147</v>
      </c>
      <c r="B2" s="39"/>
      <c r="C2" s="39"/>
      <c r="D2" s="39"/>
      <c r="E2" s="39"/>
      <c r="F2" s="39"/>
      <c r="G2" s="39"/>
    </row>
    <row r="3" ht="27.75" customHeight="1" spans="1:7">
      <c r="A3" s="49" t="s">
        <v>148</v>
      </c>
      <c r="B3" s="49"/>
      <c r="C3" s="49"/>
      <c r="D3" s="49"/>
      <c r="E3" s="49"/>
      <c r="F3" s="49"/>
      <c r="G3" s="49"/>
    </row>
    <row r="4" ht="15" customHeight="1" spans="1:7">
      <c r="A4" s="2" t="s">
        <v>149</v>
      </c>
      <c r="B4" s="2" t="s">
        <v>7</v>
      </c>
      <c r="C4" s="2" t="s">
        <v>8</v>
      </c>
      <c r="D4" s="2" t="s">
        <v>150</v>
      </c>
      <c r="E4" s="2" t="s">
        <v>151</v>
      </c>
      <c r="F4" s="2" t="s">
        <v>152</v>
      </c>
      <c r="G4" s="2" t="s">
        <v>153</v>
      </c>
    </row>
    <row r="5" ht="19.5" customHeight="1" spans="1:7">
      <c r="A5" s="36" t="s">
        <v>22</v>
      </c>
      <c r="B5" s="36" t="s">
        <v>16</v>
      </c>
      <c r="C5" s="36" t="s">
        <v>17</v>
      </c>
      <c r="D5" s="36" t="s">
        <v>19</v>
      </c>
      <c r="E5" s="11">
        <f>COUNTIFS('📋 Employee Dataset'!C2:C26,'📋 Employee Dataset'!C11,'📋 Employee Dataset'!G2:G26,'📋 Employee Dataset'!G15,'📋 Employee Dataset'!H2:H26,'📋 Employee Dataset'!H4,'📋 Employee Dataset'!L2:L26,'📋 Employee Dataset'!L11)</f>
        <v>0</v>
      </c>
      <c r="F5" s="6">
        <f>SUMIFS('📋 Employee Dataset'!E3:E27,'📋 Employee Dataset'!C3:C27,"IT",'📋 Employee Dataset'!G3:G27,"Excellent",'📋 Employee Dataset'!H3:H27,"North",'📋 Employee Dataset'!L3:L27,"Yes")</f>
        <v>0</v>
      </c>
      <c r="G5" s="16" t="e">
        <f>AVERAGEIFS('📋 Employee Dataset'!F3:F27,'📋 Employee Dataset'!C3:C27,"IT",'📋 Employee Dataset'!G3:G27,"Excellent",'📋 Employee Dataset'!H3:H27,"North",'📋 Employee Dataset'!L3:L27,"Yes")</f>
        <v>#DIV/0!</v>
      </c>
    </row>
    <row r="6" ht="19.5" customHeight="1" spans="1:7">
      <c r="A6" s="46" t="s">
        <v>28</v>
      </c>
      <c r="B6" s="46" t="s">
        <v>16</v>
      </c>
      <c r="C6" s="46" t="s">
        <v>29</v>
      </c>
      <c r="D6" s="46" t="s">
        <v>19</v>
      </c>
      <c r="E6" s="11">
        <f>COUNTIFS('📋 Employee Dataset'!C3:C27,'📋 Employee Dataset'!C12,'📋 Employee Dataset'!G3:G27,'📋 Employee Dataset'!G16,'📋 Employee Dataset'!H3:H27,'📋 Employee Dataset'!H5,'📋 Employee Dataset'!L3:L27,'📋 Employee Dataset'!L12)</f>
        <v>3</v>
      </c>
      <c r="F6" s="6">
        <f>SUMIFS('📋 Employee Dataset'!E3:E27,'📋 Employee Dataset'!C3:C27,"Finance",'📋 Employee Dataset'!G3:G27,"Excellent",'📋 Employee Dataset'!H3:H27,"East",'📋 Employee Dataset'!L3:L27,"Yes")</f>
        <v>272000</v>
      </c>
      <c r="G6" s="16" t="e">
        <f>AVERAGEIFS('📋 Employee Dataset'!F4:F28,'📋 Employee Dataset'!C4:C28,"IT",'📋 Employee Dataset'!G4:G28,"Excellent",'📋 Employee Dataset'!H4:H28,"North",'📋 Employee Dataset'!L4:L28,"Yes")</f>
        <v>#DIV/0!</v>
      </c>
    </row>
    <row r="7" ht="19.5" customHeight="1" spans="1:7">
      <c r="A7" s="36" t="s">
        <v>15</v>
      </c>
      <c r="B7" s="36" t="s">
        <v>23</v>
      </c>
      <c r="C7" s="36" t="s">
        <v>24</v>
      </c>
      <c r="D7" s="36" t="s">
        <v>19</v>
      </c>
      <c r="E7" s="11">
        <f>COUNTIFS('📋 Employee Dataset'!C3:C27,'📋 Employee Dataset'!C3,'📋 Employee Dataset'!G3:G27,'📋 Employee Dataset'!G13,'📋 Employee Dataset'!H3:H27,'📋 Employee Dataset'!H4,'📋 Employee Dataset'!L3:L27,'📋 Employee Dataset'!L12)</f>
        <v>0</v>
      </c>
      <c r="F7" s="6">
        <f>SUMIFS('📋 Employee Dataset'!E3:E27,'📋 Employee Dataset'!C3:C27,"HR",'📋 Employee Dataset'!G3:G27,"Good",'📋 Employee Dataset'!H3:H27,"South",'📋 Employee Dataset'!L3:L27,"Yes")</f>
        <v>0</v>
      </c>
      <c r="G7" s="16" t="e">
        <f>AVERAGEIFS('📋 Employee Dataset'!F5:F29,'📋 Employee Dataset'!C5:C29,"IT",'📋 Employee Dataset'!G5:G29,"Excellent",'📋 Employee Dataset'!H5:H29,"North",'📋 Employee Dataset'!L5:L29,"Yes")</f>
        <v>#DIV/0!</v>
      </c>
    </row>
    <row r="8" ht="19.5" customHeight="1" spans="1:7">
      <c r="A8" s="46" t="s">
        <v>36</v>
      </c>
      <c r="B8" s="46" t="s">
        <v>32</v>
      </c>
      <c r="C8" s="46" t="s">
        <v>33</v>
      </c>
      <c r="D8" s="46" t="s">
        <v>19</v>
      </c>
      <c r="E8" s="11">
        <f>COUNTIFS('📋 Employee Dataset'!C3:C27,'📋 Employee Dataset'!C7,'📋 Employee Dataset'!G3:G27,'📋 Employee Dataset'!G14,'📋 Employee Dataset'!H3:H27,'📋 Employee Dataset'!H14,'📋 Employee Dataset'!L3:L27,'📋 Employee Dataset'!L12)</f>
        <v>1</v>
      </c>
      <c r="F8" s="6">
        <f>SUMIFS('📋 Employee Dataset'!E3:E27,'📋 Employee Dataset'!C3:C27,"Marketing",'📋 Employee Dataset'!G3:G27,"Average",'📋 Employee Dataset'!H3:H27,"West",'📋 Employee Dataset'!L3:L27,"Yes")</f>
        <v>65000</v>
      </c>
      <c r="G8" s="16" t="e">
        <f>AVERAGEIFS('📋 Employee Dataset'!F6:F30,'📋 Employee Dataset'!C6:C30,"IT",'📋 Employee Dataset'!G6:G30,"Excellent",'📋 Employee Dataset'!H6:H30,"North",'📋 Employee Dataset'!L6:L30,"Yes")</f>
        <v>#DIV/0!</v>
      </c>
    </row>
    <row r="9" ht="19.5" customHeight="1"/>
    <row r="10" ht="19.5" customHeight="1"/>
    <row r="11" ht="19.5" customHeight="1"/>
    <row r="12" ht="19.5" customHeight="1"/>
    <row r="14" ht="27.75" customHeight="1"/>
    <row r="15" ht="15" customHeight="1"/>
    <row r="16" ht="21.75" customHeight="1"/>
    <row r="17" ht="21.75" customHeight="1"/>
    <row r="18" ht="21.75" customHeight="1"/>
    <row r="19" ht="21.75" customHeight="1"/>
  </sheetData>
  <mergeCells count="3">
    <mergeCell ref="A1:G1"/>
    <mergeCell ref="A2:G2"/>
    <mergeCell ref="A3:G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4AC0D"/>
  </sheetPr>
  <dimension ref="A1:L47"/>
  <sheetViews>
    <sheetView showGridLines="0" topLeftCell="B1" workbookViewId="0">
      <pane ySplit="3" topLeftCell="A4" activePane="bottomLeft" state="frozen"/>
      <selection/>
      <selection pane="bottomLeft" activeCell="H5" sqref="H5"/>
    </sheetView>
  </sheetViews>
  <sheetFormatPr defaultColWidth="8.66363636363636" defaultRowHeight="14.5"/>
  <cols>
    <col min="1" max="1" width="10" customWidth="1"/>
    <col min="2" max="2" width="18" customWidth="1"/>
    <col min="3" max="3" width="14" customWidth="1"/>
    <col min="4" max="4" width="12" customWidth="1"/>
    <col min="5" max="5" width="16" customWidth="1"/>
    <col min="6" max="6" width="22" customWidth="1"/>
    <col min="7" max="7" width="23.5545454545455" customWidth="1"/>
    <col min="8" max="8" width="22" customWidth="1"/>
    <col min="10" max="10" width="1.44545454545455" customWidth="1"/>
    <col min="11" max="11" width="23.8909090909091" customWidth="1"/>
  </cols>
  <sheetData>
    <row r="1" ht="36" customHeight="1" spans="1:12">
      <c r="A1" s="38" t="s">
        <v>154</v>
      </c>
      <c r="B1" s="38"/>
      <c r="C1" s="38"/>
      <c r="D1" s="38"/>
      <c r="E1" s="38"/>
      <c r="F1" s="38"/>
      <c r="G1" s="38"/>
      <c r="H1" s="38"/>
    </row>
    <row r="2" ht="30" customHeight="1" spans="1:12">
      <c r="A2" s="39" t="s">
        <v>155</v>
      </c>
      <c r="B2" s="39"/>
      <c r="C2" s="39"/>
      <c r="D2" s="39"/>
      <c r="E2" s="39"/>
      <c r="F2" s="39"/>
      <c r="G2" s="39"/>
      <c r="H2" s="39"/>
    </row>
    <row r="3" ht="21.75" customHeight="1" spans="1:12">
      <c r="A3" s="2" t="s">
        <v>1</v>
      </c>
      <c r="B3" s="2" t="s">
        <v>2</v>
      </c>
      <c r="C3" s="2" t="s">
        <v>3</v>
      </c>
      <c r="D3" s="2" t="s">
        <v>156</v>
      </c>
      <c r="E3" s="2" t="s">
        <v>8</v>
      </c>
      <c r="F3" s="2" t="s">
        <v>157</v>
      </c>
      <c r="G3" s="2" t="s">
        <v>158</v>
      </c>
      <c r="H3" s="2" t="s">
        <v>159</v>
      </c>
    </row>
    <row r="4" ht="15" customHeight="1" spans="1:12">
      <c r="A4" s="46" t="s">
        <v>13</v>
      </c>
      <c r="B4" s="47" t="s">
        <v>14</v>
      </c>
      <c r="C4" s="46" t="s">
        <v>15</v>
      </c>
      <c r="D4" s="46">
        <v>1</v>
      </c>
      <c r="E4" s="46" t="s">
        <v>17</v>
      </c>
      <c r="F4" s="11" t="str" cm="1">
        <f t="array" ref="F4:F28">_xlfn.SWITCH(C4:C28,"HR","HUM","IT","TECH","Finance","FIN","Marketing","MKT","UNK")</f>
        <v>HUM</v>
      </c>
      <c r="G4" s="6" t="str" cm="1">
        <f t="array" ref="G4:G28">_xlfn.SWITCH(D4:D28,1,"Excellent",2,"Good",3,"Average")</f>
        <v>Excellent</v>
      </c>
      <c r="H4" s="46" t="str" cm="1">
        <f t="array" ref="H4:H28">_xlfn.SWITCH(E4:E28,"North","N","South","S","East","E","West","W","?")</f>
        <v>N</v>
      </c>
    </row>
    <row r="5" ht="15" customHeight="1" spans="1:12">
      <c r="A5" s="36" t="s">
        <v>20</v>
      </c>
      <c r="B5" s="35" t="s">
        <v>21</v>
      </c>
      <c r="C5" s="36" t="s">
        <v>22</v>
      </c>
      <c r="D5" s="36">
        <v>2</v>
      </c>
      <c r="E5" s="36" t="s">
        <v>24</v>
      </c>
      <c r="F5" s="11" t="str">
        <v>TECH</v>
      </c>
      <c r="G5" s="6" t="str">
        <v>Good</v>
      </c>
      <c r="H5" s="46" t="str">
        <v>S</v>
      </c>
    </row>
    <row r="6" ht="15" customHeight="1" spans="1:12">
      <c r="A6" s="46" t="s">
        <v>26</v>
      </c>
      <c r="B6" s="47" t="s">
        <v>27</v>
      </c>
      <c r="C6" s="46" t="s">
        <v>28</v>
      </c>
      <c r="D6" s="46">
        <v>1</v>
      </c>
      <c r="E6" s="46" t="s">
        <v>29</v>
      </c>
      <c r="F6" s="11" t="str">
        <v>FIN</v>
      </c>
      <c r="G6" s="6" t="str">
        <v>Excellent</v>
      </c>
      <c r="H6" s="46" t="str">
        <v>E</v>
      </c>
      <c r="K6" s="2" t="s">
        <v>157</v>
      </c>
      <c r="L6" t="s">
        <v>160</v>
      </c>
    </row>
    <row r="7" ht="15" customHeight="1" spans="1:12">
      <c r="A7" s="36" t="s">
        <v>30</v>
      </c>
      <c r="B7" s="35" t="s">
        <v>31</v>
      </c>
      <c r="C7" s="36" t="s">
        <v>22</v>
      </c>
      <c r="D7" s="36">
        <v>3</v>
      </c>
      <c r="E7" s="36" t="s">
        <v>33</v>
      </c>
      <c r="F7" s="11" t="str">
        <v>TECH</v>
      </c>
      <c r="G7" s="6" t="str">
        <v>Average</v>
      </c>
      <c r="H7" s="46" t="str">
        <v>W</v>
      </c>
      <c r="L7" s="48"/>
    </row>
    <row r="8" ht="15" customHeight="1" spans="1:12">
      <c r="A8" s="46" t="s">
        <v>34</v>
      </c>
      <c r="B8" s="47" t="s">
        <v>35</v>
      </c>
      <c r="C8" s="46" t="s">
        <v>36</v>
      </c>
      <c r="D8" s="46">
        <v>2</v>
      </c>
      <c r="E8" s="46" t="s">
        <v>17</v>
      </c>
      <c r="F8" s="11" t="str">
        <v>MKT</v>
      </c>
      <c r="G8" s="6" t="str">
        <v>Good</v>
      </c>
      <c r="H8" s="46" t="str">
        <v>N</v>
      </c>
      <c r="L8" s="48" t="s">
        <v>161</v>
      </c>
    </row>
    <row r="9" ht="15" customHeight="1" spans="1:12">
      <c r="A9" s="36" t="s">
        <v>37</v>
      </c>
      <c r="B9" s="35" t="s">
        <v>38</v>
      </c>
      <c r="C9" s="36" t="s">
        <v>15</v>
      </c>
      <c r="D9" s="36">
        <v>3</v>
      </c>
      <c r="E9" s="36" t="s">
        <v>24</v>
      </c>
      <c r="F9" s="11" t="str">
        <v>HUM</v>
      </c>
      <c r="G9" s="6" t="str">
        <v>Average</v>
      </c>
      <c r="H9" s="46" t="str">
        <v>S</v>
      </c>
      <c r="L9" s="48" t="s">
        <v>162</v>
      </c>
    </row>
    <row r="10" ht="15" customHeight="1" spans="1:12">
      <c r="A10" s="46" t="s">
        <v>40</v>
      </c>
      <c r="B10" s="47" t="s">
        <v>41</v>
      </c>
      <c r="C10" s="46" t="s">
        <v>28</v>
      </c>
      <c r="D10" s="46">
        <v>1</v>
      </c>
      <c r="E10" s="46" t="s">
        <v>29</v>
      </c>
      <c r="F10" s="11" t="str">
        <v>FIN</v>
      </c>
      <c r="G10" s="6" t="str">
        <v>Excellent</v>
      </c>
      <c r="H10" s="46" t="str">
        <v>E</v>
      </c>
      <c r="L10" s="48" t="s">
        <v>163</v>
      </c>
    </row>
    <row r="11" ht="15" customHeight="1" spans="1:12">
      <c r="A11" s="36" t="s">
        <v>42</v>
      </c>
      <c r="B11" s="35" t="s">
        <v>43</v>
      </c>
      <c r="C11" s="36" t="s">
        <v>22</v>
      </c>
      <c r="D11" s="36">
        <v>2</v>
      </c>
      <c r="E11" s="36" t="s">
        <v>33</v>
      </c>
      <c r="F11" s="11" t="str">
        <v>TECH</v>
      </c>
      <c r="G11" s="6" t="str">
        <v>Good</v>
      </c>
      <c r="H11" s="46" t="str">
        <v>W</v>
      </c>
      <c r="L11" s="48" t="s">
        <v>164</v>
      </c>
    </row>
    <row r="12" ht="15" customHeight="1" spans="1:12">
      <c r="A12" s="46" t="s">
        <v>44</v>
      </c>
      <c r="B12" s="47" t="s">
        <v>45</v>
      </c>
      <c r="C12" s="46" t="s">
        <v>36</v>
      </c>
      <c r="D12" s="46">
        <v>1</v>
      </c>
      <c r="E12" s="46" t="s">
        <v>17</v>
      </c>
      <c r="F12" s="11" t="str">
        <v>MKT</v>
      </c>
      <c r="G12" s="6" t="str">
        <v>Excellent</v>
      </c>
      <c r="H12" s="46" t="str">
        <v>N</v>
      </c>
      <c r="L12" s="48" t="s">
        <v>165</v>
      </c>
    </row>
    <row r="13" ht="15" customHeight="1" spans="1:12">
      <c r="A13" s="36" t="s">
        <v>46</v>
      </c>
      <c r="B13" s="35" t="s">
        <v>47</v>
      </c>
      <c r="C13" s="36" t="s">
        <v>28</v>
      </c>
      <c r="D13" s="36">
        <v>3</v>
      </c>
      <c r="E13" s="36" t="s">
        <v>24</v>
      </c>
      <c r="F13" s="11" t="str">
        <v>FIN</v>
      </c>
      <c r="G13" s="6" t="str">
        <v>Average</v>
      </c>
      <c r="H13" s="46" t="str">
        <v>S</v>
      </c>
      <c r="L13" s="48"/>
    </row>
    <row r="14" ht="15" customHeight="1" spans="1:12">
      <c r="A14" s="46" t="s">
        <v>48</v>
      </c>
      <c r="B14" s="47" t="s">
        <v>49</v>
      </c>
      <c r="C14" s="46" t="s">
        <v>22</v>
      </c>
      <c r="D14" s="46">
        <v>2</v>
      </c>
      <c r="E14" s="46" t="s">
        <v>29</v>
      </c>
      <c r="F14" s="11" t="str">
        <v>TECH</v>
      </c>
      <c r="G14" s="6" t="str">
        <v>Good</v>
      </c>
      <c r="H14" s="46" t="str">
        <v>E</v>
      </c>
      <c r="K14" s="2" t="s">
        <v>158</v>
      </c>
      <c r="L14" t="s">
        <v>166</v>
      </c>
    </row>
    <row r="15" ht="15" customHeight="1" spans="1:12">
      <c r="A15" s="36" t="s">
        <v>50</v>
      </c>
      <c r="B15" s="35" t="s">
        <v>51</v>
      </c>
      <c r="C15" s="36" t="s">
        <v>15</v>
      </c>
      <c r="D15" s="36">
        <v>3</v>
      </c>
      <c r="E15" s="36" t="s">
        <v>33</v>
      </c>
      <c r="F15" s="11" t="str">
        <v>HUM</v>
      </c>
      <c r="G15" s="6" t="str">
        <v>Average</v>
      </c>
      <c r="H15" s="46" t="str">
        <v>W</v>
      </c>
    </row>
    <row r="16" ht="15" customHeight="1" spans="1:12">
      <c r="A16" s="46" t="s">
        <v>52</v>
      </c>
      <c r="B16" s="47" t="s">
        <v>53</v>
      </c>
      <c r="C16" s="46" t="s">
        <v>36</v>
      </c>
      <c r="D16" s="46">
        <v>2</v>
      </c>
      <c r="E16" s="46" t="s">
        <v>17</v>
      </c>
      <c r="F16" s="11" t="str">
        <v>MKT</v>
      </c>
      <c r="G16" s="6" t="str">
        <v>Good</v>
      </c>
      <c r="H16" s="46" t="str">
        <v>N</v>
      </c>
      <c r="L16" t="s">
        <v>167</v>
      </c>
    </row>
    <row r="17" ht="15" customHeight="1" spans="1:12">
      <c r="A17" s="36" t="s">
        <v>54</v>
      </c>
      <c r="B17" s="35" t="s">
        <v>55</v>
      </c>
      <c r="C17" s="36" t="s">
        <v>28</v>
      </c>
      <c r="D17" s="36">
        <v>1</v>
      </c>
      <c r="E17" s="36" t="s">
        <v>24</v>
      </c>
      <c r="F17" s="11" t="str">
        <v>FIN</v>
      </c>
      <c r="G17" s="6" t="str">
        <v>Excellent</v>
      </c>
      <c r="H17" s="46" t="str">
        <v>S</v>
      </c>
      <c r="L17" t="s">
        <v>168</v>
      </c>
    </row>
    <row r="18" ht="15" customHeight="1" spans="1:12">
      <c r="A18" s="46" t="s">
        <v>56</v>
      </c>
      <c r="B18" s="47" t="s">
        <v>57</v>
      </c>
      <c r="C18" s="46" t="s">
        <v>22</v>
      </c>
      <c r="D18" s="46">
        <v>1</v>
      </c>
      <c r="E18" s="46" t="s">
        <v>29</v>
      </c>
      <c r="F18" s="11" t="str">
        <v>TECH</v>
      </c>
      <c r="G18" s="6" t="str">
        <v>Excellent</v>
      </c>
      <c r="H18" s="46" t="str">
        <v>E</v>
      </c>
      <c r="L18" t="s">
        <v>169</v>
      </c>
    </row>
    <row r="19" ht="15" customHeight="1" spans="1:12">
      <c r="A19" s="36" t="s">
        <v>58</v>
      </c>
      <c r="B19" s="35" t="s">
        <v>59</v>
      </c>
      <c r="C19" s="36" t="s">
        <v>15</v>
      </c>
      <c r="D19" s="36">
        <v>2</v>
      </c>
      <c r="E19" s="36" t="s">
        <v>33</v>
      </c>
      <c r="F19" s="11" t="str">
        <v>HUM</v>
      </c>
      <c r="G19" s="6" t="str">
        <v>Good</v>
      </c>
      <c r="H19" s="46" t="str">
        <v>W</v>
      </c>
    </row>
    <row r="20" ht="15" customHeight="1" spans="1:12">
      <c r="A20" s="46" t="s">
        <v>60</v>
      </c>
      <c r="B20" s="47" t="s">
        <v>61</v>
      </c>
      <c r="C20" s="46" t="s">
        <v>36</v>
      </c>
      <c r="D20" s="46">
        <v>3</v>
      </c>
      <c r="E20" s="46" t="s">
        <v>17</v>
      </c>
      <c r="F20" s="11" t="str">
        <v>MKT</v>
      </c>
      <c r="G20" s="6" t="str">
        <v>Average</v>
      </c>
      <c r="H20" s="46" t="str">
        <v>N</v>
      </c>
    </row>
    <row r="21" ht="15" customHeight="1" spans="1:12">
      <c r="A21" s="36" t="s">
        <v>62</v>
      </c>
      <c r="B21" s="35" t="s">
        <v>63</v>
      </c>
      <c r="C21" s="36" t="s">
        <v>22</v>
      </c>
      <c r="D21" s="36">
        <v>1</v>
      </c>
      <c r="E21" s="36" t="s">
        <v>24</v>
      </c>
      <c r="F21" s="11" t="str">
        <v>TECH</v>
      </c>
      <c r="G21" s="6" t="str">
        <v>Excellent</v>
      </c>
      <c r="H21" s="46" t="str">
        <v>S</v>
      </c>
      <c r="K21" s="2" t="s">
        <v>159</v>
      </c>
      <c r="L21" t="s">
        <v>170</v>
      </c>
    </row>
    <row r="22" ht="15" customHeight="1" spans="1:12">
      <c r="A22" s="46" t="s">
        <v>64</v>
      </c>
      <c r="B22" s="47" t="s">
        <v>65</v>
      </c>
      <c r="C22" s="46" t="s">
        <v>28</v>
      </c>
      <c r="D22" s="46">
        <v>2</v>
      </c>
      <c r="E22" s="46" t="s">
        <v>29</v>
      </c>
      <c r="F22" s="11" t="str">
        <v>FIN</v>
      </c>
      <c r="G22" s="6" t="str">
        <v>Good</v>
      </c>
      <c r="H22" s="46" t="str">
        <v>E</v>
      </c>
      <c r="L22" s="48"/>
    </row>
    <row r="23" ht="15" customHeight="1" spans="1:12">
      <c r="A23" s="36" t="s">
        <v>66</v>
      </c>
      <c r="B23" s="35" t="s">
        <v>67</v>
      </c>
      <c r="C23" s="36" t="s">
        <v>36</v>
      </c>
      <c r="D23" s="36">
        <v>3</v>
      </c>
      <c r="E23" s="36" t="s">
        <v>33</v>
      </c>
      <c r="F23" s="11" t="str">
        <v>MKT</v>
      </c>
      <c r="G23" s="6" t="str">
        <v>Average</v>
      </c>
      <c r="H23" s="46" t="str">
        <v>W</v>
      </c>
      <c r="L23" s="48" t="s">
        <v>171</v>
      </c>
    </row>
    <row r="24" ht="15" customHeight="1" spans="1:12">
      <c r="A24" s="46" t="s">
        <v>68</v>
      </c>
      <c r="B24" s="47" t="s">
        <v>69</v>
      </c>
      <c r="C24" s="46" t="s">
        <v>15</v>
      </c>
      <c r="D24" s="46">
        <v>1</v>
      </c>
      <c r="E24" s="46" t="s">
        <v>17</v>
      </c>
      <c r="F24" s="11" t="str">
        <v>HUM</v>
      </c>
      <c r="G24" s="6" t="str">
        <v>Excellent</v>
      </c>
      <c r="H24" s="46" t="str">
        <v>N</v>
      </c>
      <c r="L24" s="48" t="s">
        <v>172</v>
      </c>
    </row>
    <row r="25" ht="15" customHeight="1" spans="1:12">
      <c r="A25" s="36" t="s">
        <v>70</v>
      </c>
      <c r="B25" s="35" t="s">
        <v>71</v>
      </c>
      <c r="C25" s="36" t="s">
        <v>22</v>
      </c>
      <c r="D25" s="36">
        <v>2</v>
      </c>
      <c r="E25" s="36" t="s">
        <v>24</v>
      </c>
      <c r="F25" s="11" t="str">
        <v>TECH</v>
      </c>
      <c r="G25" s="6" t="str">
        <v>Good</v>
      </c>
      <c r="H25" s="46" t="str">
        <v>S</v>
      </c>
      <c r="L25" s="48" t="s">
        <v>173</v>
      </c>
    </row>
    <row r="26" ht="15" customHeight="1" spans="1:12">
      <c r="A26" s="46" t="s">
        <v>72</v>
      </c>
      <c r="B26" s="47" t="s">
        <v>73</v>
      </c>
      <c r="C26" s="46" t="s">
        <v>28</v>
      </c>
      <c r="D26" s="46">
        <v>1</v>
      </c>
      <c r="E26" s="46" t="s">
        <v>29</v>
      </c>
      <c r="F26" s="11" t="str">
        <v>FIN</v>
      </c>
      <c r="G26" s="6" t="str">
        <v>Excellent</v>
      </c>
      <c r="H26" s="46" t="str">
        <v>E</v>
      </c>
      <c r="L26" s="48" t="s">
        <v>174</v>
      </c>
    </row>
    <row r="27" ht="15" customHeight="1" spans="1:12">
      <c r="A27" s="36" t="s">
        <v>74</v>
      </c>
      <c r="B27" s="35" t="s">
        <v>75</v>
      </c>
      <c r="C27" s="36" t="s">
        <v>36</v>
      </c>
      <c r="D27" s="36">
        <v>3</v>
      </c>
      <c r="E27" s="36" t="s">
        <v>33</v>
      </c>
      <c r="F27" s="11" t="str">
        <v>MKT</v>
      </c>
      <c r="G27" s="6" t="str">
        <v>Average</v>
      </c>
      <c r="H27" s="46" t="str">
        <v>W</v>
      </c>
      <c r="L27" s="48" t="s">
        <v>175</v>
      </c>
    </row>
    <row r="28" ht="15" customHeight="1" spans="1:12">
      <c r="A28" s="46" t="s">
        <v>76</v>
      </c>
      <c r="B28" s="47" t="s">
        <v>77</v>
      </c>
      <c r="C28" s="46" t="s">
        <v>22</v>
      </c>
      <c r="D28" s="46">
        <v>2</v>
      </c>
      <c r="E28" s="46" t="s">
        <v>17</v>
      </c>
      <c r="F28" s="11" t="str">
        <v>TECH</v>
      </c>
      <c r="G28" s="6" t="str">
        <v>Good</v>
      </c>
      <c r="H28" s="46" t="str">
        <v>N</v>
      </c>
    </row>
    <row r="30" ht="27.75" customHeight="1"/>
    <row r="31" ht="24" customHeight="1"/>
    <row r="32" ht="24" customHeight="1"/>
    <row r="45" spans="12:12">
      <c r="L45" s="48"/>
    </row>
    <row r="47" spans="12:12">
      <c r="L47" s="48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A65"/>
  </sheetPr>
  <dimension ref="A1:D32"/>
  <sheetViews>
    <sheetView showGridLines="0" topLeftCell="A3" workbookViewId="0">
      <selection activeCell="C8" sqref="C8"/>
    </sheetView>
  </sheetViews>
  <sheetFormatPr defaultColWidth="8.66363636363636" defaultRowHeight="14.5" outlineLevelCol="3"/>
  <cols>
    <col min="1" max="1" width="5" customWidth="1"/>
    <col min="2" max="2" width="50" customWidth="1"/>
    <col min="3" max="3" width="40" customWidth="1"/>
    <col min="4" max="4" width="20" customWidth="1"/>
  </cols>
  <sheetData>
    <row r="1" ht="36" customHeight="1" spans="1:4">
      <c r="A1" s="38" t="s">
        <v>176</v>
      </c>
      <c r="B1" s="38"/>
      <c r="C1" s="38"/>
      <c r="D1" s="38"/>
    </row>
    <row r="2" ht="30" customHeight="1" spans="1:4">
      <c r="A2" s="39" t="s">
        <v>177</v>
      </c>
      <c r="B2" s="39"/>
      <c r="C2" s="39"/>
      <c r="D2" s="39"/>
    </row>
    <row r="4" ht="24" customHeight="1" spans="1:4">
      <c r="A4" s="40" t="s">
        <v>178</v>
      </c>
      <c r="B4" s="40"/>
      <c r="C4" s="40"/>
      <c r="D4" s="40"/>
    </row>
    <row r="5" ht="42" customHeight="1" spans="1:4">
      <c r="A5" s="41" t="s">
        <v>179</v>
      </c>
      <c r="B5" s="42" t="s">
        <v>180</v>
      </c>
      <c r="C5" s="57" t="s">
        <v>181</v>
      </c>
      <c r="D5" s="41" t="s">
        <v>182</v>
      </c>
    </row>
    <row r="6" ht="42" customHeight="1" spans="1:4">
      <c r="A6" s="41" t="s">
        <v>183</v>
      </c>
      <c r="B6" s="42" t="s">
        <v>184</v>
      </c>
      <c r="C6" s="57" t="s">
        <v>185</v>
      </c>
      <c r="D6" s="41" t="s">
        <v>182</v>
      </c>
    </row>
    <row r="7" ht="24" customHeight="1" spans="1:4">
      <c r="A7" s="40" t="s">
        <v>186</v>
      </c>
      <c r="B7" s="40"/>
      <c r="C7" s="40"/>
      <c r="D7" s="40"/>
    </row>
    <row r="8" ht="42" customHeight="1" spans="1:4">
      <c r="A8" s="44" t="s">
        <v>187</v>
      </c>
      <c r="B8" s="42" t="s">
        <v>188</v>
      </c>
      <c r="C8" s="43" t="s">
        <v>189</v>
      </c>
      <c r="D8" s="44" t="s">
        <v>190</v>
      </c>
    </row>
    <row r="9" ht="24" customHeight="1" spans="1:4">
      <c r="A9" s="40" t="s">
        <v>191</v>
      </c>
      <c r="B9" s="40"/>
      <c r="C9" s="40"/>
      <c r="D9" s="40"/>
    </row>
    <row r="10" ht="42" customHeight="1" spans="1:4">
      <c r="A10" s="44" t="s">
        <v>192</v>
      </c>
      <c r="B10" s="42" t="s">
        <v>193</v>
      </c>
      <c r="C10" s="43" t="s">
        <v>189</v>
      </c>
      <c r="D10" s="44" t="s">
        <v>190</v>
      </c>
    </row>
    <row r="11" ht="24" customHeight="1" spans="1:4">
      <c r="A11" s="40" t="s">
        <v>194</v>
      </c>
      <c r="B11" s="40"/>
      <c r="C11" s="40"/>
      <c r="D11" s="40"/>
    </row>
    <row r="12" ht="42" customHeight="1" spans="1:4">
      <c r="A12" s="44" t="s">
        <v>195</v>
      </c>
      <c r="B12" s="42" t="s">
        <v>196</v>
      </c>
      <c r="C12" s="43" t="s">
        <v>189</v>
      </c>
      <c r="D12" s="44" t="s">
        <v>190</v>
      </c>
    </row>
    <row r="13" ht="24" customHeight="1" spans="1:4">
      <c r="A13" s="40" t="s">
        <v>197</v>
      </c>
      <c r="B13" s="40"/>
      <c r="C13" s="40"/>
      <c r="D13" s="40"/>
    </row>
    <row r="14" ht="42" customHeight="1" spans="1:4">
      <c r="A14" s="44" t="s">
        <v>198</v>
      </c>
      <c r="B14" s="42" t="s">
        <v>199</v>
      </c>
      <c r="C14" s="43" t="s">
        <v>189</v>
      </c>
      <c r="D14" s="44" t="s">
        <v>190</v>
      </c>
    </row>
    <row r="15" ht="24" customHeight="1" spans="1:4">
      <c r="A15" s="40" t="s">
        <v>200</v>
      </c>
      <c r="B15" s="40"/>
      <c r="C15" s="40"/>
      <c r="D15" s="40"/>
    </row>
    <row r="16" ht="42" customHeight="1" spans="1:4">
      <c r="A16" s="44" t="s">
        <v>201</v>
      </c>
      <c r="B16" s="42" t="s">
        <v>202</v>
      </c>
      <c r="C16" s="43" t="s">
        <v>189</v>
      </c>
      <c r="D16" s="44" t="s">
        <v>190</v>
      </c>
    </row>
    <row r="17" ht="24" customHeight="1" spans="1:4">
      <c r="A17" s="40" t="s">
        <v>203</v>
      </c>
      <c r="B17" s="40"/>
      <c r="C17" s="40"/>
      <c r="D17" s="40"/>
    </row>
    <row r="18" ht="42" customHeight="1" spans="1:4">
      <c r="A18" s="41" t="s">
        <v>204</v>
      </c>
      <c r="B18" s="42" t="s">
        <v>205</v>
      </c>
      <c r="C18" s="43" t="s">
        <v>189</v>
      </c>
      <c r="D18" s="41" t="s">
        <v>182</v>
      </c>
    </row>
    <row r="19" ht="24" customHeight="1" spans="1:4">
      <c r="A19" s="40" t="s">
        <v>206</v>
      </c>
      <c r="B19" s="40"/>
      <c r="C19" s="40"/>
      <c r="D19" s="40"/>
    </row>
    <row r="20" ht="42" customHeight="1" spans="1:4">
      <c r="A20" s="41" t="s">
        <v>207</v>
      </c>
      <c r="B20" s="42" t="s">
        <v>208</v>
      </c>
      <c r="C20" s="43" t="s">
        <v>189</v>
      </c>
      <c r="D20" s="41" t="s">
        <v>182</v>
      </c>
    </row>
    <row r="21" ht="24" customHeight="1" spans="1:4">
      <c r="A21" s="40" t="s">
        <v>209</v>
      </c>
      <c r="B21" s="40"/>
      <c r="C21" s="40"/>
      <c r="D21" s="40"/>
    </row>
    <row r="22" ht="42" customHeight="1" spans="1:4">
      <c r="A22" s="44" t="s">
        <v>210</v>
      </c>
      <c r="B22" s="42" t="s">
        <v>211</v>
      </c>
      <c r="C22" s="43" t="s">
        <v>189</v>
      </c>
      <c r="D22" s="44" t="s">
        <v>190</v>
      </c>
    </row>
    <row r="23" ht="24" customHeight="1" spans="1:4">
      <c r="A23" s="40" t="s">
        <v>212</v>
      </c>
      <c r="B23" s="40"/>
      <c r="C23" s="40"/>
      <c r="D23" s="40"/>
    </row>
    <row r="24" ht="42" customHeight="1" spans="1:4">
      <c r="A24" s="45" t="s">
        <v>213</v>
      </c>
      <c r="B24" s="42" t="s">
        <v>214</v>
      </c>
      <c r="C24" s="43" t="s">
        <v>189</v>
      </c>
      <c r="D24" s="45" t="s">
        <v>215</v>
      </c>
    </row>
    <row r="25" ht="24" customHeight="1" spans="1:4">
      <c r="A25" s="40" t="s">
        <v>216</v>
      </c>
      <c r="B25" s="40"/>
      <c r="C25" s="40"/>
      <c r="D25" s="40"/>
    </row>
    <row r="26" ht="42" customHeight="1" spans="1:4">
      <c r="A26" s="45" t="s">
        <v>217</v>
      </c>
      <c r="B26" s="42" t="s">
        <v>218</v>
      </c>
      <c r="C26" s="43" t="s">
        <v>189</v>
      </c>
      <c r="D26" s="45" t="s">
        <v>215</v>
      </c>
    </row>
    <row r="27" ht="24" customHeight="1" spans="1:4">
      <c r="A27" s="40" t="s">
        <v>219</v>
      </c>
      <c r="B27" s="40"/>
      <c r="C27" s="40"/>
      <c r="D27" s="40"/>
    </row>
    <row r="28" ht="42" customHeight="1" spans="1:4">
      <c r="A28" s="44" t="s">
        <v>220</v>
      </c>
      <c r="B28" s="42" t="s">
        <v>221</v>
      </c>
      <c r="C28" s="43" t="s">
        <v>189</v>
      </c>
      <c r="D28" s="44" t="s">
        <v>190</v>
      </c>
    </row>
    <row r="29" ht="24" customHeight="1" spans="1:4">
      <c r="A29" s="40" t="s">
        <v>222</v>
      </c>
      <c r="B29" s="40"/>
      <c r="C29" s="40"/>
      <c r="D29" s="40"/>
    </row>
    <row r="30" ht="42" customHeight="1" spans="1:4">
      <c r="A30" s="44" t="s">
        <v>223</v>
      </c>
      <c r="B30" s="42" t="s">
        <v>224</v>
      </c>
      <c r="C30" s="43" t="s">
        <v>189</v>
      </c>
      <c r="D30" s="44" t="s">
        <v>190</v>
      </c>
    </row>
    <row r="31" ht="24" customHeight="1" spans="1:4">
      <c r="A31" s="40" t="s">
        <v>225</v>
      </c>
      <c r="B31" s="40"/>
      <c r="C31" s="40"/>
      <c r="D31" s="40"/>
    </row>
    <row r="32" ht="42" customHeight="1" spans="1:4">
      <c r="A32" s="45" t="s">
        <v>226</v>
      </c>
      <c r="B32" s="42" t="s">
        <v>227</v>
      </c>
      <c r="C32" s="43" t="s">
        <v>189</v>
      </c>
      <c r="D32" s="45" t="s">
        <v>215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F18"/>
  <sheetViews>
    <sheetView showGridLines="0" workbookViewId="0">
      <selection activeCell="F4" sqref="F4"/>
    </sheetView>
  </sheetViews>
  <sheetFormatPr defaultColWidth="8.66363636363636" defaultRowHeight="14.5" outlineLevelCol="5"/>
  <cols>
    <col min="1" max="1" width="18" customWidth="1"/>
    <col min="2" max="2" width="35" customWidth="1"/>
    <col min="3" max="3" width="30" customWidth="1"/>
    <col min="4" max="4" width="18" customWidth="1"/>
    <col min="5" max="5" width="20" customWidth="1"/>
    <col min="6" max="6" width="44.4454545454545" customWidth="1"/>
  </cols>
  <sheetData>
    <row r="1" ht="39.75" customHeight="1" spans="1:6">
      <c r="A1" s="1" t="s">
        <v>228</v>
      </c>
      <c r="B1" s="1"/>
      <c r="C1" s="1"/>
      <c r="D1" s="1"/>
      <c r="E1" s="1"/>
      <c r="F1" s="1"/>
    </row>
    <row r="2" ht="21.75" customHeight="1" spans="1:6">
      <c r="A2" s="2" t="s">
        <v>229</v>
      </c>
      <c r="B2" s="2" t="s">
        <v>230</v>
      </c>
      <c r="C2" s="2" t="s">
        <v>231</v>
      </c>
      <c r="D2" s="2" t="s">
        <v>232</v>
      </c>
      <c r="E2" s="2" t="s">
        <v>233</v>
      </c>
      <c r="F2" s="2" t="s">
        <v>234</v>
      </c>
    </row>
    <row r="3" ht="21.75" customHeight="1" spans="1:6">
      <c r="A3" s="3" t="s">
        <v>235</v>
      </c>
      <c r="B3" s="4" t="s">
        <v>236</v>
      </c>
      <c r="C3" s="5" t="s">
        <v>237</v>
      </c>
      <c r="D3" s="6" t="s">
        <v>238</v>
      </c>
      <c r="E3" s="6" t="s">
        <v>239</v>
      </c>
      <c r="F3" s="7" t="s">
        <v>240</v>
      </c>
    </row>
    <row r="4" ht="21.75" customHeight="1" spans="1:6">
      <c r="A4" s="8" t="s">
        <v>241</v>
      </c>
      <c r="B4" s="9" t="s">
        <v>242</v>
      </c>
      <c r="C4" s="10" t="s">
        <v>243</v>
      </c>
      <c r="D4" s="11" t="s">
        <v>238</v>
      </c>
      <c r="E4" s="11" t="s">
        <v>244</v>
      </c>
      <c r="F4" s="12" t="s">
        <v>245</v>
      </c>
    </row>
    <row r="5" ht="21.75" customHeight="1" spans="1:6">
      <c r="A5" s="8" t="s">
        <v>246</v>
      </c>
      <c r="B5" s="9" t="s">
        <v>247</v>
      </c>
      <c r="C5" s="10" t="s">
        <v>248</v>
      </c>
      <c r="D5" s="11" t="s">
        <v>249</v>
      </c>
      <c r="E5" s="11" t="s">
        <v>239</v>
      </c>
      <c r="F5" s="12" t="s">
        <v>250</v>
      </c>
    </row>
    <row r="6" ht="21.75" customHeight="1" spans="1:6">
      <c r="A6" s="13" t="s">
        <v>251</v>
      </c>
      <c r="B6" s="14" t="s">
        <v>252</v>
      </c>
      <c r="C6" s="15" t="s">
        <v>253</v>
      </c>
      <c r="D6" s="16" t="s">
        <v>249</v>
      </c>
      <c r="E6" s="16" t="s">
        <v>239</v>
      </c>
      <c r="F6" s="17" t="s">
        <v>254</v>
      </c>
    </row>
    <row r="7" ht="21.75" customHeight="1" spans="1:6">
      <c r="A7" s="13" t="s">
        <v>255</v>
      </c>
      <c r="B7" s="14" t="s">
        <v>256</v>
      </c>
      <c r="C7" s="15" t="s">
        <v>257</v>
      </c>
      <c r="D7" s="16" t="s">
        <v>249</v>
      </c>
      <c r="E7" s="16" t="s">
        <v>239</v>
      </c>
      <c r="F7" s="17" t="s">
        <v>258</v>
      </c>
    </row>
    <row r="8" ht="21.75" customHeight="1" spans="1:6">
      <c r="A8" s="18" t="s">
        <v>259</v>
      </c>
      <c r="B8" s="19" t="s">
        <v>260</v>
      </c>
      <c r="C8" s="20" t="s">
        <v>261</v>
      </c>
      <c r="D8" s="21" t="s">
        <v>238</v>
      </c>
      <c r="E8" s="21" t="s">
        <v>262</v>
      </c>
      <c r="F8" s="22" t="s">
        <v>263</v>
      </c>
    </row>
    <row r="9" ht="21.75" customHeight="1" spans="1:6">
      <c r="A9" s="18" t="s">
        <v>264</v>
      </c>
      <c r="B9" s="19" t="s">
        <v>265</v>
      </c>
      <c r="C9" s="20" t="s">
        <v>266</v>
      </c>
      <c r="D9" s="21" t="s">
        <v>238</v>
      </c>
      <c r="E9" s="21" t="s">
        <v>267</v>
      </c>
      <c r="F9" s="22" t="s">
        <v>268</v>
      </c>
    </row>
    <row r="10" ht="21.75" customHeight="1" spans="1:6">
      <c r="A10" s="23" t="s">
        <v>269</v>
      </c>
      <c r="B10" s="24" t="s">
        <v>270</v>
      </c>
      <c r="C10" s="25" t="s">
        <v>271</v>
      </c>
      <c r="D10" s="26" t="s">
        <v>272</v>
      </c>
      <c r="E10" s="26" t="s">
        <v>239</v>
      </c>
      <c r="F10" s="27" t="s">
        <v>273</v>
      </c>
    </row>
    <row r="11" ht="21.75" customHeight="1" spans="1:6">
      <c r="A11" s="23" t="s">
        <v>151</v>
      </c>
      <c r="B11" s="24" t="s">
        <v>274</v>
      </c>
      <c r="C11" s="25" t="s">
        <v>275</v>
      </c>
      <c r="D11" s="26" t="s">
        <v>272</v>
      </c>
      <c r="E11" s="26" t="s">
        <v>262</v>
      </c>
      <c r="F11" s="27" t="s">
        <v>276</v>
      </c>
    </row>
    <row r="12" ht="21.75" customHeight="1" spans="1:6">
      <c r="A12" s="23" t="s">
        <v>277</v>
      </c>
      <c r="B12" s="24" t="s">
        <v>278</v>
      </c>
      <c r="C12" s="25" t="s">
        <v>279</v>
      </c>
      <c r="D12" s="26" t="s">
        <v>272</v>
      </c>
      <c r="E12" s="26" t="s">
        <v>239</v>
      </c>
      <c r="F12" s="27" t="s">
        <v>280</v>
      </c>
    </row>
    <row r="13" ht="21.75" customHeight="1" spans="1:6">
      <c r="A13" s="23" t="s">
        <v>281</v>
      </c>
      <c r="B13" s="24" t="s">
        <v>282</v>
      </c>
      <c r="C13" s="25" t="s">
        <v>283</v>
      </c>
      <c r="D13" s="26" t="s">
        <v>272</v>
      </c>
      <c r="E13" s="26" t="s">
        <v>262</v>
      </c>
      <c r="F13" s="27" t="s">
        <v>284</v>
      </c>
    </row>
    <row r="14" ht="21.75" customHeight="1" spans="1:6">
      <c r="A14" s="23" t="s">
        <v>285</v>
      </c>
      <c r="B14" s="24" t="s">
        <v>286</v>
      </c>
      <c r="C14" s="25" t="s">
        <v>287</v>
      </c>
      <c r="D14" s="26" t="s">
        <v>272</v>
      </c>
      <c r="E14" s="26" t="s">
        <v>262</v>
      </c>
      <c r="F14" s="27" t="s">
        <v>288</v>
      </c>
    </row>
    <row r="15" ht="21.75" customHeight="1" spans="1:6">
      <c r="A15" s="23" t="s">
        <v>289</v>
      </c>
      <c r="B15" s="24" t="s">
        <v>290</v>
      </c>
      <c r="C15" s="25" t="s">
        <v>291</v>
      </c>
      <c r="D15" s="26" t="s">
        <v>272</v>
      </c>
      <c r="E15" s="26" t="s">
        <v>262</v>
      </c>
      <c r="F15" s="27" t="s">
        <v>292</v>
      </c>
    </row>
    <row r="16" ht="21.75" customHeight="1" spans="1:6">
      <c r="A16" s="28" t="s">
        <v>293</v>
      </c>
      <c r="B16" s="29" t="s">
        <v>294</v>
      </c>
      <c r="C16" s="30" t="s">
        <v>295</v>
      </c>
      <c r="D16" s="31" t="s">
        <v>238</v>
      </c>
      <c r="E16" s="31" t="s">
        <v>244</v>
      </c>
      <c r="F16" s="32" t="s">
        <v>296</v>
      </c>
    </row>
    <row r="17" ht="21.75" customHeight="1" spans="1:6">
      <c r="A17" s="28" t="s">
        <v>297</v>
      </c>
      <c r="B17" s="29" t="s">
        <v>298</v>
      </c>
      <c r="C17" s="30" t="s">
        <v>299</v>
      </c>
      <c r="D17" s="31" t="s">
        <v>238</v>
      </c>
      <c r="E17" s="31" t="s">
        <v>239</v>
      </c>
      <c r="F17" s="32" t="s">
        <v>300</v>
      </c>
    </row>
    <row r="18" ht="21.75" customHeight="1" spans="1:6">
      <c r="A18" s="33" t="s">
        <v>249</v>
      </c>
      <c r="B18" s="34" t="s">
        <v>301</v>
      </c>
      <c r="C18" s="35" t="s">
        <v>302</v>
      </c>
      <c r="D18" s="36" t="s">
        <v>249</v>
      </c>
      <c r="E18" s="36" t="s">
        <v>239</v>
      </c>
      <c r="F18" s="37" t="s">
        <v>303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📋 Employee Dataset</vt:lpstr>
      <vt:lpstr>🔀 IF Function</vt:lpstr>
      <vt:lpstr>🔢 Nested IF &amp; IFS</vt:lpstr>
      <vt:lpstr>⚡ AND, OR, NOT</vt:lpstr>
      <vt:lpstr>🛡️ IFERROR &amp; IFNA</vt:lpstr>
      <vt:lpstr>📊 COUNTIF, SUMIF, AVGIF</vt:lpstr>
      <vt:lpstr>🔀 COUNTIFS, SUMIFS, AVGIFS</vt:lpstr>
      <vt:lpstr>🔄 SWITCH &amp; CHOOSE</vt:lpstr>
      <vt:lpstr>✏️ Practice Exercises</vt:lpstr>
      <vt:lpstr>📌 Quick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</cp:lastModifiedBy>
  <cp:revision>0</cp:revision>
  <dcterms:created xsi:type="dcterms:W3CDTF">2026-03-10T07:27:00Z</dcterms:created>
  <dcterms:modified xsi:type="dcterms:W3CDTF">2026-08-25T07:31:49Z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1D6407E7A4974BCA8128475ACEA07817_12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