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80" tabRatio="500" firstSheet="5" activeTab="8"/>
  </bookViews>
  <sheets>
    <sheet name="Employee Dataset" sheetId="1" r:id="rId1"/>
    <sheet name="VLOOKUP" sheetId="2" r:id="rId2"/>
    <sheet name="HLOOKUP" sheetId="3" r:id="rId3"/>
    <sheet name="INDEX" sheetId="4" r:id="rId4"/>
    <sheet name="MATCH" sheetId="5" r:id="rId5"/>
    <sheet name="INDEX MATCH" sheetId="6" r:id="rId6"/>
    <sheet name="XLOOKUP" sheetId="7" r:id="rId7"/>
    <sheet name="LOOKUP" sheetId="8" r:id="rId8"/>
    <sheet name="Practice Exercises" sheetId="10" r:id="rId9"/>
    <sheet name="Quick Reference"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<sst xmlns="http://schemas.openxmlformats.org/spreadsheetml/2006/main" count="727" uniqueCount="325">
  <si>
    <t>Employee Dataset  --  Reference table used across all lookup practice sheets</t>
  </si>
  <si>
    <t>This table contains 25 employee records.  Each lookup sheet references this data.  Column positions: A=Emp ID  B=Name  C=Dept  D=Age  E=Salary  F=Yrs Exp  G=Performance  H=Region  I=Gender  J=Bonus%  K=Projects  L=Active</t>
  </si>
  <si>
    <t>Emp ID</t>
  </si>
  <si>
    <t>Name</t>
  </si>
  <si>
    <t>Department</t>
  </si>
  <si>
    <t>Age</t>
  </si>
  <si>
    <t>Salary</t>
  </si>
  <si>
    <t>Years Exp</t>
  </si>
  <si>
    <t>Performance</t>
  </si>
  <si>
    <t>Region</t>
  </si>
  <si>
    <t>Gender</t>
  </si>
  <si>
    <t>Bonus Pct</t>
  </si>
  <si>
    <t>Projects Done</t>
  </si>
  <si>
    <t>Active</t>
  </si>
  <si>
    <t>E001</t>
  </si>
  <si>
    <t>Alice Johnson</t>
  </si>
  <si>
    <t>HR</t>
  </si>
  <si>
    <t>Excellent</t>
  </si>
  <si>
    <t>North</t>
  </si>
  <si>
    <t>F</t>
  </si>
  <si>
    <t>Yes</t>
  </si>
  <si>
    <t>E002</t>
  </si>
  <si>
    <t>Bob Smith</t>
  </si>
  <si>
    <t>IT</t>
  </si>
  <si>
    <t>Good</t>
  </si>
  <si>
    <t>South</t>
  </si>
  <si>
    <t>M</t>
  </si>
  <si>
    <t>E003</t>
  </si>
  <si>
    <t>Carol White</t>
  </si>
  <si>
    <t>Finance</t>
  </si>
  <si>
    <t>East</t>
  </si>
  <si>
    <t>E004</t>
  </si>
  <si>
    <t>David Brown</t>
  </si>
  <si>
    <t>Average</t>
  </si>
  <si>
    <t>West</t>
  </si>
  <si>
    <t>E005</t>
  </si>
  <si>
    <t>Eva Green</t>
  </si>
  <si>
    <t>Marketing</t>
  </si>
  <si>
    <t>E006</t>
  </si>
  <si>
    <t>Frank Lee</t>
  </si>
  <si>
    <t>No</t>
  </si>
  <si>
    <t>E007</t>
  </si>
  <si>
    <t>Grace Kim</t>
  </si>
  <si>
    <t>E008</t>
  </si>
  <si>
    <t>Henry Davis</t>
  </si>
  <si>
    <t>E009</t>
  </si>
  <si>
    <t>Isla Martin</t>
  </si>
  <si>
    <t>E010</t>
  </si>
  <si>
    <t>Jack Wilson</t>
  </si>
  <si>
    <t>E011</t>
  </si>
  <si>
    <t>Karen Taylor</t>
  </si>
  <si>
    <t>E012</t>
  </si>
  <si>
    <t>Liam Moore</t>
  </si>
  <si>
    <t>E013</t>
  </si>
  <si>
    <t>Mia Anderson</t>
  </si>
  <si>
    <t>E014</t>
  </si>
  <si>
    <t>Noah Thomas</t>
  </si>
  <si>
    <t>E015</t>
  </si>
  <si>
    <t>Olivia Harris</t>
  </si>
  <si>
    <t>E016</t>
  </si>
  <si>
    <t>Peter Clark</t>
  </si>
  <si>
    <t>E017</t>
  </si>
  <si>
    <t>Quinn Lewis</t>
  </si>
  <si>
    <t>E018</t>
  </si>
  <si>
    <t>Ryan Walker</t>
  </si>
  <si>
    <t>E019</t>
  </si>
  <si>
    <t>Sara Hall</t>
  </si>
  <si>
    <t>E020</t>
  </si>
  <si>
    <t>Tom Young</t>
  </si>
  <si>
    <t>E021</t>
  </si>
  <si>
    <t>Uma Scott</t>
  </si>
  <si>
    <t>E022</t>
  </si>
  <si>
    <t>Victor King</t>
  </si>
  <si>
    <t>E023</t>
  </si>
  <si>
    <t>Wendy Wright</t>
  </si>
  <si>
    <t>E024</t>
  </si>
  <si>
    <t>Xander Lopez</t>
  </si>
  <si>
    <t>E025</t>
  </si>
  <si>
    <t>Yara Hill</t>
  </si>
  <si>
    <t>VLOOKUP  --  Syntax: =VLOOKUP(lookup_value, table_array, col_index_num, [range_lookup])</t>
  </si>
  <si>
    <t>VLOOKUP searches the FIRST column of a table for a value and returns data from a column to the right.  Use 0 or FALSE for exact match (most common).  Use TRUE for approximate match (sorted data only).  LIMITATION: Can only look right, not left.</t>
  </si>
  <si>
    <t>Name (VLOOKUP)</t>
  </si>
  <si>
    <t>Dept (VLOOKUP)</t>
  </si>
  <si>
    <t>Salary (VLOOKUP)</t>
  </si>
  <si>
    <t>Active Status</t>
  </si>
  <si>
    <t>Formula Examples and Explanation</t>
  </si>
  <si>
    <t>VLOOKUP Common Errors and How to Avoid Them</t>
  </si>
  <si>
    <t>Error: col_index_num = 1</t>
  </si>
  <si>
    <t>Returns the lookup column itself. Usually you want column 2 or higher.</t>
  </si>
  <si>
    <t>Error: range_lookup omitted</t>
  </si>
  <si>
    <t>Excel defaults to TRUE (approximate). Always explicitly write 0 for exact match.</t>
  </si>
  <si>
    <t>Error: lookup value not in first column</t>
  </si>
  <si>
    <t>VLOOKUP only searches column 1 of the table. Restructure data or use INDEX/MATCH instead.</t>
  </si>
  <si>
    <t>Error: table_array not locked with $</t>
  </si>
  <si>
    <t>When copying formulas down, use absolute references: $A$4:$L$28 not A4:L28.</t>
  </si>
  <si>
    <t>HLOOKUP  --  Syntax: =HLOOKUP(lookup_value, table_array, row_index_num, [range_lookup])</t>
  </si>
  <si>
    <t>HLOOKUP searches the FIRST ROW of a table and returns a value from a specified row below it.  It is the horizontal equivalent of VLOOKUP.  Best used when data is laid out in rows (wide format).</t>
  </si>
  <si>
    <t>Reference Table (horizontal layout)  -- HLOOKUP searches Row 4 for department names</t>
  </si>
  <si>
    <t>Metric</t>
  </si>
  <si>
    <t>Head Count</t>
  </si>
  <si>
    <t>Total Salary</t>
  </si>
  <si>
    <t>Avg Salary</t>
  </si>
  <si>
    <t>Max Salary</t>
  </si>
  <si>
    <t>Avg Experience</t>
  </si>
  <si>
    <t>HLOOKUP Demo  -- Retrieve a metric for a given department</t>
  </si>
  <si>
    <t>HLOOKUP searches Row 4 for the department name, then goes down to the specified row to return the value.  Row 1 of the table = Row 4 on the sheet (Head Count).  Row 2 = Row 5 (Total Salary), etc.</t>
  </si>
  <si>
    <t>Lookup Department</t>
  </si>
  <si>
    <t>Metric Row Number</t>
  </si>
  <si>
    <t>HLOOKUP Result</t>
  </si>
  <si>
    <t>Explanation</t>
  </si>
  <si>
    <t>Expected Values</t>
  </si>
  <si>
    <t>Finds IT in row 4, returns row 2 value (Head Count) from that column</t>
  </si>
  <si>
    <t>Finds Finance in row 4, returns row 4 value (Avg Salary) from that column</t>
  </si>
  <si>
    <t>Finds Marketing in row 4, returns row 5 value (Max Salary) from that column</t>
  </si>
  <si>
    <t>Finds HR in row 4, returns row 6 value (Avg Experience) from that column</t>
  </si>
  <si>
    <t>INDEX  --  Syntax: =INDEX(array, row_num, [col_num])</t>
  </si>
  <si>
    <t>INDEX returns the value at a given row and column position within a range.  Think of it as coordinate-based lookup.  Row 1 Col 1 of the array = first data cell.  INDEX alone is rarely used; it becomes powerful when combined with MATCH.</t>
  </si>
  <si>
    <t>Row Num</t>
  </si>
  <si>
    <t>Col Num</t>
  </si>
  <si>
    <t>INDEX (array + row_num)</t>
  </si>
  <si>
    <t>INDEX Salary</t>
  </si>
  <si>
    <t>INDEX Department</t>
  </si>
  <si>
    <t>INDEX Performance</t>
  </si>
  <si>
    <t>INDEX (array + row_num + col_num)</t>
  </si>
  <si>
    <t>INDEX Concepts and Key Points</t>
  </si>
  <si>
    <t>INDEX(array, row, col)</t>
  </si>
  <si>
    <t>row and col are POSITIONS within the array, not sheet row/column numbers.  First row of the array = position 1.</t>
  </si>
  <si>
    <t>INDEX with entire column</t>
  </si>
  <si>
    <t>'=INDEX(A:A, 5) returns the 5th cell in column a.  useful inside other formulas.</t>
  </si>
  <si>
    <t>INDEX with entire row</t>
  </si>
  <si>
    <t>'=INDEX(4:4, 3) returns the 3rd cell in row 4  works for horizontal data.</t>
  </si>
  <si>
    <t>INDEX returns a reference</t>
  </si>
  <si>
    <t>Unlike VLOOKUP which returns a value, INDEX returns a cell reference.  This makes it usable as the array argument of another INDEX.</t>
  </si>
  <si>
    <t>MATCH  --  Syntax: =MATCH(lookup_value, lookup_array, [match_type])</t>
  </si>
  <si>
    <t>MATCH returns the POSITION (row or column number) of a value in a range.  It does NOT return the value itself.  match_type: 0 = exact, 1 = less than (ascending), -1 = greater than (descending).  Combine with INDEX for two-way lookups.</t>
  </si>
  <si>
    <t>Dept</t>
  </si>
  <si>
    <t>MATCH: ID Position</t>
  </si>
  <si>
    <t>MATCH: Name Position</t>
  </si>
  <si>
    <t>MATCH match_type Reference</t>
  </si>
  <si>
    <t>match_type</t>
  </si>
  <si>
    <t>Behaviour</t>
  </si>
  <si>
    <t>0  (Exact Match)</t>
  </si>
  <si>
    <t>Returns position of the exact value. Most commonly used. Array does not need to be sorted.</t>
  </si>
  <si>
    <t>1  (Less Than or Equal)</t>
  </si>
  <si>
    <t>Returns position of the largest value less than or equal to lookup_value. Array must be sorted ASCENDING.</t>
  </si>
  <si>
    <t>-1 (Greater Than or Equal)</t>
  </si>
  <si>
    <t>Returns position of the smallest value greater than or equal to lookup_value. Array must be sorted DESCENDING.</t>
  </si>
  <si>
    <t>INDEX + MATCH  --  The most flexible lookup combination in Excel</t>
  </si>
  <si>
    <t>INDEX MATCH overcomes all VLOOKUP limitations:  (1) Can look LEFT  (2) Not affected by inserting/deleting columns  (3) Supports two-way lookup  (4) Faster on large datasets.  Pattern:  =INDEX(return_range, MATCH(lookup_value, lookup_range, 0))</t>
  </si>
  <si>
    <t>Name (INDEX MATCH)</t>
  </si>
  <si>
    <t>Dept (lookup left)</t>
  </si>
  <si>
    <t>Two-Way Lookup</t>
  </si>
  <si>
    <t>INDEX MATCH vs VLOOKUP -- Head to Head Comparison</t>
  </si>
  <si>
    <t>Feature</t>
  </si>
  <si>
    <t>VLOOKUP</t>
  </si>
  <si>
    <t>INDEX MATCH</t>
  </si>
  <si>
    <t>Look direction</t>
  </si>
  <si>
    <t>Right only</t>
  </si>
  <si>
    <t>Any direction (left, right, up, down)</t>
  </si>
  <si>
    <t>Column reference</t>
  </si>
  <si>
    <t>Hard-coded number (col 3, col 5)</t>
  </si>
  <si>
    <t>Uses column name via MATCH -- dynamic</t>
  </si>
  <si>
    <t>Insert/Delete col</t>
  </si>
  <si>
    <t>Breaks if columns shift</t>
  </si>
  <si>
    <t>Unaffected because uses range references</t>
  </si>
  <si>
    <t>Two-way lookup</t>
  </si>
  <si>
    <t>Not natively supported</t>
  </si>
  <si>
    <t>Fully supported with nested MATCH calls</t>
  </si>
  <si>
    <t>Slower on very large datasets</t>
  </si>
  <si>
    <t>Faster because MATCH can use binary search</t>
  </si>
  <si>
    <t>Ease of use</t>
  </si>
  <si>
    <t>Simpler to write and read</t>
  </si>
  <si>
    <t>More verbose but far more powerful</t>
  </si>
  <si>
    <t>XLOOKUP  --  Syntax: =XLOOKUP(lookup_value, lookup_array, return_array, [not_found], [match_mode], [search_mode])</t>
  </si>
  <si>
    <t>XLOOKUP (Excel 365/2021+) replaces both VLOOKUP and HLOOKUP.  NOTE: This sheet shows the XLOOKUP equivalent written as INDEX MATCH so it works in all Excel versions.  In Excel 365, replace INDEX(range,MATCH(...)) with XLOOKUP(id,id_col,return_col,"Not Found").</t>
  </si>
  <si>
    <t>Name (XLOOKUP)</t>
  </si>
  <si>
    <t>Status + Error Handling</t>
  </si>
  <si>
    <t>XLOOKUP Parameters Reference</t>
  </si>
  <si>
    <t>Parameter</t>
  </si>
  <si>
    <t>Position</t>
  </si>
  <si>
    <t>Details</t>
  </si>
  <si>
    <t>[not_found]</t>
  </si>
  <si>
    <t>4th arg</t>
  </si>
  <si>
    <t>Text to return when no match found.  E.g. "Not Found".  Replaces need for IFERROR.</t>
  </si>
  <si>
    <t>[match_mode]</t>
  </si>
  <si>
    <t>5th arg</t>
  </si>
  <si>
    <t>0=Exact (default)  1=Next larger  -1=Next smaller  2=Wildcard match</t>
  </si>
  <si>
    <t>[search_mode]</t>
  </si>
  <si>
    <t>6th arg</t>
  </si>
  <si>
    <t>1=First to last (default)  -1=Last to first  2=Binary asc  -2=Binary desc</t>
  </si>
  <si>
    <t>LOOKUP  --  Legacy function.  Vector form: =LOOKUP(lookup_value, lookup_vector, result_vector)</t>
  </si>
  <si>
    <t>LOOKUP is an older function that works on sorted data using binary search.  If no exact match is found it returns the next smaller value (like MATCH with type 1).  The lookup vector MUST be sorted in ascending order.  Prefer XLOOKUP or INDEX MATCH for new work; LOOKUP is included here for legacy file understanding.</t>
  </si>
  <si>
    <t>Salary Bracket Table  (must be sorted ascending for LOOKUP)</t>
  </si>
  <si>
    <t>Min Salary</t>
  </si>
  <si>
    <t>Band Label</t>
  </si>
  <si>
    <t>---</t>
  </si>
  <si>
    <t>Entry Level</t>
  </si>
  <si>
    <t>Junior</t>
  </si>
  <si>
    <t>Mid Level</t>
  </si>
  <si>
    <t>Senior</t>
  </si>
  <si>
    <t>Principal</t>
  </si>
  <si>
    <t>Executive</t>
  </si>
  <si>
    <t>LOOKUP Demo -- Classify employees by salary band</t>
  </si>
  <si>
    <t>LOOKUP Band</t>
  </si>
  <si>
    <t>IFERROR + LOOKUP</t>
  </si>
  <si>
    <t>Practice Exercises  --  Type your formula in the yellow cells</t>
  </si>
  <si>
    <t>All formulas should reference 'Employee Dataset' sheet.  The dataset columns are:  A=Emp ID  B=Name  C=Dept  D=Age  E=Salary  F=Yrs Exp  G=Performance  H=Region  I=Gender  J=Bonus%  K=Projects  L=Active  (rows 4 to 28)</t>
  </si>
  <si>
    <t xml:space="preserve">  VLOOKUP Functions</t>
  </si>
  <si>
    <t>Q1</t>
  </si>
  <si>
    <t>Use VLOOKUP to find the Salary of employee E007</t>
  </si>
  <si>
    <t>=VLOOKUP('Employee Dataset'!A10,'Employee Dataset'!A3:L28,5)</t>
  </si>
  <si>
    <t>Easy</t>
  </si>
  <si>
    <t>Q2</t>
  </si>
  <si>
    <t>Use VLOOKUP to find the Department of employee E015</t>
  </si>
  <si>
    <t>=VLOOKUP('Employee Dataset'!A18,'Employee Dataset'!A3:L28,3)</t>
  </si>
  <si>
    <t>Q3</t>
  </si>
  <si>
    <t>Use VLOOKUP to find the Active status of E006 -- wrap in IFERROR to show 'Not Found' if missing</t>
  </si>
  <si>
    <t>=IFERROR(VLOOKUP('Employee Dataset'!A9,'Employee Dataset'!A3:L28,12),"Not Found")</t>
  </si>
  <si>
    <t>Medium</t>
  </si>
  <si>
    <t xml:space="preserve">  HLOOKUP Functions</t>
  </si>
  <si>
    <t>Q4</t>
  </si>
  <si>
    <t>Build a 1-row header: put HR, IT, Finance, Marketing in cells B1:E1.  Then use HLOOKUP to find which column contains IT</t>
  </si>
  <si>
    <t>=HLOOKUP("IT",E9:H9,1,FALSE)</t>
  </si>
  <si>
    <t xml:space="preserve">  INDEX Functions</t>
  </si>
  <si>
    <t>Q5</t>
  </si>
  <si>
    <t>Use INDEX to return the value in row 5, column 2 of the Employee Dataset (A4:L28)</t>
  </si>
  <si>
    <t>=INDEX(INDEX!E3:E28,3)</t>
  </si>
  <si>
    <t>Q6</t>
  </si>
  <si>
    <t>Use INDEX to return the Salary (column 5) of the 10th employee in the dataset</t>
  </si>
  <si>
    <t>=INDEX('Employee Dataset'!E3:E28,11,)</t>
  </si>
  <si>
    <t xml:space="preserve">  MATCH Functions</t>
  </si>
  <si>
    <t>Q7</t>
  </si>
  <si>
    <t>Use MATCH to find the row position of employee E012 in the Emp ID column</t>
  </si>
  <si>
    <t>=MATCH('Employee Dataset'!A15,'Employee Dataset'!A3:A28,0)</t>
  </si>
  <si>
    <t>Q8</t>
  </si>
  <si>
    <t>Use MATCH to find the row position of 'Noah Thomas' in the Name column</t>
  </si>
  <si>
    <t>=MATCH('Employee Dataset'!B17,'Employee Dataset'!B3:B28,0)</t>
  </si>
  <si>
    <t xml:space="preserve">  INDEX MATCH Functions</t>
  </si>
  <si>
    <t>Q9</t>
  </si>
  <si>
    <t>Use INDEX MATCH to find the Salary of employee E018 (look up by Emp ID)</t>
  </si>
  <si>
    <t>=INDEX('Employee Dataset'!A3:L28,MATCH('Employee Dataset'!A21,'Employee Dataset'!A3:A28,0),MATCH('Employee Dataset'!E3,'Employee Dataset'!A3:L3,0))</t>
  </si>
  <si>
    <t>Q10</t>
  </si>
  <si>
    <t>Use INDEX MATCH to find the Region of 'Grace Kim' (look up by Name -- note: Name col is B, Region col is H)</t>
  </si>
  <si>
    <t>=INDEX('Employee Dataset'!A3:L28,MATCH('Employee Dataset'!B10,'Employee Dataset'!B3:B28,0),MATCH('Employee Dataset'!H3,'Employee Dataset'!A3:L3,0))</t>
  </si>
  <si>
    <t>Q11</t>
  </si>
  <si>
    <t>Reverse lookup: you know the name 'Ryan Walker' -- find his Emp ID using INDEX MATCH</t>
  </si>
  <si>
    <t>=INDEX('Employee Dataset'!A3:L28,MATCH('Employee Dataset'!B21,'Employee Dataset'!B3:B28,0),MATCH('Employee Dataset'!A3,'Employee Dataset'!A3:L3,0))</t>
  </si>
  <si>
    <t xml:space="preserve">  XLOOKUP Functions</t>
  </si>
  <si>
    <t>Q12</t>
  </si>
  <si>
    <t>Use XLOOKUP to find the Bonus Pct (col J) of employee E003 -- show 'Not Found' if missing</t>
  </si>
  <si>
    <t>=IFERROR(XLOOKUP('Employee Dataset'!A6,'Employee Dataset'!A3:A28,'Employee Dataset'!J3:J28,,0),"Not Found")</t>
  </si>
  <si>
    <t>Q13</t>
  </si>
  <si>
    <t>Use XLOOKUP to find the Projects Done (col K) for employee E022</t>
  </si>
  <si>
    <t>=XLOOKUP('Employee Dataset'!A25,'Employee Dataset'!A3:A28,'Employee Dataset'!K3:K28,0)</t>
  </si>
  <si>
    <t xml:space="preserve">  Advanced Functions</t>
  </si>
  <si>
    <t>Q14</t>
  </si>
  <si>
    <t>Two-way lookup: Build a dept x metric table and return the Avg Salary for IT using INDEX MATCH MATCH</t>
  </si>
  <si>
    <t>=INDEX('Employee Dataset'!A3:L28,MATCH()</t>
  </si>
  <si>
    <t>Hard</t>
  </si>
  <si>
    <t>Q15</t>
  </si>
  <si>
    <t>Multi-criteria: Find the Name of the first employee who is in Finance AND has Excellent performance</t>
  </si>
  <si>
    <t>Type your formula here</t>
  </si>
  <si>
    <t>Lookup Functions  --  Quick Reference Card</t>
  </si>
  <si>
    <t>Use this sheet as a cheat sheet.  Green rows = modern recommended functions.  Orange rows = useful but limited.  Red rows = legacy / avoid for new work.</t>
  </si>
  <si>
    <t>Function</t>
  </si>
  <si>
    <t>Syntax</t>
  </si>
  <si>
    <t>Purpose</t>
  </si>
  <si>
    <t>Version</t>
  </si>
  <si>
    <t>Best For</t>
  </si>
  <si>
    <t>Limitation</t>
  </si>
  <si>
    <t>'=VLOOKUP(lookup_value, table_array, col_index, [range_lookup])</t>
  </si>
  <si>
    <t>Search first column, return value from specified column to the right</t>
  </si>
  <si>
    <t>Excel 97+</t>
  </si>
  <si>
    <t>Quick column lookups when table structure is fixed</t>
  </si>
  <si>
    <t>Only looks right; breaks when columns are inserted/deleted</t>
  </si>
  <si>
    <t>HLOOKUP</t>
  </si>
  <si>
    <t>'=HLOOKUP(lookup_value, table_array, row_index, [range_lookup])</t>
  </si>
  <si>
    <t>Search first row, return value from specified row below</t>
  </si>
  <si>
    <t>Horizontal/wide tables where data is in rows</t>
  </si>
  <si>
    <t>Only looks down; rarely used in modern work</t>
  </si>
  <si>
    <t>INDEX</t>
  </si>
  <si>
    <t>'=INDEX(array, row_num, [col_num])</t>
  </si>
  <si>
    <t>Return value at given row and column position in a range</t>
  </si>
  <si>
    <t>Building block for advanced lookups; rarely used alone</t>
  </si>
  <si>
    <t>Requires row/col number; combine with MATCH for power</t>
  </si>
  <si>
    <t>MATCH</t>
  </si>
  <si>
    <t>'=MATCH(lookup_value, lookup_array, [match_type])</t>
  </si>
  <si>
    <t>Return the position (number) of a value within a range</t>
  </si>
  <si>
    <t>Finding row/column positions; always combined with INDEX</t>
  </si>
  <si>
    <t>Returns position, not value; use INDEX to get the value</t>
  </si>
  <si>
    <t>INDEX + MATCH</t>
  </si>
  <si>
    <t>'=INDEX(return_range, MATCH(lookup_value, lookup_range, 0))</t>
  </si>
  <si>
    <t>Flexible two-step lookup: find position with MATCH then retrieve value with INDEX</t>
  </si>
  <si>
    <t>All scenarios; replaces VLOOKUP entirely; left lookups; two-way lookups</t>
  </si>
  <si>
    <t>More verbose to write; harder to read for beginners</t>
  </si>
  <si>
    <t>XLOOKUP</t>
  </si>
  <si>
    <t>'=xlookup(lookup_value, lookup_array, return_array, [not_found], [match_mode], [search_mode])</t>
  </si>
  <si>
    <t>Modern all-in-one lookup replacing VLOOKUP and HLOOKUP</t>
  </si>
  <si>
    <t>Excel 365 / 2021+</t>
  </si>
  <si>
    <t>All lookup scenarios in modern Excel; cleanest syntax</t>
  </si>
  <si>
    <t>Not available in Excel 2019 or earlier</t>
  </si>
  <si>
    <t>LOOKUP</t>
  </si>
  <si>
    <t>'=LOOKUP(lookup_value, lookup_vector, result_vector)</t>
  </si>
  <si>
    <t>Find value in sorted range and return corresponding value</t>
  </si>
  <si>
    <t>Understanding legacy workbooks only</t>
  </si>
  <si>
    <t>Requires sorted data; unpredictable if not sorted; superseded</t>
  </si>
  <si>
    <t>MATCH (type 1)</t>
  </si>
  <si>
    <t>'=MATCH(lookup_value, sorted_range, 1)</t>
  </si>
  <si>
    <t>Find largest value less than or equal to lookup in ascending sorted range</t>
  </si>
  <si>
    <t>Grade/bracket tables; tax bands; salary ranges</t>
  </si>
  <si>
    <t>Data MUST be sorted ascending; returns wrong result if not</t>
  </si>
  <si>
    <t>INDEX MATCH MATCH</t>
  </si>
  <si>
    <t>'=INDEX(data, MATCH(row_val, row_headers, 0), MATCH(col_val, col_headers, 0))</t>
  </si>
  <si>
    <t>Two-way lookup matching both a row and a column header</t>
  </si>
  <si>
    <t>Pivot-style lookups; finding intersection of row and column</t>
  </si>
  <si>
    <t>Requires well-structured table with clear row and column headers</t>
  </si>
  <si>
    <t>Multi-Criteria INDEX MATCH</t>
  </si>
  <si>
    <t>'=INDEX(return, MATCH(1,(range1=VAL1)*(range2=VAL2),0))</t>
  </si>
  <si>
    <t>Lookup matching two or more conditions simultaneously</t>
  </si>
  <si>
    <t>When no single unique key exists; filter by dept AND performance etc.</t>
  </si>
  <si>
    <t>Returns only first match; array formula in older Excel (Ctrl+Shift+Enter)</t>
  </si>
  <si>
    <t>Colour Legend</t>
  </si>
  <si>
    <t>Green  -- Modern, recommended, use these for new work</t>
  </si>
  <si>
    <t>Orange -- Useful but limited; understand constraints before using</t>
  </si>
  <si>
    <t>Red    -- Legacy; included for understanding old files; avoid in new work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</si>
</sst>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4">
    <font>
      <sz val="11"/>
      <color theme="1"/>
      <name val="Calibri"/>
      <charset val="1"/>
    </font>
    <font>
      <b/>
      <sz val="14"/>
      <color rgb="FFFFFFFF"/>
      <name val="Arial"/>
      <charset val="1"/>
    </font>
    <font>
      <i/>
      <sz val="9"/>
      <color rgb="FF1A5276"/>
      <name val="Arial"/>
      <charset val="1"/>
    </font>
    <font>
      <b/>
      <sz val="10"/>
      <color rgb="FFFFFFFF"/>
      <name val="Arial"/>
      <charset val="1"/>
    </font>
    <font>
      <b/>
      <sz val="9"/>
      <color rgb="FF000000"/>
      <name val="Arial"/>
      <charset val="1"/>
    </font>
    <font>
      <i/>
      <sz val="8"/>
      <color rgb="FF000000"/>
      <name val="Arial"/>
      <charset val="1"/>
    </font>
    <font>
      <sz val="9"/>
      <color rgb="FF000000"/>
      <name val="Arial"/>
      <charset val="1"/>
    </font>
    <font>
      <i/>
      <sz val="9"/>
      <color rgb="FF000000"/>
      <name val="Arial"/>
      <charset val="1"/>
    </font>
    <font>
      <b/>
      <sz val="12"/>
      <color rgb="FFFFFFFF"/>
      <name val="Arial"/>
      <charset val="1"/>
    </font>
    <font>
      <sz val="10"/>
      <color rgb="FF000000"/>
      <name val="Arial"/>
      <charset val="1"/>
    </font>
    <font>
      <b/>
      <sz val="10"/>
      <color rgb="FF000000"/>
      <name val="Arial"/>
      <charset val="1"/>
    </font>
    <font>
      <sz val="10"/>
      <name val="Arial"/>
      <charset val="1"/>
    </font>
    <font>
      <i/>
      <sz val="10"/>
      <color rgb="FF7D6608"/>
      <name val="Arial"/>
      <charset val="1"/>
    </font>
    <font>
      <b/>
      <sz val="9"/>
      <color rgb="FFFFFFFF"/>
      <name val="Arial"/>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7">
    <fill>
      <patternFill patternType="none"/>
    </fill>
    <fill>
      <patternFill patternType="gray125"/>
    </fill>
    <fill>
      <patternFill patternType="solid">
        <fgColor rgb="FF1F3864"/>
        <bgColor rgb="FF1A5276"/>
      </patternFill>
    </fill>
    <fill>
      <patternFill patternType="solid">
        <fgColor rgb="FFD6E4F0"/>
        <bgColor rgb="FFD6EAF8"/>
      </patternFill>
    </fill>
    <fill>
      <patternFill patternType="solid">
        <fgColor rgb="FFFDEBD0"/>
        <bgColor rgb="FFFADBD8"/>
      </patternFill>
    </fill>
    <fill>
      <patternFill patternType="solid">
        <fgColor rgb="FFFAD7A0"/>
        <bgColor rgb="FFF9E79F"/>
      </patternFill>
    </fill>
    <fill>
      <patternFill patternType="solid">
        <fgColor rgb="FFD5F5E3"/>
        <bgColor rgb="FFD1F2EB"/>
      </patternFill>
    </fill>
    <fill>
      <patternFill patternType="solid">
        <fgColor rgb="FFC8F0D8"/>
        <bgColor rgb="FFD1F2EB"/>
      </patternFill>
    </fill>
    <fill>
      <patternFill patternType="solid">
        <fgColor rgb="FFFADBD8"/>
        <bgColor rgb="FFE8DAEF"/>
      </patternFill>
    </fill>
    <fill>
      <patternFill patternType="solid">
        <fgColor rgb="FF2E75B6"/>
        <bgColor rgb="FF0066CC"/>
      </patternFill>
    </fill>
    <fill>
      <patternFill patternType="solid">
        <fgColor rgb="FF1E8449"/>
        <bgColor rgb="FF117A65"/>
      </patternFill>
    </fill>
    <fill>
      <patternFill patternType="solid">
        <fgColor rgb="FFF2F3F4"/>
        <bgColor rgb="FFFAFAFA"/>
      </patternFill>
    </fill>
    <fill>
      <patternFill patternType="solid">
        <fgColor rgb="FFF9E79F"/>
        <bgColor rgb="FFFAD7A0"/>
      </patternFill>
    </fill>
    <fill>
      <patternFill patternType="solid">
        <fgColor rgb="FFCA6F1E"/>
        <bgColor rgb="FF7D6608"/>
      </patternFill>
    </fill>
    <fill>
      <patternFill patternType="solid">
        <fgColor rgb="FF922B21"/>
        <bgColor rgb="FF784212"/>
      </patternFill>
    </fill>
    <fill>
      <patternFill patternType="solid">
        <fgColor rgb="FF784212"/>
        <bgColor rgb="FF922B21"/>
      </patternFill>
    </fill>
    <fill>
      <patternFill patternType="solid">
        <fgColor rgb="FFFFFFFF"/>
        <bgColor rgb="FFFAFAFA"/>
      </patternFill>
    </fill>
    <fill>
      <patternFill patternType="solid">
        <fgColor rgb="FFD6EAF8"/>
        <bgColor rgb="FFD6E4F0"/>
      </patternFill>
    </fill>
    <fill>
      <patternFill patternType="solid">
        <fgColor rgb="FFD1F2EB"/>
        <bgColor rgb="FFD5F5E3"/>
      </patternFill>
    </fill>
    <fill>
      <patternFill patternType="solid">
        <fgColor rgb="FF117A65"/>
        <bgColor rgb="FF1E8449"/>
      </patternFill>
    </fill>
    <fill>
      <patternFill patternType="solid">
        <fgColor rgb="FFA2D9CE"/>
        <bgColor rgb="FFA9DFBF"/>
      </patternFill>
    </fill>
    <fill>
      <patternFill patternType="solid">
        <fgColor rgb="FFE8DAEF"/>
        <bgColor rgb="FFEAD7F7"/>
      </patternFill>
    </fill>
    <fill>
      <patternFill patternType="solid">
        <fgColor rgb="FF6C3483"/>
        <bgColor rgb="FF4A4A4A"/>
      </patternFill>
    </fill>
    <fill>
      <patternFill patternType="solid">
        <fgColor rgb="FFD2B4DE"/>
        <bgColor rgb="FFBFBFBF"/>
      </patternFill>
    </fill>
    <fill>
      <patternFill patternType="solid">
        <fgColor rgb="FFEAD7F7"/>
        <bgColor rgb="FFE8DAEF"/>
      </patternFill>
    </fill>
    <fill>
      <patternFill patternType="solid">
        <fgColor rgb="FFA9DFBF"/>
        <bgColor rgb="FFA2D9CE"/>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rgb="FF2E75B6"/>
      </left>
      <right style="thin">
        <color rgb="FFBFBFBF"/>
      </right>
      <top style="medium">
        <color rgb="FF2E75B6"/>
      </top>
      <bottom style="medium">
        <color rgb="FF2E75B6"/>
      </bottom>
      <diagonal/>
    </border>
    <border>
      <left style="thin">
        <color rgb="FFBFBFBF"/>
      </left>
      <right style="thin">
        <color rgb="FFBFBFBF"/>
      </right>
      <top style="thin">
        <color rgb="FFBFBFBF"/>
      </top>
      <bottom style="thin">
        <color rgb="FFBFBFBF"/>
      </bottom>
      <diagonal/>
    </border>
    <border>
      <left style="medium">
        <color rgb="FF7F8C8D"/>
      </left>
      <right style="medium">
        <color rgb="FF7F8C8D"/>
      </right>
      <top style="medium">
        <color rgb="FF7F8C8D"/>
      </top>
      <bottom style="medium">
        <color rgb="FF7F8C8D"/>
      </bottom>
      <diagonal/>
    </border>
    <border>
      <left style="medium">
        <color rgb="FFCA6F1E"/>
      </left>
      <right style="medium">
        <color rgb="FFCA6F1E"/>
      </right>
      <top style="medium">
        <color rgb="FFCA6F1E"/>
      </top>
      <bottom style="medium">
        <color rgb="FFCA6F1E"/>
      </bottom>
      <diagonal/>
    </border>
    <border>
      <left style="medium">
        <color rgb="FF7F8C8D"/>
      </left>
      <right/>
      <top style="medium">
        <color rgb="FF7F8C8D"/>
      </top>
      <bottom style="medium">
        <color rgb="FF7F8C8D"/>
      </bottom>
      <diagonal/>
    </border>
    <border>
      <left style="thin">
        <color auto="1"/>
      </left>
      <right style="thin">
        <color auto="1"/>
      </right>
      <top style="thin">
        <color auto="1"/>
      </top>
      <bottom style="thin">
        <color auto="1"/>
      </bottom>
      <diagonal/>
    </border>
    <border>
      <left style="medium">
        <color rgb="FF7F8C8D"/>
      </left>
      <right style="thin">
        <color rgb="FFBFBFBF"/>
      </right>
      <top style="medium">
        <color rgb="FF7F8C8D"/>
      </top>
      <bottom style="medium">
        <color rgb="FF7F8C8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27"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0" applyNumberFormat="0" applyFill="0" applyBorder="0" applyAlignment="0" applyProtection="0">
      <alignment vertical="center"/>
    </xf>
    <xf numFmtId="0" fontId="23" fillId="28" borderId="11" applyNumberFormat="0" applyAlignment="0" applyProtection="0">
      <alignment vertical="center"/>
    </xf>
    <xf numFmtId="0" fontId="24" fillId="29" borderId="12" applyNumberFormat="0" applyAlignment="0" applyProtection="0">
      <alignment vertical="center"/>
    </xf>
    <xf numFmtId="0" fontId="25" fillId="29" borderId="11" applyNumberFormat="0" applyAlignment="0" applyProtection="0">
      <alignment vertical="center"/>
    </xf>
    <xf numFmtId="0" fontId="26" fillId="30" borderId="13" applyNumberFormat="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26"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3" fillId="42" borderId="0" applyNumberFormat="0" applyBorder="0" applyAlignment="0" applyProtection="0">
      <alignment vertical="center"/>
    </xf>
    <xf numFmtId="0" fontId="33" fillId="43" borderId="0" applyNumberFormat="0" applyBorder="0" applyAlignment="0" applyProtection="0">
      <alignment vertical="center"/>
    </xf>
    <xf numFmtId="0" fontId="32" fillId="44" borderId="0" applyNumberFormat="0" applyBorder="0" applyAlignment="0" applyProtection="0">
      <alignment vertical="center"/>
    </xf>
    <xf numFmtId="0" fontId="32" fillId="45" borderId="0" applyNumberFormat="0" applyBorder="0" applyAlignment="0" applyProtection="0">
      <alignment vertical="center"/>
    </xf>
    <xf numFmtId="0" fontId="33" fillId="46" borderId="0" applyNumberFormat="0" applyBorder="0" applyAlignment="0" applyProtection="0">
      <alignment vertical="center"/>
    </xf>
    <xf numFmtId="0" fontId="33" fillId="47" borderId="0" applyNumberFormat="0" applyBorder="0" applyAlignment="0" applyProtection="0">
      <alignment vertical="center"/>
    </xf>
    <xf numFmtId="0" fontId="32" fillId="48" borderId="0" applyNumberFormat="0" applyBorder="0" applyAlignment="0" applyProtection="0">
      <alignment vertical="center"/>
    </xf>
    <xf numFmtId="0" fontId="32" fillId="49" borderId="0" applyNumberFormat="0" applyBorder="0" applyAlignment="0" applyProtection="0">
      <alignment vertical="center"/>
    </xf>
    <xf numFmtId="0" fontId="33" fillId="50" borderId="0" applyNumberFormat="0" applyBorder="0" applyAlignment="0" applyProtection="0">
      <alignment vertical="center"/>
    </xf>
    <xf numFmtId="0" fontId="33" fillId="51" borderId="0" applyNumberFormat="0" applyBorder="0" applyAlignment="0" applyProtection="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3" fillId="54" borderId="0" applyNumberFormat="0" applyBorder="0" applyAlignment="0" applyProtection="0">
      <alignment vertical="center"/>
    </xf>
    <xf numFmtId="0" fontId="33" fillId="55" borderId="0" applyNumberFormat="0" applyBorder="0" applyAlignment="0" applyProtection="0">
      <alignment vertical="center"/>
    </xf>
    <xf numFmtId="0" fontId="32" fillId="56" borderId="0" applyNumberFormat="0" applyBorder="0" applyAlignment="0" applyProtection="0">
      <alignment vertical="center"/>
    </xf>
  </cellStyleXfs>
  <cellXfs count="108">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7" fillId="7"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6"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8" fillId="2" borderId="1" xfId="0" applyFont="1" applyFill="1" applyBorder="1" applyAlignment="1">
      <alignment horizontal="left" vertical="center"/>
    </xf>
    <xf numFmtId="0" fontId="9" fillId="6" borderId="2" xfId="0" applyFont="1" applyFill="1" applyBorder="1" applyAlignment="1">
      <alignment horizontal="center" vertical="center" wrapText="1"/>
    </xf>
    <xf numFmtId="0" fontId="10" fillId="6"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0" fontId="8" fillId="9" borderId="3" xfId="0" applyFont="1" applyFill="1" applyBorder="1" applyAlignment="1">
      <alignment horizontal="left" vertical="center"/>
    </xf>
    <xf numFmtId="0" fontId="3" fillId="10" borderId="3" xfId="0" applyFont="1" applyFill="1" applyBorder="1" applyAlignment="1">
      <alignment horizontal="center" vertical="center"/>
    </xf>
    <xf numFmtId="0" fontId="11" fillId="11" borderId="2"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13" fillId="10" borderId="3" xfId="0" applyFont="1" applyFill="1" applyBorder="1" applyAlignment="1">
      <alignment horizontal="center" vertical="center"/>
    </xf>
    <xf numFmtId="0" fontId="3" fillId="13" borderId="3" xfId="0" applyFont="1" applyFill="1" applyBorder="1" applyAlignment="1">
      <alignment horizontal="center" vertical="center"/>
    </xf>
    <xf numFmtId="0" fontId="13" fillId="13" borderId="3" xfId="0" applyFont="1" applyFill="1" applyBorder="1" applyAlignment="1">
      <alignment horizontal="center" vertical="center"/>
    </xf>
    <xf numFmtId="0" fontId="13" fillId="13" borderId="5" xfId="0" applyFont="1" applyFill="1" applyBorder="1" applyAlignment="1">
      <alignment horizontal="center" vertical="center"/>
    </xf>
    <xf numFmtId="0" fontId="0" fillId="0" borderId="6" xfId="0" applyBorder="1"/>
    <xf numFmtId="0" fontId="8" fillId="9" borderId="5" xfId="0" applyFont="1" applyFill="1" applyBorder="1" applyAlignment="1">
      <alignment horizontal="left" vertical="center"/>
    </xf>
    <xf numFmtId="0" fontId="3" fillId="14" borderId="3" xfId="0" applyFont="1" applyFill="1" applyBorder="1" applyAlignment="1">
      <alignment horizontal="center" vertical="center"/>
    </xf>
    <xf numFmtId="0" fontId="13" fillId="14" borderId="3" xfId="0" applyFont="1" applyFill="1" applyBorder="1" applyAlignment="1">
      <alignment horizontal="center" vertical="center"/>
    </xf>
    <xf numFmtId="0" fontId="8" fillId="15" borderId="1" xfId="0" applyFont="1" applyFill="1" applyBorder="1" applyAlignment="1">
      <alignment horizontal="left" vertical="center"/>
    </xf>
    <xf numFmtId="0" fontId="3" fillId="15"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9" fillId="11" borderId="2" xfId="0" applyFont="1" applyFill="1" applyBorder="1" applyAlignment="1">
      <alignment horizontal="left" vertical="center" wrapText="1"/>
    </xf>
    <xf numFmtId="0" fontId="9" fillId="16" borderId="2" xfId="0" applyFont="1" applyFill="1" applyBorder="1" applyAlignment="1">
      <alignment horizontal="center" vertical="center" wrapText="1"/>
    </xf>
    <xf numFmtId="0" fontId="9" fillId="16"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9" fillId="11" borderId="2" xfId="0" applyFont="1" applyFill="1" applyBorder="1" applyAlignment="1">
      <alignment horizontal="center" vertical="center" wrapText="1"/>
    </xf>
    <xf numFmtId="0" fontId="9" fillId="17" borderId="2" xfId="0" applyFont="1" applyFill="1" applyBorder="1" applyAlignment="1">
      <alignment horizontal="left" vertical="center" wrapText="1"/>
    </xf>
    <xf numFmtId="0" fontId="6" fillId="17" borderId="2" xfId="0" applyFont="1" applyFill="1" applyBorder="1" applyAlignment="1">
      <alignment horizontal="left" vertical="center" wrapText="1"/>
    </xf>
    <xf numFmtId="0" fontId="2" fillId="18" borderId="2" xfId="0" applyFont="1" applyFill="1" applyBorder="1" applyAlignment="1">
      <alignment horizontal="left" vertical="center" wrapText="1"/>
    </xf>
    <xf numFmtId="0" fontId="3" fillId="19" borderId="3" xfId="0" applyFont="1" applyFill="1" applyBorder="1" applyAlignment="1">
      <alignment horizontal="center" vertical="center" wrapText="1"/>
    </xf>
    <xf numFmtId="0" fontId="9" fillId="18" borderId="2" xfId="0" applyFont="1" applyFill="1" applyBorder="1" applyAlignment="1">
      <alignment horizontal="left" vertical="center" wrapText="1"/>
    </xf>
    <xf numFmtId="0" fontId="9" fillId="18" borderId="2" xfId="0" applyFont="1" applyFill="1" applyBorder="1" applyAlignment="1">
      <alignment horizontal="center" vertical="center" wrapText="1"/>
    </xf>
    <xf numFmtId="0" fontId="9" fillId="20" borderId="2" xfId="0" applyFont="1" applyFill="1" applyBorder="1" applyAlignment="1">
      <alignment horizontal="left" vertical="center" wrapText="1"/>
    </xf>
    <xf numFmtId="0" fontId="9" fillId="20" borderId="2" xfId="0" applyFont="1" applyFill="1" applyBorder="1" applyAlignment="1">
      <alignment horizontal="center" vertical="center" wrapText="1"/>
    </xf>
    <xf numFmtId="0" fontId="8" fillId="19" borderId="1" xfId="0" applyFont="1" applyFill="1" applyBorder="1" applyAlignment="1">
      <alignment horizontal="left" vertical="center"/>
    </xf>
    <xf numFmtId="0" fontId="3" fillId="19" borderId="7" xfId="0" applyFont="1" applyFill="1" applyBorder="1" applyAlignment="1">
      <alignment horizontal="center" vertical="center" wrapText="1"/>
    </xf>
    <xf numFmtId="0" fontId="4" fillId="18" borderId="2" xfId="0" applyFont="1" applyFill="1" applyBorder="1" applyAlignment="1">
      <alignment horizontal="left" vertical="center" wrapText="1"/>
    </xf>
    <xf numFmtId="0" fontId="6" fillId="18" borderId="2" xfId="0" applyFont="1" applyFill="1" applyBorder="1" applyAlignment="1">
      <alignment horizontal="center" vertical="center" wrapText="1"/>
    </xf>
    <xf numFmtId="0" fontId="6" fillId="11" borderId="2" xfId="0" applyFont="1" applyFill="1" applyBorder="1" applyAlignment="1">
      <alignment horizontal="left" vertical="center" wrapText="1"/>
    </xf>
    <xf numFmtId="0" fontId="4" fillId="20" borderId="2" xfId="0" applyFont="1" applyFill="1" applyBorder="1" applyAlignment="1">
      <alignment horizontal="left" vertical="center" wrapText="1"/>
    </xf>
    <xf numFmtId="0" fontId="6" fillId="20" borderId="2" xfId="0" applyFont="1" applyFill="1" applyBorder="1" applyAlignment="1">
      <alignment horizontal="center" vertical="center" wrapText="1"/>
    </xf>
    <xf numFmtId="0" fontId="2" fillId="21" borderId="2" xfId="0" applyFont="1" applyFill="1" applyBorder="1" applyAlignment="1">
      <alignment horizontal="left" vertical="center" wrapText="1"/>
    </xf>
    <xf numFmtId="0" fontId="3" fillId="22" borderId="3" xfId="0" applyFont="1" applyFill="1" applyBorder="1" applyAlignment="1">
      <alignment horizontal="center" vertical="center" wrapText="1"/>
    </xf>
    <xf numFmtId="0" fontId="9" fillId="21" borderId="2" xfId="0" applyFont="1" applyFill="1" applyBorder="1" applyAlignment="1">
      <alignment horizontal="left" vertical="center" wrapText="1"/>
    </xf>
    <xf numFmtId="0" fontId="9" fillId="21" borderId="2" xfId="0"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2" xfId="0" applyFont="1" applyFill="1" applyBorder="1" applyAlignment="1">
      <alignment horizontal="center" vertical="center" wrapText="1"/>
    </xf>
    <xf numFmtId="0" fontId="8" fillId="22" borderId="1" xfId="0" applyFont="1" applyFill="1" applyBorder="1" applyAlignment="1">
      <alignment horizontal="left" vertical="center"/>
    </xf>
    <xf numFmtId="0" fontId="13" fillId="22" borderId="2" xfId="0" applyFont="1" applyFill="1" applyBorder="1" applyAlignment="1">
      <alignment horizontal="left" vertical="center" wrapText="1"/>
    </xf>
    <xf numFmtId="0" fontId="13" fillId="14"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6" fillId="24" borderId="2" xfId="0" applyFont="1" applyFill="1" applyBorder="1" applyAlignment="1">
      <alignment horizontal="left" vertical="center" wrapText="1"/>
    </xf>
    <xf numFmtId="0" fontId="6" fillId="21" borderId="2" xfId="0" applyFont="1" applyFill="1" applyBorder="1" applyAlignment="1">
      <alignment horizontal="left" vertical="center" wrapText="1"/>
    </xf>
    <xf numFmtId="0" fontId="2" fillId="6" borderId="2" xfId="0" applyFont="1" applyFill="1" applyBorder="1" applyAlignment="1">
      <alignment horizontal="left" vertical="center" wrapText="1"/>
    </xf>
    <xf numFmtId="0" fontId="3" fillId="10" borderId="3" xfId="0" applyFont="1" applyFill="1" applyBorder="1" applyAlignment="1">
      <alignment horizontal="center" vertical="center" wrapText="1"/>
    </xf>
    <xf numFmtId="0" fontId="9" fillId="25" borderId="2" xfId="0" applyFont="1" applyFill="1" applyBorder="1" applyAlignment="1">
      <alignment horizontal="center" vertical="center" wrapText="1"/>
    </xf>
    <xf numFmtId="0" fontId="8" fillId="10" borderId="1" xfId="0" applyFont="1" applyFill="1" applyBorder="1" applyAlignment="1">
      <alignment horizontal="left" vertical="center"/>
    </xf>
    <xf numFmtId="0" fontId="3" fillId="10" borderId="7"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3" fillId="13" borderId="3"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8" fillId="13" borderId="1" xfId="0" applyFont="1" applyFill="1" applyBorder="1" applyAlignment="1">
      <alignment horizontal="left" vertical="center"/>
    </xf>
    <xf numFmtId="0" fontId="7" fillId="11"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10" fillId="16" borderId="2" xfId="0" applyFont="1" applyFill="1" applyBorder="1" applyAlignment="1">
      <alignment horizontal="left" vertical="center" wrapText="1"/>
    </xf>
    <xf numFmtId="0" fontId="3" fillId="19" borderId="0" xfId="0" applyFont="1" applyFill="1" applyAlignment="1">
      <alignment horizontal="center" vertical="center" wrapText="1"/>
    </xf>
    <xf numFmtId="0" fontId="7" fillId="16" borderId="2" xfId="0" applyFont="1" applyFill="1" applyBorder="1" applyAlignment="1">
      <alignment horizontal="left" vertical="center" wrapText="1"/>
    </xf>
    <xf numFmtId="0" fontId="0" fillId="26" borderId="0" xfId="0" applyFill="1"/>
    <xf numFmtId="0" fontId="3" fillId="9" borderId="3"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7" borderId="2" xfId="0" applyFont="1" applyFill="1" applyBorder="1" applyAlignment="1">
      <alignment horizontal="center" vertical="center" wrapText="1"/>
    </xf>
    <xf numFmtId="0" fontId="8" fillId="9" borderId="1" xfId="0" applyFont="1" applyFill="1" applyBorder="1" applyAlignment="1">
      <alignment horizontal="left" vertical="center"/>
    </xf>
    <xf numFmtId="0" fontId="8" fillId="14" borderId="1" xfId="0" applyFont="1" applyFill="1" applyBorder="1" applyAlignment="1">
      <alignment horizontal="left" vertical="center"/>
    </xf>
    <xf numFmtId="0" fontId="12" fillId="12" borderId="4" xfId="0" applyFont="1" applyFill="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7D6608"/>
      <rgbColor rgb="00800080"/>
      <rgbColor rgb="00117A65"/>
      <rgbColor rgb="00BFBFBF"/>
      <rgbColor rgb="007F8C8D"/>
      <rgbColor rgb="00A9DFBF"/>
      <rgbColor rgb="006C3483"/>
      <rgbColor rgb="00FDEBD0"/>
      <rgbColor rgb="00D1F2EB"/>
      <rgbColor rgb="00660066"/>
      <rgbColor rgb="00FAFAFA"/>
      <rgbColor rgb="000066CC"/>
      <rgbColor rgb="00EAD7F7"/>
      <rgbColor rgb="00000080"/>
      <rgbColor rgb="00FF00FF"/>
      <rgbColor rgb="00F2F3F4"/>
      <rgbColor rgb="0000FFFF"/>
      <rgbColor rgb="00800080"/>
      <rgbColor rgb="00800000"/>
      <rgbColor rgb="001E8449"/>
      <rgbColor rgb="000000FF"/>
      <rgbColor rgb="0000CCFF"/>
      <rgbColor rgb="00D6EAF8"/>
      <rgbColor rgb="00D5F5E3"/>
      <rgbColor rgb="00F9E79F"/>
      <rgbColor rgb="00A2D9CE"/>
      <rgbColor rgb="00FADBD8"/>
      <rgbColor rgb="00D2B4DE"/>
      <rgbColor rgb="00FAD7A0"/>
      <rgbColor rgb="002E75B6"/>
      <rgbColor rgb="0033CCCC"/>
      <rgbColor rgb="0099CC00"/>
      <rgbColor rgb="00D6E4F0"/>
      <rgbColor rgb="00FF9900"/>
      <rgbColor rgb="00CA6F1E"/>
      <rgbColor rgb="00666699"/>
      <rgbColor rgb="00E8DAEF"/>
      <rgbColor rgb="001F3864"/>
      <rgbColor rgb="0016A085"/>
      <rgbColor rgb="00003300"/>
      <rgbColor rgb="00333300"/>
      <rgbColor rgb="00922B21"/>
      <rgbColor rgb="00784212"/>
      <rgbColor rgb="001A5276"/>
      <rgbColor rgb="00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L28"/>
  <sheetViews>
    <sheetView showGridLines="0" workbookViewId="0">
      <pane ySplit="2" topLeftCell="A3" activePane="bottomLeft" state="frozen"/>
      <selection/>
      <selection pane="bottomLeft" activeCell="A25" sqref="A25"/>
    </sheetView>
  </sheetViews>
  <sheetFormatPr defaultColWidth="8.66363636363636" defaultRowHeight="14.5"/>
  <cols>
    <col min="1" max="1" width="9" customWidth="1"/>
    <col min="2" max="2" width="20" customWidth="1"/>
    <col min="3" max="3" width="13" customWidth="1"/>
    <col min="4" max="4" width="7" customWidth="1"/>
    <col min="5" max="5" width="11" customWidth="1"/>
    <col min="6" max="6" width="10" customWidth="1"/>
    <col min="7" max="7" width="13" customWidth="1"/>
    <col min="8" max="8" width="10" customWidth="1"/>
    <col min="9" max="9" width="8" customWidth="1"/>
    <col min="10" max="10" width="11" customWidth="1"/>
    <col min="11" max="11" width="14" customWidth="1"/>
    <col min="12" max="12" width="8" customWidth="1"/>
  </cols>
  <sheetData>
    <row r="1" ht="37.5" customHeight="1" spans="1:12">
      <c r="A1" s="1" t="s">
        <v>0</v>
      </c>
      <c r="B1" s="1"/>
      <c r="C1" s="1"/>
      <c r="D1" s="1"/>
      <c r="E1" s="1"/>
      <c r="F1" s="1"/>
      <c r="G1" s="1"/>
      <c r="H1" s="1"/>
      <c r="I1" s="1"/>
      <c r="J1" s="1"/>
      <c r="K1" s="1"/>
      <c r="L1" s="1"/>
    </row>
    <row r="2" ht="27.75" customHeight="1" spans="1:12">
      <c r="A2" s="2" t="s">
        <v>1</v>
      </c>
      <c r="B2" s="2"/>
      <c r="C2" s="2"/>
      <c r="D2" s="2"/>
      <c r="E2" s="2"/>
      <c r="F2" s="2"/>
      <c r="G2" s="2"/>
      <c r="H2" s="2"/>
      <c r="I2" s="2"/>
      <c r="J2" s="2"/>
      <c r="K2" s="2"/>
      <c r="L2" s="2"/>
    </row>
    <row r="3" ht="21.75" customHeight="1" spans="1:12">
      <c r="A3" s="102" t="s">
        <v>2</v>
      </c>
      <c r="B3" s="102" t="s">
        <v>3</v>
      </c>
      <c r="C3" s="102" t="s">
        <v>4</v>
      </c>
      <c r="D3" s="102" t="s">
        <v>5</v>
      </c>
      <c r="E3" s="102" t="s">
        <v>6</v>
      </c>
      <c r="F3" s="102" t="s">
        <v>7</v>
      </c>
      <c r="G3" s="102" t="s">
        <v>8</v>
      </c>
      <c r="H3" s="102" t="s">
        <v>9</v>
      </c>
      <c r="I3" s="102" t="s">
        <v>10</v>
      </c>
      <c r="J3" s="102" t="s">
        <v>11</v>
      </c>
      <c r="K3" s="102" t="s">
        <v>12</v>
      </c>
      <c r="L3" s="102" t="s">
        <v>13</v>
      </c>
    </row>
    <row r="4" ht="16.5" customHeight="1" spans="1:12">
      <c r="A4" s="52" t="s">
        <v>14</v>
      </c>
      <c r="B4" s="53" t="s">
        <v>15</v>
      </c>
      <c r="C4" s="53" t="s">
        <v>16</v>
      </c>
      <c r="D4" s="52">
        <v>34</v>
      </c>
      <c r="E4" s="52">
        <v>62000</v>
      </c>
      <c r="F4" s="52">
        <v>6</v>
      </c>
      <c r="G4" s="53" t="s">
        <v>17</v>
      </c>
      <c r="H4" s="53" t="s">
        <v>18</v>
      </c>
      <c r="I4" s="52" t="s">
        <v>19</v>
      </c>
      <c r="J4" s="52">
        <v>12</v>
      </c>
      <c r="K4" s="52">
        <v>8</v>
      </c>
      <c r="L4" s="52" t="s">
        <v>20</v>
      </c>
    </row>
    <row r="5" ht="16.5" customHeight="1" spans="1:12">
      <c r="A5" s="56" t="s">
        <v>21</v>
      </c>
      <c r="B5" s="51" t="s">
        <v>22</v>
      </c>
      <c r="C5" s="51" t="s">
        <v>23</v>
      </c>
      <c r="D5" s="56">
        <v>28</v>
      </c>
      <c r="E5" s="56">
        <v>75000</v>
      </c>
      <c r="F5" s="56">
        <v>4</v>
      </c>
      <c r="G5" s="51" t="s">
        <v>24</v>
      </c>
      <c r="H5" s="51" t="s">
        <v>25</v>
      </c>
      <c r="I5" s="56" t="s">
        <v>26</v>
      </c>
      <c r="J5" s="56">
        <v>10</v>
      </c>
      <c r="K5" s="56">
        <v>12</v>
      </c>
      <c r="L5" s="56" t="s">
        <v>20</v>
      </c>
    </row>
    <row r="6" ht="16.5" customHeight="1" spans="1:12">
      <c r="A6" s="52" t="s">
        <v>27</v>
      </c>
      <c r="B6" s="53" t="s">
        <v>28</v>
      </c>
      <c r="C6" s="53" t="s">
        <v>29</v>
      </c>
      <c r="D6" s="52">
        <v>45</v>
      </c>
      <c r="E6" s="52">
        <v>90000</v>
      </c>
      <c r="F6" s="52">
        <v>18</v>
      </c>
      <c r="G6" s="53" t="s">
        <v>17</v>
      </c>
      <c r="H6" s="53" t="s">
        <v>30</v>
      </c>
      <c r="I6" s="52" t="s">
        <v>19</v>
      </c>
      <c r="J6" s="52">
        <v>15</v>
      </c>
      <c r="K6" s="52">
        <v>20</v>
      </c>
      <c r="L6" s="52" t="s">
        <v>20</v>
      </c>
    </row>
    <row r="7" ht="16.5" customHeight="1" spans="1:12">
      <c r="A7" s="56" t="s">
        <v>31</v>
      </c>
      <c r="B7" s="51" t="s">
        <v>32</v>
      </c>
      <c r="C7" s="51" t="s">
        <v>23</v>
      </c>
      <c r="D7" s="56">
        <v>31</v>
      </c>
      <c r="E7" s="56">
        <v>71000</v>
      </c>
      <c r="F7" s="56">
        <v>7</v>
      </c>
      <c r="G7" s="51" t="s">
        <v>33</v>
      </c>
      <c r="H7" s="51" t="s">
        <v>34</v>
      </c>
      <c r="I7" s="56" t="s">
        <v>26</v>
      </c>
      <c r="J7" s="56">
        <v>8</v>
      </c>
      <c r="K7" s="56">
        <v>9</v>
      </c>
      <c r="L7" s="56" t="s">
        <v>20</v>
      </c>
    </row>
    <row r="8" ht="16.5" customHeight="1" spans="1:12">
      <c r="A8" s="52" t="s">
        <v>35</v>
      </c>
      <c r="B8" s="53" t="s">
        <v>36</v>
      </c>
      <c r="C8" s="53" t="s">
        <v>37</v>
      </c>
      <c r="D8" s="52">
        <v>26</v>
      </c>
      <c r="E8" s="52">
        <v>55000</v>
      </c>
      <c r="F8" s="52">
        <v>3</v>
      </c>
      <c r="G8" s="53" t="s">
        <v>24</v>
      </c>
      <c r="H8" s="53" t="s">
        <v>18</v>
      </c>
      <c r="I8" s="52" t="s">
        <v>19</v>
      </c>
      <c r="J8" s="52">
        <v>10</v>
      </c>
      <c r="K8" s="52">
        <v>6</v>
      </c>
      <c r="L8" s="52" t="s">
        <v>20</v>
      </c>
    </row>
    <row r="9" ht="16.5" customHeight="1" spans="1:12">
      <c r="A9" s="56" t="s">
        <v>38</v>
      </c>
      <c r="B9" s="51" t="s">
        <v>39</v>
      </c>
      <c r="C9" s="51" t="s">
        <v>16</v>
      </c>
      <c r="D9" s="56">
        <v>52</v>
      </c>
      <c r="E9" s="56">
        <v>68000</v>
      </c>
      <c r="F9" s="56">
        <v>22</v>
      </c>
      <c r="G9" s="51" t="s">
        <v>33</v>
      </c>
      <c r="H9" s="51" t="s">
        <v>25</v>
      </c>
      <c r="I9" s="56" t="s">
        <v>26</v>
      </c>
      <c r="J9" s="56">
        <v>8</v>
      </c>
      <c r="K9" s="56">
        <v>15</v>
      </c>
      <c r="L9" s="56" t="s">
        <v>40</v>
      </c>
    </row>
    <row r="10" ht="16.5" customHeight="1" spans="1:12">
      <c r="A10" s="52" t="s">
        <v>41</v>
      </c>
      <c r="B10" s="53" t="s">
        <v>42</v>
      </c>
      <c r="C10" s="53" t="s">
        <v>29</v>
      </c>
      <c r="D10" s="52">
        <v>38</v>
      </c>
      <c r="E10" s="52">
        <v>95000</v>
      </c>
      <c r="F10" s="52">
        <v>14</v>
      </c>
      <c r="G10" s="53" t="s">
        <v>17</v>
      </c>
      <c r="H10" s="53" t="s">
        <v>30</v>
      </c>
      <c r="I10" s="52" t="s">
        <v>19</v>
      </c>
      <c r="J10" s="52">
        <v>15</v>
      </c>
      <c r="K10" s="52">
        <v>22</v>
      </c>
      <c r="L10" s="52" t="s">
        <v>20</v>
      </c>
    </row>
    <row r="11" ht="16.5" customHeight="1" spans="1:12">
      <c r="A11" s="56" t="s">
        <v>43</v>
      </c>
      <c r="B11" s="51" t="s">
        <v>44</v>
      </c>
      <c r="C11" s="51" t="s">
        <v>23</v>
      </c>
      <c r="D11" s="56">
        <v>23</v>
      </c>
      <c r="E11" s="56">
        <v>58000</v>
      </c>
      <c r="F11" s="56">
        <v>1</v>
      </c>
      <c r="G11" s="51" t="s">
        <v>24</v>
      </c>
      <c r="H11" s="51" t="s">
        <v>34</v>
      </c>
      <c r="I11" s="56" t="s">
        <v>26</v>
      </c>
      <c r="J11" s="56">
        <v>10</v>
      </c>
      <c r="K11" s="56">
        <v>5</v>
      </c>
      <c r="L11" s="56" t="s">
        <v>20</v>
      </c>
    </row>
    <row r="12" ht="16.5" customHeight="1" spans="1:12">
      <c r="A12" s="52" t="s">
        <v>45</v>
      </c>
      <c r="B12" s="53" t="s">
        <v>46</v>
      </c>
      <c r="C12" s="53" t="s">
        <v>37</v>
      </c>
      <c r="D12" s="52">
        <v>41</v>
      </c>
      <c r="E12" s="52">
        <v>72000</v>
      </c>
      <c r="F12" s="52">
        <v>12</v>
      </c>
      <c r="G12" s="53" t="s">
        <v>17</v>
      </c>
      <c r="H12" s="53" t="s">
        <v>18</v>
      </c>
      <c r="I12" s="52" t="s">
        <v>19</v>
      </c>
      <c r="J12" s="52">
        <v>12</v>
      </c>
      <c r="K12" s="52">
        <v>18</v>
      </c>
      <c r="L12" s="52" t="s">
        <v>20</v>
      </c>
    </row>
    <row r="13" ht="16.5" customHeight="1" spans="1:12">
      <c r="A13" s="56" t="s">
        <v>47</v>
      </c>
      <c r="B13" s="51" t="s">
        <v>48</v>
      </c>
      <c r="C13" s="51" t="s">
        <v>29</v>
      </c>
      <c r="D13" s="56">
        <v>29</v>
      </c>
      <c r="E13" s="56">
        <v>80000</v>
      </c>
      <c r="F13" s="56">
        <v>5</v>
      </c>
      <c r="G13" s="51" t="s">
        <v>33</v>
      </c>
      <c r="H13" s="51" t="s">
        <v>25</v>
      </c>
      <c r="I13" s="56" t="s">
        <v>26</v>
      </c>
      <c r="J13" s="56">
        <v>8</v>
      </c>
      <c r="K13" s="56">
        <v>10</v>
      </c>
      <c r="L13" s="56" t="s">
        <v>20</v>
      </c>
    </row>
    <row r="14" ht="16.5" customHeight="1" spans="1:12">
      <c r="A14" s="52" t="s">
        <v>49</v>
      </c>
      <c r="B14" s="53" t="s">
        <v>50</v>
      </c>
      <c r="C14" s="53" t="s">
        <v>23</v>
      </c>
      <c r="D14" s="52">
        <v>36</v>
      </c>
      <c r="E14" s="52">
        <v>82000</v>
      </c>
      <c r="F14" s="52">
        <v>10</v>
      </c>
      <c r="G14" s="53" t="s">
        <v>24</v>
      </c>
      <c r="H14" s="53" t="s">
        <v>30</v>
      </c>
      <c r="I14" s="52" t="s">
        <v>19</v>
      </c>
      <c r="J14" s="52">
        <v>10</v>
      </c>
      <c r="K14" s="52">
        <v>14</v>
      </c>
      <c r="L14" s="52" t="s">
        <v>40</v>
      </c>
    </row>
    <row r="15" ht="16.5" customHeight="1" spans="1:12">
      <c r="A15" s="56" t="s">
        <v>51</v>
      </c>
      <c r="B15" s="51" t="s">
        <v>52</v>
      </c>
      <c r="C15" s="51" t="s">
        <v>16</v>
      </c>
      <c r="D15" s="56">
        <v>48</v>
      </c>
      <c r="E15" s="56">
        <v>63000</v>
      </c>
      <c r="F15" s="56">
        <v>20</v>
      </c>
      <c r="G15" s="51" t="s">
        <v>33</v>
      </c>
      <c r="H15" s="51" t="s">
        <v>34</v>
      </c>
      <c r="I15" s="56" t="s">
        <v>26</v>
      </c>
      <c r="J15" s="56">
        <v>8</v>
      </c>
      <c r="K15" s="56">
        <v>11</v>
      </c>
      <c r="L15" s="56" t="s">
        <v>20</v>
      </c>
    </row>
    <row r="16" ht="16.5" customHeight="1" spans="1:12">
      <c r="A16" s="52" t="s">
        <v>53</v>
      </c>
      <c r="B16" s="53" t="s">
        <v>54</v>
      </c>
      <c r="C16" s="53" t="s">
        <v>37</v>
      </c>
      <c r="D16" s="52">
        <v>33</v>
      </c>
      <c r="E16" s="52">
        <v>60000</v>
      </c>
      <c r="F16" s="52">
        <v>8</v>
      </c>
      <c r="G16" s="53" t="s">
        <v>24</v>
      </c>
      <c r="H16" s="53" t="s">
        <v>18</v>
      </c>
      <c r="I16" s="52" t="s">
        <v>19</v>
      </c>
      <c r="J16" s="52">
        <v>10</v>
      </c>
      <c r="K16" s="52">
        <v>9</v>
      </c>
      <c r="L16" s="52" t="s">
        <v>20</v>
      </c>
    </row>
    <row r="17" ht="16.5" customHeight="1" spans="1:12">
      <c r="A17" s="56" t="s">
        <v>55</v>
      </c>
      <c r="B17" s="51" t="s">
        <v>56</v>
      </c>
      <c r="C17" s="51" t="s">
        <v>29</v>
      </c>
      <c r="D17" s="56">
        <v>55</v>
      </c>
      <c r="E17" s="56">
        <v>105000</v>
      </c>
      <c r="F17" s="56">
        <v>28</v>
      </c>
      <c r="G17" s="51" t="s">
        <v>17</v>
      </c>
      <c r="H17" s="51" t="s">
        <v>25</v>
      </c>
      <c r="I17" s="56" t="s">
        <v>26</v>
      </c>
      <c r="J17" s="56">
        <v>20</v>
      </c>
      <c r="K17" s="56">
        <v>30</v>
      </c>
      <c r="L17" s="56" t="s">
        <v>20</v>
      </c>
    </row>
    <row r="18" ht="16.5" customHeight="1" spans="1:12">
      <c r="A18" s="52" t="s">
        <v>57</v>
      </c>
      <c r="B18" s="53" t="s">
        <v>58</v>
      </c>
      <c r="C18" s="53" t="s">
        <v>23</v>
      </c>
      <c r="D18" s="52">
        <v>27</v>
      </c>
      <c r="E18" s="52">
        <v>70000</v>
      </c>
      <c r="F18" s="52">
        <v>3</v>
      </c>
      <c r="G18" s="53" t="s">
        <v>17</v>
      </c>
      <c r="H18" s="53" t="s">
        <v>30</v>
      </c>
      <c r="I18" s="52" t="s">
        <v>19</v>
      </c>
      <c r="J18" s="52">
        <v>12</v>
      </c>
      <c r="K18" s="52">
        <v>7</v>
      </c>
      <c r="L18" s="52" t="s">
        <v>20</v>
      </c>
    </row>
    <row r="19" ht="16.5" customHeight="1" spans="1:12">
      <c r="A19" s="56" t="s">
        <v>59</v>
      </c>
      <c r="B19" s="51" t="s">
        <v>60</v>
      </c>
      <c r="C19" s="51" t="s">
        <v>16</v>
      </c>
      <c r="D19" s="56">
        <v>44</v>
      </c>
      <c r="E19" s="56">
        <v>67000</v>
      </c>
      <c r="F19" s="56">
        <v>16</v>
      </c>
      <c r="G19" s="51" t="s">
        <v>24</v>
      </c>
      <c r="H19" s="51" t="s">
        <v>34</v>
      </c>
      <c r="I19" s="56" t="s">
        <v>26</v>
      </c>
      <c r="J19" s="56">
        <v>10</v>
      </c>
      <c r="K19" s="56">
        <v>13</v>
      </c>
      <c r="L19" s="56" t="s">
        <v>40</v>
      </c>
    </row>
    <row r="20" ht="16.5" customHeight="1" spans="1:12">
      <c r="A20" s="52" t="s">
        <v>61</v>
      </c>
      <c r="B20" s="53" t="s">
        <v>62</v>
      </c>
      <c r="C20" s="53" t="s">
        <v>37</v>
      </c>
      <c r="D20" s="52">
        <v>30</v>
      </c>
      <c r="E20" s="52">
        <v>58000</v>
      </c>
      <c r="F20" s="52">
        <v>6</v>
      </c>
      <c r="G20" s="53" t="s">
        <v>33</v>
      </c>
      <c r="H20" s="53" t="s">
        <v>18</v>
      </c>
      <c r="I20" s="52" t="s">
        <v>19</v>
      </c>
      <c r="J20" s="52">
        <v>8</v>
      </c>
      <c r="K20" s="52">
        <v>8</v>
      </c>
      <c r="L20" s="52" t="s">
        <v>20</v>
      </c>
    </row>
    <row r="21" ht="16.5" customHeight="1" spans="1:12">
      <c r="A21" s="56" t="s">
        <v>63</v>
      </c>
      <c r="B21" s="51" t="s">
        <v>64</v>
      </c>
      <c r="C21" s="51" t="s">
        <v>23</v>
      </c>
      <c r="D21" s="56">
        <v>39</v>
      </c>
      <c r="E21" s="56">
        <v>88000</v>
      </c>
      <c r="F21" s="56">
        <v>13</v>
      </c>
      <c r="G21" s="51" t="s">
        <v>17</v>
      </c>
      <c r="H21" s="51" t="s">
        <v>25</v>
      </c>
      <c r="I21" s="56" t="s">
        <v>26</v>
      </c>
      <c r="J21" s="56">
        <v>15</v>
      </c>
      <c r="K21" s="56">
        <v>17</v>
      </c>
      <c r="L21" s="56" t="s">
        <v>20</v>
      </c>
    </row>
    <row r="22" ht="16.5" customHeight="1" spans="1:12">
      <c r="A22" s="52" t="s">
        <v>65</v>
      </c>
      <c r="B22" s="53" t="s">
        <v>66</v>
      </c>
      <c r="C22" s="53" t="s">
        <v>29</v>
      </c>
      <c r="D22" s="52">
        <v>25</v>
      </c>
      <c r="E22" s="52">
        <v>76000</v>
      </c>
      <c r="F22" s="52">
        <v>2</v>
      </c>
      <c r="G22" s="53" t="s">
        <v>24</v>
      </c>
      <c r="H22" s="53" t="s">
        <v>30</v>
      </c>
      <c r="I22" s="52" t="s">
        <v>19</v>
      </c>
      <c r="J22" s="52">
        <v>10</v>
      </c>
      <c r="K22" s="52">
        <v>6</v>
      </c>
      <c r="L22" s="52" t="s">
        <v>20</v>
      </c>
    </row>
    <row r="23" ht="16.5" customHeight="1" spans="1:12">
      <c r="A23" s="56" t="s">
        <v>67</v>
      </c>
      <c r="B23" s="51" t="s">
        <v>68</v>
      </c>
      <c r="C23" s="51" t="s">
        <v>37</v>
      </c>
      <c r="D23" s="56">
        <v>50</v>
      </c>
      <c r="E23" s="56">
        <v>65000</v>
      </c>
      <c r="F23" s="56">
        <v>24</v>
      </c>
      <c r="G23" s="51" t="s">
        <v>33</v>
      </c>
      <c r="H23" s="51" t="s">
        <v>34</v>
      </c>
      <c r="I23" s="56" t="s">
        <v>26</v>
      </c>
      <c r="J23" s="56">
        <v>8</v>
      </c>
      <c r="K23" s="56">
        <v>19</v>
      </c>
      <c r="L23" s="56" t="s">
        <v>20</v>
      </c>
    </row>
    <row r="24" ht="16.5" customHeight="1" spans="1:12">
      <c r="A24" s="52" t="s">
        <v>69</v>
      </c>
      <c r="B24" s="53" t="s">
        <v>70</v>
      </c>
      <c r="C24" s="53" t="s">
        <v>16</v>
      </c>
      <c r="D24" s="52">
        <v>35</v>
      </c>
      <c r="E24" s="52">
        <v>64000</v>
      </c>
      <c r="F24" s="52">
        <v>9</v>
      </c>
      <c r="G24" s="53" t="s">
        <v>17</v>
      </c>
      <c r="H24" s="53" t="s">
        <v>18</v>
      </c>
      <c r="I24" s="52" t="s">
        <v>19</v>
      </c>
      <c r="J24" s="52">
        <v>12</v>
      </c>
      <c r="K24" s="52">
        <v>10</v>
      </c>
      <c r="L24" s="52" t="s">
        <v>20</v>
      </c>
    </row>
    <row r="25" ht="16.5" customHeight="1" spans="1:12">
      <c r="A25" s="56" t="s">
        <v>71</v>
      </c>
      <c r="B25" s="51" t="s">
        <v>72</v>
      </c>
      <c r="C25" s="51" t="s">
        <v>23</v>
      </c>
      <c r="D25" s="56">
        <v>43</v>
      </c>
      <c r="E25" s="56">
        <v>79000</v>
      </c>
      <c r="F25" s="56">
        <v>15</v>
      </c>
      <c r="G25" s="51" t="s">
        <v>24</v>
      </c>
      <c r="H25" s="51" t="s">
        <v>25</v>
      </c>
      <c r="I25" s="56" t="s">
        <v>26</v>
      </c>
      <c r="J25" s="56">
        <v>10</v>
      </c>
      <c r="K25" s="56">
        <v>16</v>
      </c>
      <c r="L25" s="56" t="s">
        <v>20</v>
      </c>
    </row>
    <row r="26" ht="16.5" customHeight="1" spans="1:12">
      <c r="A26" s="52" t="s">
        <v>73</v>
      </c>
      <c r="B26" s="53" t="s">
        <v>74</v>
      </c>
      <c r="C26" s="53" t="s">
        <v>29</v>
      </c>
      <c r="D26" s="52">
        <v>32</v>
      </c>
      <c r="E26" s="52">
        <v>87000</v>
      </c>
      <c r="F26" s="52">
        <v>8</v>
      </c>
      <c r="G26" s="53" t="s">
        <v>17</v>
      </c>
      <c r="H26" s="53" t="s">
        <v>30</v>
      </c>
      <c r="I26" s="52" t="s">
        <v>19</v>
      </c>
      <c r="J26" s="52">
        <v>15</v>
      </c>
      <c r="K26" s="52">
        <v>14</v>
      </c>
      <c r="L26" s="52" t="s">
        <v>20</v>
      </c>
    </row>
    <row r="27" ht="16.5" customHeight="1" spans="1:12">
      <c r="A27" s="56" t="s">
        <v>75</v>
      </c>
      <c r="B27" s="51" t="s">
        <v>76</v>
      </c>
      <c r="C27" s="51" t="s">
        <v>37</v>
      </c>
      <c r="D27" s="56">
        <v>46</v>
      </c>
      <c r="E27" s="56">
        <v>61000</v>
      </c>
      <c r="F27" s="56">
        <v>18</v>
      </c>
      <c r="G27" s="51" t="s">
        <v>33</v>
      </c>
      <c r="H27" s="51" t="s">
        <v>34</v>
      </c>
      <c r="I27" s="56" t="s">
        <v>26</v>
      </c>
      <c r="J27" s="56">
        <v>8</v>
      </c>
      <c r="K27" s="56">
        <v>12</v>
      </c>
      <c r="L27" s="56" t="s">
        <v>40</v>
      </c>
    </row>
    <row r="28" ht="16.5" customHeight="1" spans="1:12">
      <c r="A28" s="52" t="s">
        <v>77</v>
      </c>
      <c r="B28" s="53" t="s">
        <v>78</v>
      </c>
      <c r="C28" s="53" t="s">
        <v>23</v>
      </c>
      <c r="D28" s="52">
        <v>29</v>
      </c>
      <c r="E28" s="52">
        <v>73000</v>
      </c>
      <c r="F28" s="52">
        <v>4</v>
      </c>
      <c r="G28" s="53" t="s">
        <v>24</v>
      </c>
      <c r="H28" s="53" t="s">
        <v>18</v>
      </c>
      <c r="I28" s="52" t="s">
        <v>19</v>
      </c>
      <c r="J28" s="52">
        <v>10</v>
      </c>
      <c r="K28" s="52">
        <v>8</v>
      </c>
      <c r="L28" s="52" t="s">
        <v>20</v>
      </c>
    </row>
  </sheetData>
  <mergeCells count="2">
    <mergeCell ref="A1:L1"/>
    <mergeCell ref="A2:L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G40"/>
  <sheetViews>
    <sheetView showGridLines="0" workbookViewId="0">
      <pane ySplit="3" topLeftCell="A4" activePane="bottomLeft" state="frozen"/>
      <selection/>
      <selection pane="bottomLeft" activeCell="E6" sqref="E6"/>
    </sheetView>
  </sheetViews>
  <sheetFormatPr defaultColWidth="8.66363636363636" defaultRowHeight="14.5" outlineLevelCol="6"/>
  <cols>
    <col min="1" max="1" width="7.21818181818182" customWidth="1"/>
    <col min="2" max="2" width="17" customWidth="1"/>
    <col min="3" max="3" width="16.2181818181818" customWidth="1"/>
    <col min="4" max="4" width="17.6636363636364" customWidth="1"/>
    <col min="5" max="5" width="12.1090909090909" customWidth="1"/>
    <col min="6" max="6" width="9.78181818181818" customWidth="1"/>
    <col min="7" max="7" width="12.5545454545455" customWidth="1"/>
  </cols>
  <sheetData>
    <row r="1" ht="37.5" customHeight="1" spans="1:7">
      <c r="A1" s="1" t="s">
        <v>79</v>
      </c>
      <c r="B1" s="1"/>
      <c r="C1" s="1"/>
      <c r="D1" s="1"/>
      <c r="E1" s="1"/>
      <c r="F1" s="1"/>
      <c r="G1" s="1"/>
    </row>
    <row r="2" ht="31.5" customHeight="1" spans="1:7">
      <c r="A2" s="2" t="s">
        <v>80</v>
      </c>
      <c r="B2" s="2"/>
      <c r="C2" s="2"/>
      <c r="D2" s="2"/>
      <c r="E2" s="2"/>
      <c r="F2" s="2"/>
      <c r="G2" s="2"/>
    </row>
    <row r="3" ht="21.75" customHeight="1" spans="1:7">
      <c r="A3" s="102" t="s">
        <v>2</v>
      </c>
      <c r="B3" s="102" t="s">
        <v>81</v>
      </c>
      <c r="C3" s="102" t="s">
        <v>82</v>
      </c>
      <c r="D3" s="102" t="s">
        <v>83</v>
      </c>
      <c r="E3" s="102" t="s">
        <v>8</v>
      </c>
      <c r="F3" s="102" t="s">
        <v>7</v>
      </c>
      <c r="G3" s="102" t="s">
        <v>84</v>
      </c>
    </row>
    <row r="4" ht="16.5" customHeight="1" spans="1:7">
      <c r="A4" s="52" t="s">
        <v>14</v>
      </c>
      <c r="B4" s="103" t="s">
        <v>15</v>
      </c>
      <c r="C4" s="103" t="s">
        <v>16</v>
      </c>
      <c r="D4" s="30">
        <v>62000</v>
      </c>
      <c r="E4" s="103" t="s">
        <v>17</v>
      </c>
      <c r="F4" s="30">
        <v>6</v>
      </c>
      <c r="G4" s="30" t="s">
        <v>20</v>
      </c>
    </row>
    <row r="5" ht="16.5" customHeight="1" spans="1:7">
      <c r="A5" s="56" t="s">
        <v>21</v>
      </c>
      <c r="B5" s="104" t="s">
        <v>22</v>
      </c>
      <c r="C5" s="104" t="s">
        <v>23</v>
      </c>
      <c r="D5" s="105">
        <v>75000</v>
      </c>
      <c r="E5" s="104" t="s">
        <v>24</v>
      </c>
      <c r="F5" s="105">
        <v>4</v>
      </c>
      <c r="G5" s="105" t="s">
        <v>20</v>
      </c>
    </row>
    <row r="6" ht="16.5" customHeight="1" spans="1:7">
      <c r="A6" s="52" t="s">
        <v>27</v>
      </c>
      <c r="B6" s="103" t="str">
        <f>VLOOKUP(A6,'Employee Dataset'!$A$3:$L$28,2)</f>
        <v>Carol White</v>
      </c>
      <c r="C6" s="103" t="str">
        <f>VLOOKUP(A6,'Employee Dataset'!$A$3:$L$28,3)</f>
        <v>Finance</v>
      </c>
      <c r="D6" s="30">
        <f>VLOOKUP(A6,'Employee Dataset'!$A$3:$L$28,5)</f>
        <v>90000</v>
      </c>
      <c r="E6" s="103" t="str">
        <f>VLOOKUP(A6,'Employee Dataset'!$A$4:$L$28,7)</f>
        <v>Excellent</v>
      </c>
      <c r="F6" s="30">
        <f>VLOOKUP(A6,'Employee Dataset'!$A$3:$L$28,6)</f>
        <v>18</v>
      </c>
      <c r="G6" s="30" t="str">
        <f>VLOOKUP(A6,'Employee Dataset'!$A$3:$L$28,12)</f>
        <v>Yes</v>
      </c>
    </row>
    <row r="7" ht="16.5" customHeight="1" spans="1:7">
      <c r="A7" s="56" t="s">
        <v>31</v>
      </c>
      <c r="B7" s="103" t="str">
        <f>VLOOKUP(A7,'Employee Dataset'!$A$3:$L$28,2)</f>
        <v>David Brown</v>
      </c>
      <c r="C7" s="103" t="str">
        <f>VLOOKUP(A7,'Employee Dataset'!$A$3:$L$28,3)</f>
        <v>IT</v>
      </c>
      <c r="D7" s="30">
        <f>VLOOKUP(A7,'Employee Dataset'!$A$3:$L$28,5)</f>
        <v>71000</v>
      </c>
      <c r="E7" s="103" t="str">
        <f>VLOOKUP(A7,'Employee Dataset'!$A$4:$L$28,7)</f>
        <v>Average</v>
      </c>
      <c r="F7" s="30">
        <f>VLOOKUP(A7,'Employee Dataset'!$A$3:$L$28,6)</f>
        <v>7</v>
      </c>
      <c r="G7" s="30" t="str">
        <f>VLOOKUP(A7,'Employee Dataset'!$A$3:$L$28,12)</f>
        <v>Yes</v>
      </c>
    </row>
    <row r="8" ht="16.5" customHeight="1" spans="1:7">
      <c r="A8" s="52" t="s">
        <v>35</v>
      </c>
      <c r="B8" s="103" t="str">
        <f>VLOOKUP(A8,'Employee Dataset'!$A$3:$L$28,2)</f>
        <v>Eva Green</v>
      </c>
      <c r="C8" s="103" t="str">
        <f>VLOOKUP(A8,'Employee Dataset'!$A$3:$L$28,3)</f>
        <v>Marketing</v>
      </c>
      <c r="D8" s="30">
        <f>VLOOKUP(A8,'Employee Dataset'!$A$3:$L$28,5)</f>
        <v>55000</v>
      </c>
      <c r="E8" s="103" t="str">
        <f>VLOOKUP(A8,'Employee Dataset'!$A$4:$L$28,7)</f>
        <v>Good</v>
      </c>
      <c r="F8" s="30">
        <f>VLOOKUP(A8,'Employee Dataset'!$A$3:$L$28,6)</f>
        <v>3</v>
      </c>
      <c r="G8" s="30" t="str">
        <f>VLOOKUP(A8,'Employee Dataset'!$A$3:$L$28,12)</f>
        <v>Yes</v>
      </c>
    </row>
    <row r="9" ht="16.5" customHeight="1" spans="1:7">
      <c r="A9" s="56" t="s">
        <v>38</v>
      </c>
      <c r="B9" s="103" t="str">
        <f>VLOOKUP(A9,'Employee Dataset'!$A$3:$L$28,2)</f>
        <v>Frank Lee</v>
      </c>
      <c r="C9" s="103" t="str">
        <f>VLOOKUP(A9,'Employee Dataset'!$A$3:$L$28,3)</f>
        <v>HR</v>
      </c>
      <c r="D9" s="30">
        <f>VLOOKUP(A9,'Employee Dataset'!$A$3:$L$28,5)</f>
        <v>68000</v>
      </c>
      <c r="E9" s="103" t="str">
        <f>VLOOKUP(A9,'Employee Dataset'!$A$4:$L$28,7)</f>
        <v>Average</v>
      </c>
      <c r="F9" s="30">
        <f>VLOOKUP(A9,'Employee Dataset'!$A$3:$L$28,6)</f>
        <v>22</v>
      </c>
      <c r="G9" s="30" t="str">
        <f>VLOOKUP(A9,'Employee Dataset'!$A$3:$L$28,12)</f>
        <v>No</v>
      </c>
    </row>
    <row r="10" ht="16.5" customHeight="1" spans="1:7">
      <c r="A10" s="52" t="s">
        <v>41</v>
      </c>
      <c r="B10" s="103" t="str">
        <f>VLOOKUP(A10,'Employee Dataset'!$A$3:$L$28,2)</f>
        <v>Grace Kim</v>
      </c>
      <c r="C10" s="103" t="str">
        <f>VLOOKUP(A10,'Employee Dataset'!$A$3:$L$28,3)</f>
        <v>Finance</v>
      </c>
      <c r="D10" s="30">
        <f>VLOOKUP(A10,'Employee Dataset'!$A$3:$L$28,5)</f>
        <v>95000</v>
      </c>
      <c r="E10" s="103" t="str">
        <f>VLOOKUP(A10,'Employee Dataset'!$A$4:$L$28,7)</f>
        <v>Excellent</v>
      </c>
      <c r="F10" s="30">
        <f>VLOOKUP(A10,'Employee Dataset'!$A$3:$L$28,6)</f>
        <v>14</v>
      </c>
      <c r="G10" s="30" t="str">
        <f>VLOOKUP(A10,'Employee Dataset'!$A$3:$L$28,12)</f>
        <v>Yes</v>
      </c>
    </row>
    <row r="11" ht="16.5" customHeight="1" spans="1:7">
      <c r="A11" s="56" t="s">
        <v>43</v>
      </c>
      <c r="B11" s="103" t="str">
        <f>VLOOKUP(A11,'Employee Dataset'!$A$3:$L$28,2)</f>
        <v>Henry Davis</v>
      </c>
      <c r="C11" s="103" t="str">
        <f>VLOOKUP(A11,'Employee Dataset'!$A$3:$L$28,3)</f>
        <v>IT</v>
      </c>
      <c r="D11" s="30">
        <f>VLOOKUP(A11,'Employee Dataset'!$A$3:$L$28,5)</f>
        <v>58000</v>
      </c>
      <c r="E11" s="103" t="str">
        <f>VLOOKUP(A11,'Employee Dataset'!$A$4:$L$28,7)</f>
        <v>Good</v>
      </c>
      <c r="F11" s="30">
        <f>VLOOKUP(A11,'Employee Dataset'!$A$3:$L$28,6)</f>
        <v>1</v>
      </c>
      <c r="G11" s="30" t="str">
        <f>VLOOKUP(A11,'Employee Dataset'!$A$3:$L$28,12)</f>
        <v>Yes</v>
      </c>
    </row>
    <row r="12" ht="16.5" customHeight="1" spans="1:7">
      <c r="A12" s="52" t="s">
        <v>45</v>
      </c>
      <c r="B12" s="103" t="str">
        <f>VLOOKUP(A12,'Employee Dataset'!$A$3:$L$28,2)</f>
        <v>Isla Martin</v>
      </c>
      <c r="C12" s="103" t="str">
        <f>VLOOKUP(A12,'Employee Dataset'!$A$3:$L$28,3)</f>
        <v>Marketing</v>
      </c>
      <c r="D12" s="30">
        <f>VLOOKUP(A12,'Employee Dataset'!$A$3:$L$28,5)</f>
        <v>72000</v>
      </c>
      <c r="E12" s="103" t="str">
        <f>VLOOKUP(A12,'Employee Dataset'!$A$4:$L$28,7)</f>
        <v>Excellent</v>
      </c>
      <c r="F12" s="30">
        <f>VLOOKUP(A12,'Employee Dataset'!$A$3:$L$28,6)</f>
        <v>12</v>
      </c>
      <c r="G12" s="30" t="str">
        <f>VLOOKUP(A12,'Employee Dataset'!$A$3:$L$28,12)</f>
        <v>Yes</v>
      </c>
    </row>
    <row r="13" ht="16.5" customHeight="1" spans="1:7">
      <c r="A13" s="56" t="s">
        <v>47</v>
      </c>
      <c r="B13" s="103" t="str">
        <f>VLOOKUP(A13,'Employee Dataset'!$A$3:$L$28,2)</f>
        <v>Jack Wilson</v>
      </c>
      <c r="C13" s="103" t="str">
        <f>VLOOKUP(A13,'Employee Dataset'!$A$3:$L$28,3)</f>
        <v>Finance</v>
      </c>
      <c r="D13" s="30">
        <f>VLOOKUP(A13,'Employee Dataset'!$A$3:$L$28,5)</f>
        <v>80000</v>
      </c>
      <c r="E13" s="103" t="str">
        <f>VLOOKUP(A13,'Employee Dataset'!$A$4:$L$28,7)</f>
        <v>Average</v>
      </c>
      <c r="F13" s="30">
        <f>VLOOKUP(A13,'Employee Dataset'!$A$3:$L$28,6)</f>
        <v>5</v>
      </c>
      <c r="G13" s="30" t="str">
        <f>VLOOKUP(A13,'Employee Dataset'!$A$3:$L$28,12)</f>
        <v>Yes</v>
      </c>
    </row>
    <row r="14" ht="16.5" customHeight="1" spans="1:7">
      <c r="A14" s="52" t="s">
        <v>49</v>
      </c>
      <c r="B14" s="103" t="str">
        <f>VLOOKUP(A14,'Employee Dataset'!$A$3:$L$28,2)</f>
        <v>Karen Taylor</v>
      </c>
      <c r="C14" s="103" t="str">
        <f>VLOOKUP(A14,'Employee Dataset'!$A$3:$L$28,3)</f>
        <v>IT</v>
      </c>
      <c r="D14" s="30">
        <f>VLOOKUP(A14,'Employee Dataset'!$A$3:$L$28,5)</f>
        <v>82000</v>
      </c>
      <c r="E14" s="103" t="str">
        <f>VLOOKUP(A14,'Employee Dataset'!$A$4:$L$28,7)</f>
        <v>Good</v>
      </c>
      <c r="F14" s="30">
        <f>VLOOKUP(A14,'Employee Dataset'!$A$3:$L$28,6)</f>
        <v>10</v>
      </c>
      <c r="G14" s="30" t="str">
        <f>VLOOKUP(A14,'Employee Dataset'!$A$3:$L$28,12)</f>
        <v>No</v>
      </c>
    </row>
    <row r="15" ht="16.5" customHeight="1" spans="1:7">
      <c r="A15" s="56" t="s">
        <v>51</v>
      </c>
      <c r="B15" s="103" t="str">
        <f>VLOOKUP(A15,'Employee Dataset'!$A$3:$L$28,2)</f>
        <v>Liam Moore</v>
      </c>
      <c r="C15" s="103" t="str">
        <f>VLOOKUP(A15,'Employee Dataset'!$A$3:$L$28,3)</f>
        <v>HR</v>
      </c>
      <c r="D15" s="30">
        <f>VLOOKUP(A15,'Employee Dataset'!$A$3:$L$28,5)</f>
        <v>63000</v>
      </c>
      <c r="E15" s="103" t="str">
        <f>VLOOKUP(A15,'Employee Dataset'!$A$4:$L$28,7)</f>
        <v>Average</v>
      </c>
      <c r="F15" s="30">
        <f>VLOOKUP(A15,'Employee Dataset'!$A$3:$L$28,6)</f>
        <v>20</v>
      </c>
      <c r="G15" s="30" t="str">
        <f>VLOOKUP(A15,'Employee Dataset'!$A$3:$L$28,12)</f>
        <v>Yes</v>
      </c>
    </row>
    <row r="16" ht="16.5" customHeight="1" spans="1:7">
      <c r="A16" s="52" t="s">
        <v>53</v>
      </c>
      <c r="B16" s="103" t="str">
        <f>VLOOKUP(A16,'Employee Dataset'!$A$3:$L$28,2)</f>
        <v>Mia Anderson</v>
      </c>
      <c r="C16" s="103" t="str">
        <f>VLOOKUP(A16,'Employee Dataset'!$A$3:$L$28,3)</f>
        <v>Marketing</v>
      </c>
      <c r="D16" s="30">
        <f>VLOOKUP(A16,'Employee Dataset'!$A$3:$L$28,5)</f>
        <v>60000</v>
      </c>
      <c r="E16" s="103" t="str">
        <f>VLOOKUP(A16,'Employee Dataset'!$A$4:$L$28,7)</f>
        <v>Good</v>
      </c>
      <c r="F16" s="30">
        <f>VLOOKUP(A16,'Employee Dataset'!$A$3:$L$28,6)</f>
        <v>8</v>
      </c>
      <c r="G16" s="30" t="str">
        <f>VLOOKUP(A16,'Employee Dataset'!$A$3:$L$28,12)</f>
        <v>Yes</v>
      </c>
    </row>
    <row r="17" ht="16.5" customHeight="1" spans="1:7">
      <c r="A17" s="56" t="s">
        <v>55</v>
      </c>
      <c r="B17" s="103" t="str">
        <f>VLOOKUP(A17,'Employee Dataset'!$A$3:$L$28,2)</f>
        <v>Noah Thomas</v>
      </c>
      <c r="C17" s="103" t="str">
        <f>VLOOKUP(A17,'Employee Dataset'!$A$3:$L$28,3)</f>
        <v>Finance</v>
      </c>
      <c r="D17" s="30">
        <f>VLOOKUP(A17,'Employee Dataset'!$A$3:$L$28,5)</f>
        <v>105000</v>
      </c>
      <c r="E17" s="103" t="str">
        <f>VLOOKUP(A17,'Employee Dataset'!$A$4:$L$28,7)</f>
        <v>Excellent</v>
      </c>
      <c r="F17" s="30">
        <f>VLOOKUP(A17,'Employee Dataset'!$A$3:$L$28,6)</f>
        <v>28</v>
      </c>
      <c r="G17" s="30" t="str">
        <f>VLOOKUP(A17,'Employee Dataset'!$A$3:$L$28,12)</f>
        <v>Yes</v>
      </c>
    </row>
    <row r="18" ht="16.5" customHeight="1" spans="1:7">
      <c r="A18" s="52" t="s">
        <v>57</v>
      </c>
      <c r="B18" s="103" t="str">
        <f>VLOOKUP(A18,'Employee Dataset'!$A$3:$L$28,2)</f>
        <v>Olivia Harris</v>
      </c>
      <c r="C18" s="103" t="str">
        <f>VLOOKUP(A18,'Employee Dataset'!$A$3:$L$28,3)</f>
        <v>IT</v>
      </c>
      <c r="D18" s="30">
        <f>VLOOKUP(A18,'Employee Dataset'!$A$3:$L$28,5)</f>
        <v>70000</v>
      </c>
      <c r="E18" s="103" t="str">
        <f>VLOOKUP(A18,'Employee Dataset'!$A$4:$L$28,7)</f>
        <v>Excellent</v>
      </c>
      <c r="F18" s="30">
        <f>VLOOKUP(A18,'Employee Dataset'!$A$3:$L$28,6)</f>
        <v>3</v>
      </c>
      <c r="G18" s="30" t="str">
        <f>VLOOKUP(A18,'Employee Dataset'!$A$3:$L$28,12)</f>
        <v>Yes</v>
      </c>
    </row>
    <row r="19" ht="16.5" customHeight="1" spans="1:7">
      <c r="A19" s="56" t="s">
        <v>59</v>
      </c>
      <c r="B19" s="103" t="str">
        <f>VLOOKUP(A19,'Employee Dataset'!$A$3:$L$28,2)</f>
        <v>Peter Clark</v>
      </c>
      <c r="C19" s="103" t="str">
        <f>VLOOKUP(A19,'Employee Dataset'!$A$3:$L$28,3)</f>
        <v>HR</v>
      </c>
      <c r="D19" s="30">
        <f>VLOOKUP(A19,'Employee Dataset'!$A$3:$L$28,5)</f>
        <v>67000</v>
      </c>
      <c r="E19" s="103" t="str">
        <f>VLOOKUP(A19,'Employee Dataset'!$A$4:$L$28,7)</f>
        <v>Good</v>
      </c>
      <c r="F19" s="30">
        <f>VLOOKUP(A19,'Employee Dataset'!$A$3:$L$28,6)</f>
        <v>16</v>
      </c>
      <c r="G19" s="30" t="str">
        <f>VLOOKUP(A19,'Employee Dataset'!$A$3:$L$28,12)</f>
        <v>No</v>
      </c>
    </row>
    <row r="20" ht="16.5" customHeight="1" spans="1:7">
      <c r="A20" s="52" t="s">
        <v>61</v>
      </c>
      <c r="B20" s="103" t="str">
        <f>VLOOKUP(A20,'Employee Dataset'!$A$3:$L$28,2)</f>
        <v>Quinn Lewis</v>
      </c>
      <c r="C20" s="103" t="str">
        <f>VLOOKUP(A20,'Employee Dataset'!$A$3:$L$28,3)</f>
        <v>Marketing</v>
      </c>
      <c r="D20" s="30">
        <f>VLOOKUP(A20,'Employee Dataset'!$A$3:$L$28,5)</f>
        <v>58000</v>
      </c>
      <c r="E20" s="103" t="str">
        <f>VLOOKUP(A20,'Employee Dataset'!$A$4:$L$28,7)</f>
        <v>Average</v>
      </c>
      <c r="F20" s="30">
        <f>VLOOKUP(A20,'Employee Dataset'!$A$3:$L$28,6)</f>
        <v>6</v>
      </c>
      <c r="G20" s="30" t="str">
        <f>VLOOKUP(A20,'Employee Dataset'!$A$3:$L$28,12)</f>
        <v>Yes</v>
      </c>
    </row>
    <row r="21" ht="16.5" customHeight="1" spans="1:7">
      <c r="A21" s="56" t="s">
        <v>63</v>
      </c>
      <c r="B21" s="103" t="str">
        <f>VLOOKUP(A21,'Employee Dataset'!$A$3:$L$28,2)</f>
        <v>Ryan Walker</v>
      </c>
      <c r="C21" s="103" t="str">
        <f>VLOOKUP(A21,'Employee Dataset'!$A$3:$L$28,3)</f>
        <v>IT</v>
      </c>
      <c r="D21" s="30">
        <f>VLOOKUP(A21,'Employee Dataset'!$A$3:$L$28,5)</f>
        <v>88000</v>
      </c>
      <c r="E21" s="103" t="str">
        <f>VLOOKUP(A21,'Employee Dataset'!$A$4:$L$28,7)</f>
        <v>Excellent</v>
      </c>
      <c r="F21" s="30">
        <f>VLOOKUP(A21,'Employee Dataset'!$A$3:$L$28,6)</f>
        <v>13</v>
      </c>
      <c r="G21" s="30" t="str">
        <f>VLOOKUP(A21,'Employee Dataset'!$A$3:$L$28,12)</f>
        <v>Yes</v>
      </c>
    </row>
    <row r="22" ht="16.5" customHeight="1" spans="1:7">
      <c r="A22" s="52" t="s">
        <v>65</v>
      </c>
      <c r="B22" s="103" t="str">
        <f>VLOOKUP(A22,'Employee Dataset'!$A$3:$L$28,2)</f>
        <v>Sara Hall</v>
      </c>
      <c r="C22" s="103" t="str">
        <f>VLOOKUP(A22,'Employee Dataset'!$A$3:$L$28,3)</f>
        <v>Finance</v>
      </c>
      <c r="D22" s="30">
        <f>VLOOKUP(A22,'Employee Dataset'!$A$3:$L$28,5)</f>
        <v>76000</v>
      </c>
      <c r="E22" s="103" t="str">
        <f>VLOOKUP(A22,'Employee Dataset'!$A$4:$L$28,7)</f>
        <v>Good</v>
      </c>
      <c r="F22" s="30">
        <f>VLOOKUP(A22,'Employee Dataset'!$A$3:$L$28,6)</f>
        <v>2</v>
      </c>
      <c r="G22" s="30" t="str">
        <f>VLOOKUP(A22,'Employee Dataset'!$A$3:$L$28,12)</f>
        <v>Yes</v>
      </c>
    </row>
    <row r="23" ht="16.5" customHeight="1" spans="1:7">
      <c r="A23" s="56" t="s">
        <v>67</v>
      </c>
      <c r="B23" s="103" t="str">
        <f>VLOOKUP(A23,'Employee Dataset'!$A$3:$L$28,2)</f>
        <v>Tom Young</v>
      </c>
      <c r="C23" s="103" t="str">
        <f>VLOOKUP(A23,'Employee Dataset'!$A$3:$L$28,3)</f>
        <v>Marketing</v>
      </c>
      <c r="D23" s="30">
        <f>VLOOKUP(A23,'Employee Dataset'!$A$3:$L$28,5)</f>
        <v>65000</v>
      </c>
      <c r="E23" s="103" t="str">
        <f>VLOOKUP(A23,'Employee Dataset'!$A$4:$L$28,7)</f>
        <v>Average</v>
      </c>
      <c r="F23" s="30">
        <f>VLOOKUP(A23,'Employee Dataset'!$A$3:$L$28,6)</f>
        <v>24</v>
      </c>
      <c r="G23" s="30" t="str">
        <f>VLOOKUP(A23,'Employee Dataset'!$A$3:$L$28,12)</f>
        <v>Yes</v>
      </c>
    </row>
    <row r="24" ht="16.5" customHeight="1" spans="1:7">
      <c r="A24" s="52" t="s">
        <v>69</v>
      </c>
      <c r="B24" s="103" t="str">
        <f>VLOOKUP(A24,'Employee Dataset'!$A$3:$L$28,2)</f>
        <v>Uma Scott</v>
      </c>
      <c r="C24" s="103" t="str">
        <f>VLOOKUP(A24,'Employee Dataset'!$A$3:$L$28,3)</f>
        <v>HR</v>
      </c>
      <c r="D24" s="30">
        <f>VLOOKUP(A24,'Employee Dataset'!$A$3:$L$28,5)</f>
        <v>64000</v>
      </c>
      <c r="E24" s="103" t="str">
        <f>VLOOKUP(A24,'Employee Dataset'!$A$4:$L$28,7)</f>
        <v>Excellent</v>
      </c>
      <c r="F24" s="30">
        <f>VLOOKUP(A24,'Employee Dataset'!$A$3:$L$28,6)</f>
        <v>9</v>
      </c>
      <c r="G24" s="30" t="str">
        <f>VLOOKUP(A24,'Employee Dataset'!$A$3:$L$28,12)</f>
        <v>Yes</v>
      </c>
    </row>
    <row r="25" ht="16.5" customHeight="1" spans="1:7">
      <c r="A25" s="56" t="s">
        <v>71</v>
      </c>
      <c r="B25" s="103" t="str">
        <f>VLOOKUP(A25,'Employee Dataset'!$A$3:$L$28,2)</f>
        <v>Victor King</v>
      </c>
      <c r="C25" s="103" t="str">
        <f>VLOOKUP(A25,'Employee Dataset'!$A$3:$L$28,3)</f>
        <v>IT</v>
      </c>
      <c r="D25" s="30">
        <f>VLOOKUP(A25,'Employee Dataset'!$A$3:$L$28,5)</f>
        <v>79000</v>
      </c>
      <c r="E25" s="103" t="str">
        <f>VLOOKUP(A25,'Employee Dataset'!$A$4:$L$28,7)</f>
        <v>Good</v>
      </c>
      <c r="F25" s="30">
        <f>VLOOKUP(A25,'Employee Dataset'!$A$3:$L$28,6)</f>
        <v>15</v>
      </c>
      <c r="G25" s="30" t="str">
        <f>VLOOKUP(A25,'Employee Dataset'!$A$3:$L$28,12)</f>
        <v>Yes</v>
      </c>
    </row>
    <row r="26" ht="16.5" customHeight="1" spans="1:7">
      <c r="A26" s="52" t="s">
        <v>73</v>
      </c>
      <c r="B26" s="103" t="str">
        <f>VLOOKUP(A26,'Employee Dataset'!$A$3:$L$28,2)</f>
        <v>Wendy Wright</v>
      </c>
      <c r="C26" s="103" t="str">
        <f>VLOOKUP(A26,'Employee Dataset'!$A$3:$L$28,3)</f>
        <v>Finance</v>
      </c>
      <c r="D26" s="30">
        <f>VLOOKUP(A26,'Employee Dataset'!$A$3:$L$28,5)</f>
        <v>87000</v>
      </c>
      <c r="E26" s="103" t="str">
        <f>VLOOKUP(A26,'Employee Dataset'!$A$4:$L$28,7)</f>
        <v>Excellent</v>
      </c>
      <c r="F26" s="30">
        <f>VLOOKUP(A26,'Employee Dataset'!$A$3:$L$28,6)</f>
        <v>8</v>
      </c>
      <c r="G26" s="30" t="str">
        <f>VLOOKUP(A26,'Employee Dataset'!$A$3:$L$28,12)</f>
        <v>Yes</v>
      </c>
    </row>
    <row r="27" ht="16.5" customHeight="1" spans="1:7">
      <c r="A27" s="56" t="s">
        <v>75</v>
      </c>
      <c r="B27" s="103" t="str">
        <f>VLOOKUP(A27,'Employee Dataset'!$A$3:$L$28,2)</f>
        <v>Xander Lopez</v>
      </c>
      <c r="C27" s="103" t="str">
        <f>VLOOKUP(A27,'Employee Dataset'!$A$3:$L$28,3)</f>
        <v>Marketing</v>
      </c>
      <c r="D27" s="30">
        <f>VLOOKUP(A27,'Employee Dataset'!$A$3:$L$28,5)</f>
        <v>61000</v>
      </c>
      <c r="E27" s="103" t="str">
        <f>VLOOKUP(A27,'Employee Dataset'!$A$4:$L$28,7)</f>
        <v>Average</v>
      </c>
      <c r="F27" s="30">
        <f>VLOOKUP(A27,'Employee Dataset'!$A$3:$L$28,6)</f>
        <v>18</v>
      </c>
      <c r="G27" s="30" t="str">
        <f>VLOOKUP(A27,'Employee Dataset'!$A$3:$L$28,12)</f>
        <v>No</v>
      </c>
    </row>
    <row r="28" ht="16.5" customHeight="1" spans="1:7">
      <c r="A28" s="52" t="s">
        <v>77</v>
      </c>
      <c r="B28" s="103" t="str">
        <f>VLOOKUP(A28,'Employee Dataset'!$A$3:$L$28,2)</f>
        <v>Yara Hill</v>
      </c>
      <c r="C28" s="103" t="str">
        <f>VLOOKUP(A28,'Employee Dataset'!$A$3:$L$28,3)</f>
        <v>IT</v>
      </c>
      <c r="D28" s="30">
        <f>VLOOKUP(A28,'Employee Dataset'!$A$3:$L$28,5)</f>
        <v>73000</v>
      </c>
      <c r="E28" s="103" t="str">
        <f>VLOOKUP(A28,'Employee Dataset'!$A$4:$L$28,7)</f>
        <v>Good</v>
      </c>
      <c r="F28" s="30">
        <f>VLOOKUP(A28,'Employee Dataset'!$A$3:$L$28,6)</f>
        <v>4</v>
      </c>
      <c r="G28" s="30" t="str">
        <f>VLOOKUP(A28,'Employee Dataset'!$A$3:$L$28,12)</f>
        <v>Yes</v>
      </c>
    </row>
    <row r="29" ht="15.25"/>
    <row r="30" ht="25.5" customHeight="1" spans="1:7">
      <c r="A30" s="106" t="s">
        <v>85</v>
      </c>
      <c r="B30" s="106"/>
      <c r="C30" s="106"/>
      <c r="D30" s="106"/>
      <c r="E30" s="106"/>
      <c r="F30" s="106"/>
      <c r="G30" s="106"/>
    </row>
    <row r="31" ht="25.5" customHeight="1" spans="1:7">
      <c r="A31" s="107" t="s">
        <v>86</v>
      </c>
      <c r="B31" s="107"/>
      <c r="C31" s="107"/>
      <c r="D31" s="107"/>
      <c r="E31" s="107"/>
      <c r="F31" s="107"/>
      <c r="G31" s="107"/>
    </row>
    <row r="32" ht="27.75" customHeight="1" spans="1:7">
      <c r="A32" s="24" t="s">
        <v>87</v>
      </c>
      <c r="B32" s="24"/>
      <c r="C32" s="24"/>
      <c r="D32" s="96" t="s">
        <v>88</v>
      </c>
      <c r="E32" s="96"/>
      <c r="F32" s="96"/>
      <c r="G32" s="96"/>
    </row>
    <row r="33" ht="27.75" customHeight="1" spans="1:7">
      <c r="A33" s="24" t="s">
        <v>89</v>
      </c>
      <c r="B33" s="24"/>
      <c r="C33" s="24"/>
      <c r="D33" s="96" t="s">
        <v>90</v>
      </c>
      <c r="E33" s="96"/>
      <c r="F33" s="96"/>
      <c r="G33" s="96"/>
    </row>
    <row r="34" ht="27.75" customHeight="1" spans="1:7">
      <c r="A34" s="24" t="s">
        <v>91</v>
      </c>
      <c r="B34" s="24"/>
      <c r="C34" s="24"/>
      <c r="D34" s="96" t="s">
        <v>92</v>
      </c>
      <c r="E34" s="96"/>
      <c r="F34" s="96"/>
      <c r="G34" s="96"/>
    </row>
    <row r="35" ht="27.75" customHeight="1" spans="1:7">
      <c r="A35" s="24" t="s">
        <v>93</v>
      </c>
      <c r="B35" s="24"/>
      <c r="C35" s="24"/>
      <c r="D35" s="96" t="s">
        <v>94</v>
      </c>
      <c r="E35" s="96"/>
      <c r="F35" s="96"/>
      <c r="G35" s="96"/>
    </row>
    <row r="37" ht="30" customHeight="1"/>
    <row r="38" ht="30" customHeight="1"/>
    <row r="39" ht="30" customHeight="1"/>
    <row r="40" ht="30" customHeight="1"/>
  </sheetData>
  <mergeCells count="12">
    <mergeCell ref="A1:G1"/>
    <mergeCell ref="A2:G2"/>
    <mergeCell ref="A30:G30"/>
    <mergeCell ref="A31:G31"/>
    <mergeCell ref="A32:C32"/>
    <mergeCell ref="D32:G32"/>
    <mergeCell ref="A33:C33"/>
    <mergeCell ref="D33:G33"/>
    <mergeCell ref="A34:C34"/>
    <mergeCell ref="D34:G34"/>
    <mergeCell ref="A35:C35"/>
    <mergeCell ref="D35:G35"/>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6A085"/>
  </sheetPr>
  <dimension ref="A1:K17"/>
  <sheetViews>
    <sheetView showGridLines="0" topLeftCell="A6" workbookViewId="0">
      <selection activeCell="C15" sqref="C15"/>
    </sheetView>
  </sheetViews>
  <sheetFormatPr defaultColWidth="8.66363636363636" defaultRowHeight="14.5"/>
  <cols>
    <col min="1" max="1" width="18" customWidth="1"/>
    <col min="2" max="2" width="14" customWidth="1"/>
    <col min="3" max="3" width="13.7272727272727" customWidth="1"/>
    <col min="4" max="5" width="14" customWidth="1"/>
    <col min="6" max="10" width="10" customWidth="1"/>
    <col min="11" max="11" width="15.6636363636364" customWidth="1"/>
  </cols>
  <sheetData>
    <row r="1" ht="37.5" customHeight="1" spans="1:11">
      <c r="A1" s="1" t="s">
        <v>95</v>
      </c>
      <c r="B1" s="1"/>
      <c r="C1" s="1"/>
      <c r="D1" s="1"/>
      <c r="E1" s="1"/>
      <c r="F1" s="1"/>
      <c r="G1" s="1"/>
      <c r="H1" s="1"/>
      <c r="I1" s="1"/>
      <c r="J1" s="1"/>
    </row>
    <row r="2" ht="30" customHeight="1" spans="1:11">
      <c r="A2" s="2" t="s">
        <v>96</v>
      </c>
      <c r="B2" s="2"/>
      <c r="C2" s="2"/>
      <c r="D2" s="2"/>
      <c r="E2" s="2"/>
      <c r="F2" s="2"/>
      <c r="G2" s="2"/>
      <c r="H2" s="2"/>
      <c r="I2" s="2"/>
      <c r="J2" s="2"/>
    </row>
    <row r="3" ht="25.5" customHeight="1" spans="1:11">
      <c r="A3" s="65" t="s">
        <v>97</v>
      </c>
      <c r="B3" s="65"/>
      <c r="C3" s="65"/>
      <c r="D3" s="65"/>
      <c r="E3" s="65"/>
      <c r="F3" s="65"/>
      <c r="G3" s="65"/>
      <c r="H3" s="65"/>
      <c r="I3" s="65"/>
      <c r="J3" s="65"/>
    </row>
    <row r="4" ht="15" customHeight="1" spans="1:11">
      <c r="A4" s="60" t="s">
        <v>98</v>
      </c>
      <c r="B4" s="60" t="s">
        <v>16</v>
      </c>
      <c r="C4" s="60" t="s">
        <v>23</v>
      </c>
      <c r="D4" s="60" t="s">
        <v>29</v>
      </c>
      <c r="E4" s="60" t="s">
        <v>37</v>
      </c>
    </row>
    <row r="5" ht="18" customHeight="1" spans="1:11">
      <c r="A5" s="97" t="s">
        <v>99</v>
      </c>
      <c r="B5" s="86">
        <f>COUNTIF('Employee Dataset'!$C$4:$C$28,B4)</f>
        <v>5</v>
      </c>
      <c r="C5" s="86">
        <f>COUNTIF('Employee Dataset'!$C$4:$C$28,C4)</f>
        <v>8</v>
      </c>
      <c r="D5" s="86">
        <f>COUNTIF('Employee Dataset'!$C$4:$C$28,D4)</f>
        <v>6</v>
      </c>
      <c r="E5" s="86">
        <f>COUNTIF('Employee Dataset'!$C$4:$C$28,E4)</f>
        <v>6</v>
      </c>
    </row>
    <row r="6" ht="18" customHeight="1" spans="1:11">
      <c r="A6" s="98" t="s">
        <v>100</v>
      </c>
      <c r="B6" s="62">
        <f>SUMIF('Employee Dataset'!$C$4:$C$28,B4,'Employee Dataset'!$E$4:$E$28)</f>
        <v>324000</v>
      </c>
      <c r="C6" s="62">
        <f>SUMIF('Employee Dataset'!$C$4:$C$28,C4,'Employee Dataset'!$E$4:$E$28)</f>
        <v>596000</v>
      </c>
      <c r="D6" s="62">
        <f>SUMIF('Employee Dataset'!$C$4:$C$28,D4,'Employee Dataset'!$E$4:$E$28)</f>
        <v>533000</v>
      </c>
      <c r="E6" s="62">
        <f>SUMIF('Employee Dataset'!$C$4:$C$28,E4,'Employee Dataset'!$E$4:$E$28)</f>
        <v>371000</v>
      </c>
    </row>
    <row r="7" ht="18" customHeight="1" spans="1:11">
      <c r="A7" s="97" t="s">
        <v>101</v>
      </c>
      <c r="B7" s="86">
        <f>IFERROR(AVERAGEIF('Employee Dataset'!$C$4:$C$28,B4,'Employee Dataset'!$E$4:$E$28),0)</f>
        <v>64800</v>
      </c>
      <c r="C7" s="86">
        <f>IFERROR(AVERAGEIF('Employee Dataset'!$C$4:$C$28,C4,'Employee Dataset'!$E$4:$E$28),0)</f>
        <v>74500</v>
      </c>
      <c r="D7" s="86">
        <f>IFERROR(AVERAGEIF('Employee Dataset'!$C$4:$C$28,D4,'Employee Dataset'!$E$4:$E$28),0)</f>
        <v>88833.3333333333</v>
      </c>
      <c r="E7" s="86">
        <f>IFERROR(AVERAGEIF('Employee Dataset'!$C$4:$C$28,E4,'Employee Dataset'!$E$4:$E$28),0)</f>
        <v>61833.3333333333</v>
      </c>
    </row>
    <row r="8" ht="18" customHeight="1" spans="1:11">
      <c r="A8" s="98" t="s">
        <v>102</v>
      </c>
      <c r="B8" s="62">
        <f>MAX(IF('Employee Dataset'!$C$4:$C$28=B4,'Employee Dataset'!$E$4:$E$28))</f>
        <v>0</v>
      </c>
      <c r="C8" s="62">
        <f>MAX(IF('Employee Dataset'!$C$4:$C$28=C4,'Employee Dataset'!$E$4:$E$28))</f>
        <v>0</v>
      </c>
      <c r="D8" s="62">
        <f>MAX(IF('Employee Dataset'!$C$4:$C$28=D4,'Employee Dataset'!$E$4:$E$28))</f>
        <v>0</v>
      </c>
      <c r="E8" s="62">
        <f>MAX(IF('Employee Dataset'!$C$4:$C$28=E4,'Employee Dataset'!$E$4:$E$28))</f>
        <v>105000</v>
      </c>
    </row>
    <row r="9" ht="18" customHeight="1" spans="1:11">
      <c r="A9" s="97" t="s">
        <v>103</v>
      </c>
      <c r="B9" s="86">
        <f>IFERROR(AVERAGEIF('Employee Dataset'!$C$4:$C$28,B4,'Employee Dataset'!$F$4:$F$28),0)</f>
        <v>14.6</v>
      </c>
      <c r="C9" s="86">
        <f>IFERROR(AVERAGEIF('Employee Dataset'!$C$4:$C$28,C4,'Employee Dataset'!$F$4:$F$28),0)</f>
        <v>7.125</v>
      </c>
      <c r="D9" s="86">
        <f>IFERROR(AVERAGEIF('Employee Dataset'!$C$4:$C$28,D4,'Employee Dataset'!$F$4:$F$28),0)</f>
        <v>12.5</v>
      </c>
      <c r="E9" s="86">
        <f>IFERROR(AVERAGEIF('Employee Dataset'!$C$4:$C$28,E4,'Employee Dataset'!$F$4:$F$28),0)</f>
        <v>11.8333333333333</v>
      </c>
    </row>
    <row r="10" ht="15.25"/>
    <row r="11" ht="25.5" customHeight="1" spans="1:11">
      <c r="A11" s="65" t="s">
        <v>104</v>
      </c>
      <c r="B11" s="65"/>
      <c r="C11" s="65"/>
      <c r="D11" s="65"/>
      <c r="E11" s="65"/>
      <c r="F11" s="65"/>
      <c r="G11" s="65"/>
      <c r="H11" s="65"/>
      <c r="I11" s="65"/>
      <c r="J11" s="65"/>
    </row>
    <row r="12" ht="30" customHeight="1" spans="1:11">
      <c r="A12" s="59" t="s">
        <v>105</v>
      </c>
      <c r="B12" s="59"/>
      <c r="C12" s="59"/>
      <c r="D12" s="59"/>
      <c r="E12" s="59"/>
      <c r="F12" s="59"/>
      <c r="G12" s="59"/>
      <c r="H12" s="59"/>
      <c r="I12" s="59"/>
      <c r="J12" s="59"/>
    </row>
    <row r="13" ht="23.25" customHeight="1" spans="1:11">
      <c r="A13" s="60" t="s">
        <v>106</v>
      </c>
      <c r="B13" s="60" t="s">
        <v>107</v>
      </c>
      <c r="C13" s="60" t="s">
        <v>108</v>
      </c>
      <c r="D13" s="60" t="s">
        <v>109</v>
      </c>
      <c r="E13" s="60"/>
      <c r="F13" s="60"/>
      <c r="G13" s="60"/>
      <c r="H13" s="60"/>
      <c r="I13" s="60"/>
      <c r="J13" s="60"/>
      <c r="K13" s="99" t="s">
        <v>110</v>
      </c>
    </row>
    <row r="14" ht="21.75" customHeight="1" spans="1:11">
      <c r="A14" s="52" t="s">
        <v>23</v>
      </c>
      <c r="B14" s="52">
        <v>2</v>
      </c>
      <c r="C14" s="62">
        <f>HLOOKUP(C4,A4:E9,2)</f>
        <v>8</v>
      </c>
      <c r="D14" s="100" t="s">
        <v>111</v>
      </c>
      <c r="E14" s="100"/>
      <c r="F14" s="100"/>
      <c r="G14" s="100"/>
      <c r="H14" s="100"/>
      <c r="I14" s="100"/>
      <c r="J14" s="100"/>
      <c r="K14" s="101">
        <v>8</v>
      </c>
    </row>
    <row r="15" ht="21.75" customHeight="1" spans="1:11">
      <c r="A15" s="56" t="s">
        <v>29</v>
      </c>
      <c r="B15" s="56">
        <v>4</v>
      </c>
      <c r="C15">
        <f>HLOOKUP(TRIM(D4),A4:E9,4,FALSE)</f>
        <v>88833.3333333333</v>
      </c>
      <c r="D15" s="96" t="s">
        <v>112</v>
      </c>
      <c r="E15" s="96"/>
      <c r="F15" s="96"/>
      <c r="G15" s="96"/>
      <c r="H15" s="96"/>
      <c r="I15" s="96"/>
      <c r="J15" s="96"/>
      <c r="K15" s="101">
        <v>88833.3333333333</v>
      </c>
    </row>
    <row r="16" ht="21.75" customHeight="1" spans="1:11">
      <c r="A16" s="52" t="s">
        <v>37</v>
      </c>
      <c r="B16" s="52">
        <v>5</v>
      </c>
      <c r="C16" s="62">
        <f>HLOOKUP(E4,A4:E9,5)</f>
        <v>105000</v>
      </c>
      <c r="D16" s="100" t="s">
        <v>113</v>
      </c>
      <c r="E16" s="100"/>
      <c r="F16" s="100"/>
      <c r="G16" s="100"/>
      <c r="H16" s="100"/>
      <c r="I16" s="100"/>
      <c r="J16" s="100"/>
      <c r="K16" s="101">
        <v>105000</v>
      </c>
    </row>
    <row r="17" ht="21.75" customHeight="1" spans="1:11">
      <c r="A17" s="56" t="s">
        <v>16</v>
      </c>
      <c r="B17" s="56">
        <v>6</v>
      </c>
      <c r="C17" s="62">
        <f>HLOOKUP(TRIM(B4),A4:E9,6,FALSE)</f>
        <v>14.6</v>
      </c>
      <c r="D17" s="96" t="s">
        <v>114</v>
      </c>
      <c r="E17" s="96"/>
      <c r="F17" s="96"/>
      <c r="G17" s="96"/>
      <c r="H17" s="96"/>
      <c r="I17" s="96"/>
      <c r="J17" s="96"/>
      <c r="K17" s="101">
        <v>14.6</v>
      </c>
    </row>
  </sheetData>
  <mergeCells count="10">
    <mergeCell ref="A1:J1"/>
    <mergeCell ref="A2:J2"/>
    <mergeCell ref="A3:J3"/>
    <mergeCell ref="A11:J11"/>
    <mergeCell ref="A12:J12"/>
    <mergeCell ref="D13:J13"/>
    <mergeCell ref="D14:J14"/>
    <mergeCell ref="D15:J15"/>
    <mergeCell ref="D16:J16"/>
    <mergeCell ref="D17:J17"/>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A6F1E"/>
  </sheetPr>
  <dimension ref="A1:V34"/>
  <sheetViews>
    <sheetView showGridLines="0" zoomScale="81" zoomScaleNormal="81" workbookViewId="0">
      <pane ySplit="3" topLeftCell="A4" activePane="bottomLeft" state="frozen"/>
      <selection/>
      <selection pane="bottomLeft" activeCell="D6" sqref="D6"/>
    </sheetView>
  </sheetViews>
  <sheetFormatPr defaultColWidth="8.66363636363636" defaultRowHeight="14.5"/>
  <cols>
    <col min="1" max="1" width="9" customWidth="1"/>
    <col min="2" max="3" width="10" customWidth="1"/>
    <col min="4" max="4" width="26.8909090909091" customWidth="1"/>
    <col min="5" max="5" width="16" customWidth="1"/>
    <col min="6" max="6" width="22.5545454545455" customWidth="1"/>
    <col min="7" max="7" width="20" customWidth="1"/>
    <col min="8" max="8" width="37.2181818181818" customWidth="1"/>
  </cols>
  <sheetData>
    <row r="1" ht="37.5" customHeight="1" spans="1:22">
      <c r="A1" s="1" t="s">
        <v>115</v>
      </c>
      <c r="B1" s="1"/>
      <c r="C1" s="1"/>
      <c r="D1" s="1"/>
      <c r="E1" s="1"/>
      <c r="F1" s="1"/>
      <c r="G1" s="1"/>
      <c r="H1" s="1"/>
    </row>
    <row r="2" ht="31.5" customHeight="1" spans="1:22">
      <c r="A2" s="90" t="s">
        <v>116</v>
      </c>
      <c r="B2" s="90"/>
      <c r="C2" s="90"/>
      <c r="D2" s="90"/>
      <c r="E2" s="90"/>
      <c r="F2" s="90"/>
      <c r="G2" s="90"/>
      <c r="H2" s="90"/>
    </row>
    <row r="3" ht="21.75" customHeight="1" spans="1:22">
      <c r="A3" s="91" t="s">
        <v>2</v>
      </c>
      <c r="B3" s="91" t="s">
        <v>117</v>
      </c>
      <c r="C3" s="91" t="s">
        <v>118</v>
      </c>
      <c r="D3" s="91" t="s">
        <v>119</v>
      </c>
      <c r="E3" s="91" t="s">
        <v>120</v>
      </c>
      <c r="F3" s="91" t="s">
        <v>121</v>
      </c>
      <c r="G3" s="91" t="s">
        <v>122</v>
      </c>
      <c r="H3" s="91" t="s">
        <v>123</v>
      </c>
    </row>
    <row r="4" ht="16.5" customHeight="1" spans="1:22">
      <c r="A4" s="52" t="s">
        <v>14</v>
      </c>
      <c r="B4" s="52">
        <v>1</v>
      </c>
      <c r="C4" s="52">
        <v>2</v>
      </c>
      <c r="D4" s="92" t="s">
        <v>15</v>
      </c>
      <c r="E4" s="32">
        <v>62000</v>
      </c>
      <c r="F4" s="92" t="s">
        <v>16</v>
      </c>
      <c r="G4" s="92" t="s">
        <v>17</v>
      </c>
      <c r="H4" s="92" t="s">
        <v>15</v>
      </c>
    </row>
    <row r="5" ht="16.5" customHeight="1" spans="1:22">
      <c r="A5" s="56" t="s">
        <v>21</v>
      </c>
      <c r="B5" s="56">
        <v>2</v>
      </c>
      <c r="C5" s="56">
        <v>2</v>
      </c>
      <c r="D5" s="93" t="s">
        <v>22</v>
      </c>
      <c r="E5" s="94">
        <v>75000</v>
      </c>
      <c r="F5" s="93" t="s">
        <v>23</v>
      </c>
      <c r="G5" s="93" t="s">
        <v>24</v>
      </c>
      <c r="H5" s="93" t="s">
        <v>22</v>
      </c>
    </row>
    <row r="6" ht="16.5" customHeight="1" spans="1:22">
      <c r="A6" s="52" t="s">
        <v>27</v>
      </c>
      <c r="B6" s="52">
        <v>3</v>
      </c>
      <c r="C6" s="52">
        <v>2</v>
      </c>
      <c r="D6" s="92" t="str">
        <f>INDEX('Employee Dataset'!B4:B28,3)</f>
        <v>Carol White</v>
      </c>
      <c r="E6" s="32">
        <f>INDEX('Employee Dataset'!E3:E28,4)</f>
        <v>90000</v>
      </c>
      <c r="F6" s="92" t="str">
        <f>INDEX('Employee Dataset'!C3:C28,4)</f>
        <v>Finance</v>
      </c>
      <c r="G6" s="92" t="str">
        <f>INDEX('Employee Dataset'!G3:G28,2)</f>
        <v>Excellent</v>
      </c>
      <c r="H6" s="92" t="str">
        <f>INDEX(D6,0,0)</f>
        <v>Carol White</v>
      </c>
    </row>
    <row r="7" ht="16.5" customHeight="1" spans="1:22">
      <c r="A7" s="56" t="s">
        <v>31</v>
      </c>
      <c r="B7" s="56">
        <v>4</v>
      </c>
      <c r="C7" s="56">
        <v>2</v>
      </c>
      <c r="D7" s="92" t="str">
        <f>INDEX('Employee Dataset'!B5:B29,3)</f>
        <v>David Brown</v>
      </c>
      <c r="E7" s="32">
        <f>INDEX('Employee Dataset'!E4:E29,4)</f>
        <v>71000</v>
      </c>
      <c r="F7" s="92" t="str">
        <f>INDEX('Employee Dataset'!C4:C29,4)</f>
        <v>IT</v>
      </c>
      <c r="G7" s="92" t="str">
        <f>INDEX('Employee Dataset'!G4:G29,2)</f>
        <v>Good</v>
      </c>
      <c r="H7" s="92" t="str">
        <f t="shared" ref="H7:H28" si="0">INDEX(D7,0,0)</f>
        <v>David Brown</v>
      </c>
      <c r="K7" t="str" cm="1">
        <f t="array" ref="K7:V32">INDEX('Employee Dataset'!A3:L28,0)</f>
        <v>Emp ID</v>
      </c>
      <c r="L7" t="str">
        <v>Name</v>
      </c>
      <c r="M7" t="str">
        <v>Department</v>
      </c>
      <c r="N7" t="str">
        <v>Age</v>
      </c>
      <c r="O7" t="str">
        <v>Salary</v>
      </c>
      <c r="P7" t="str">
        <v>Years Exp</v>
      </c>
      <c r="Q7" t="str">
        <v>Performance</v>
      </c>
      <c r="R7" t="str">
        <v>Region</v>
      </c>
      <c r="S7" t="str">
        <v>Gender</v>
      </c>
      <c r="T7" t="str">
        <v>Bonus Pct</v>
      </c>
      <c r="U7" t="str">
        <v>Projects Done</v>
      </c>
      <c r="V7" t="str">
        <v>Active</v>
      </c>
    </row>
    <row r="8" ht="16.5" customHeight="1" spans="1:22">
      <c r="A8" s="52" t="s">
        <v>35</v>
      </c>
      <c r="B8" s="52">
        <v>5</v>
      </c>
      <c r="C8" s="52">
        <v>2</v>
      </c>
      <c r="D8" s="92" t="str">
        <f>INDEX('Employee Dataset'!B6:B30,3)</f>
        <v>Eva Green</v>
      </c>
      <c r="E8" s="32">
        <f>INDEX('Employee Dataset'!E5:E30,4)</f>
        <v>55000</v>
      </c>
      <c r="F8" s="92" t="str">
        <f>INDEX('Employee Dataset'!C5:C30,4)</f>
        <v>Marketing</v>
      </c>
      <c r="G8" s="92" t="str">
        <f>INDEX('Employee Dataset'!G5:G30,2)</f>
        <v>Excellent</v>
      </c>
      <c r="H8" s="92" t="str">
        <f t="shared" si="0"/>
        <v>Eva Green</v>
      </c>
      <c r="K8" t="str">
        <v>E001</v>
      </c>
      <c r="L8" t="str">
        <v>Alice Johnson</v>
      </c>
      <c r="M8" t="str">
        <v>HR</v>
      </c>
      <c r="N8">
        <v>34</v>
      </c>
      <c r="O8">
        <v>62000</v>
      </c>
      <c r="P8">
        <v>6</v>
      </c>
      <c r="Q8" t="str">
        <v>Excellent</v>
      </c>
      <c r="R8" t="str">
        <v>North</v>
      </c>
      <c r="S8" t="str">
        <v>F</v>
      </c>
      <c r="T8">
        <v>12</v>
      </c>
      <c r="U8">
        <v>8</v>
      </c>
      <c r="V8" t="str">
        <v>Yes</v>
      </c>
    </row>
    <row r="9" ht="16.5" customHeight="1" spans="1:22">
      <c r="A9" s="56" t="s">
        <v>38</v>
      </c>
      <c r="B9" s="56">
        <v>6</v>
      </c>
      <c r="C9" s="56">
        <v>2</v>
      </c>
      <c r="D9" s="92" t="str">
        <f>INDEX('Employee Dataset'!B7:B31,3)</f>
        <v>Frank Lee</v>
      </c>
      <c r="E9" s="32">
        <f>INDEX('Employee Dataset'!E6:E31,4)</f>
        <v>68000</v>
      </c>
      <c r="F9" s="92" t="str">
        <f>INDEX('Employee Dataset'!C6:C31,4)</f>
        <v>HR</v>
      </c>
      <c r="G9" s="92" t="str">
        <f>INDEX('Employee Dataset'!G6:G31,2)</f>
        <v>Average</v>
      </c>
      <c r="H9" s="92" t="str">
        <f t="shared" si="0"/>
        <v>Frank Lee</v>
      </c>
      <c r="K9" t="str">
        <v>E002</v>
      </c>
      <c r="L9" t="str">
        <v>Bob Smith</v>
      </c>
      <c r="M9" t="str">
        <v>IT</v>
      </c>
      <c r="N9">
        <v>28</v>
      </c>
      <c r="O9">
        <v>75000</v>
      </c>
      <c r="P9">
        <v>4</v>
      </c>
      <c r="Q9" t="str">
        <v>Good</v>
      </c>
      <c r="R9" t="str">
        <v>South</v>
      </c>
      <c r="S9" t="str">
        <v>M</v>
      </c>
      <c r="T9">
        <v>10</v>
      </c>
      <c r="U9">
        <v>12</v>
      </c>
      <c r="V9" t="str">
        <v>Yes</v>
      </c>
    </row>
    <row r="10" ht="16.5" customHeight="1" spans="1:22">
      <c r="A10" s="52" t="s">
        <v>41</v>
      </c>
      <c r="B10" s="52">
        <v>7</v>
      </c>
      <c r="C10" s="52">
        <v>2</v>
      </c>
      <c r="D10" s="92" t="str">
        <f>INDEX('Employee Dataset'!B8:B32,3)</f>
        <v>Grace Kim</v>
      </c>
      <c r="E10" s="32">
        <f>INDEX('Employee Dataset'!E7:E32,4)</f>
        <v>95000</v>
      </c>
      <c r="F10" s="92" t="str">
        <f>INDEX('Employee Dataset'!C7:C32,4)</f>
        <v>Finance</v>
      </c>
      <c r="G10" s="92" t="str">
        <f>INDEX('Employee Dataset'!G7:G32,2)</f>
        <v>Good</v>
      </c>
      <c r="H10" s="92" t="str">
        <f t="shared" si="0"/>
        <v>Grace Kim</v>
      </c>
      <c r="K10" t="str">
        <v>E003</v>
      </c>
      <c r="L10" t="str">
        <v>Carol White</v>
      </c>
      <c r="M10" t="str">
        <v>Finance</v>
      </c>
      <c r="N10">
        <v>45</v>
      </c>
      <c r="O10">
        <v>90000</v>
      </c>
      <c r="P10">
        <v>18</v>
      </c>
      <c r="Q10" t="str">
        <v>Excellent</v>
      </c>
      <c r="R10" t="str">
        <v>East</v>
      </c>
      <c r="S10" t="str">
        <v>F</v>
      </c>
      <c r="T10">
        <v>15</v>
      </c>
      <c r="U10">
        <v>20</v>
      </c>
      <c r="V10" t="str">
        <v>Yes</v>
      </c>
    </row>
    <row r="11" ht="16.5" customHeight="1" spans="1:22">
      <c r="A11" s="56" t="s">
        <v>43</v>
      </c>
      <c r="B11" s="56">
        <v>8</v>
      </c>
      <c r="C11" s="56">
        <v>2</v>
      </c>
      <c r="D11" s="92" t="str">
        <f>INDEX('Employee Dataset'!B9:B33,3)</f>
        <v>Henry Davis</v>
      </c>
      <c r="E11" s="32">
        <f>INDEX('Employee Dataset'!E8:E33,4)</f>
        <v>58000</v>
      </c>
      <c r="F11" s="92" t="str">
        <f>INDEX('Employee Dataset'!C8:C33,4)</f>
        <v>IT</v>
      </c>
      <c r="G11" s="92" t="str">
        <f>INDEX('Employee Dataset'!G8:G33,2)</f>
        <v>Average</v>
      </c>
      <c r="H11" s="92" t="str">
        <f t="shared" si="0"/>
        <v>Henry Davis</v>
      </c>
      <c r="K11" t="str">
        <v>E004</v>
      </c>
      <c r="L11" t="str">
        <v>David Brown</v>
      </c>
      <c r="M11" t="str">
        <v>IT</v>
      </c>
      <c r="N11">
        <v>31</v>
      </c>
      <c r="O11">
        <v>71000</v>
      </c>
      <c r="P11">
        <v>7</v>
      </c>
      <c r="Q11" t="str">
        <v>Average</v>
      </c>
      <c r="R11" t="str">
        <v>West</v>
      </c>
      <c r="S11" t="str">
        <v>M</v>
      </c>
      <c r="T11">
        <v>8</v>
      </c>
      <c r="U11">
        <v>9</v>
      </c>
      <c r="V11" t="str">
        <v>Yes</v>
      </c>
    </row>
    <row r="12" ht="16.5" customHeight="1" spans="1:22">
      <c r="A12" s="52" t="s">
        <v>45</v>
      </c>
      <c r="B12" s="52">
        <v>9</v>
      </c>
      <c r="C12" s="52">
        <v>2</v>
      </c>
      <c r="D12" s="92" t="str">
        <f>INDEX('Employee Dataset'!B10:B34,3)</f>
        <v>Isla Martin</v>
      </c>
      <c r="E12" s="32">
        <f>INDEX('Employee Dataset'!E9:E34,4)</f>
        <v>72000</v>
      </c>
      <c r="F12" s="92" t="str">
        <f>INDEX('Employee Dataset'!C9:C34,4)</f>
        <v>Marketing</v>
      </c>
      <c r="G12" s="92" t="str">
        <f>INDEX('Employee Dataset'!G9:G34,2)</f>
        <v>Excellent</v>
      </c>
      <c r="H12" s="92" t="str">
        <f t="shared" si="0"/>
        <v>Isla Martin</v>
      </c>
      <c r="K12" t="str">
        <v>E005</v>
      </c>
      <c r="L12" t="str">
        <v>Eva Green</v>
      </c>
      <c r="M12" t="str">
        <v>Marketing</v>
      </c>
      <c r="N12">
        <v>26</v>
      </c>
      <c r="O12">
        <v>55000</v>
      </c>
      <c r="P12">
        <v>3</v>
      </c>
      <c r="Q12" t="str">
        <v>Good</v>
      </c>
      <c r="R12" t="str">
        <v>North</v>
      </c>
      <c r="S12" t="str">
        <v>F</v>
      </c>
      <c r="T12">
        <v>10</v>
      </c>
      <c r="U12">
        <v>6</v>
      </c>
      <c r="V12" t="str">
        <v>Yes</v>
      </c>
    </row>
    <row r="13" ht="16.5" customHeight="1" spans="1:22">
      <c r="A13" s="56" t="s">
        <v>47</v>
      </c>
      <c r="B13" s="56">
        <v>10</v>
      </c>
      <c r="C13" s="56">
        <v>2</v>
      </c>
      <c r="D13" s="92" t="str">
        <f>INDEX('Employee Dataset'!B11:B35,3)</f>
        <v>Jack Wilson</v>
      </c>
      <c r="E13" s="32">
        <f>INDEX('Employee Dataset'!E10:E35,4)</f>
        <v>80000</v>
      </c>
      <c r="F13" s="92" t="str">
        <f>INDEX('Employee Dataset'!C10:C35,4)</f>
        <v>Finance</v>
      </c>
      <c r="G13" s="92" t="str">
        <f>INDEX('Employee Dataset'!G10:G35,2)</f>
        <v>Good</v>
      </c>
      <c r="H13" s="92" t="str">
        <f t="shared" si="0"/>
        <v>Jack Wilson</v>
      </c>
      <c r="K13" t="str">
        <v>E006</v>
      </c>
      <c r="L13" t="str">
        <v>Frank Lee</v>
      </c>
      <c r="M13" t="str">
        <v>HR</v>
      </c>
      <c r="N13">
        <v>52</v>
      </c>
      <c r="O13">
        <v>68000</v>
      </c>
      <c r="P13">
        <v>22</v>
      </c>
      <c r="Q13" t="str">
        <v>Average</v>
      </c>
      <c r="R13" t="str">
        <v>South</v>
      </c>
      <c r="S13" t="str">
        <v>M</v>
      </c>
      <c r="T13">
        <v>8</v>
      </c>
      <c r="U13">
        <v>15</v>
      </c>
      <c r="V13" t="str">
        <v>No</v>
      </c>
    </row>
    <row r="14" ht="16.5" customHeight="1" spans="1:22">
      <c r="A14" s="52" t="s">
        <v>49</v>
      </c>
      <c r="B14" s="52">
        <v>11</v>
      </c>
      <c r="C14" s="52">
        <v>2</v>
      </c>
      <c r="D14" s="92" t="str">
        <f>INDEX('Employee Dataset'!B12:B36,3)</f>
        <v>Karen Taylor</v>
      </c>
      <c r="E14" s="32">
        <f>INDEX('Employee Dataset'!E11:E36,4)</f>
        <v>82000</v>
      </c>
      <c r="F14" s="92" t="str">
        <f>INDEX('Employee Dataset'!C11:C36,4)</f>
        <v>IT</v>
      </c>
      <c r="G14" s="92" t="str">
        <f>INDEX('Employee Dataset'!G11:G36,2)</f>
        <v>Excellent</v>
      </c>
      <c r="H14" s="92" t="str">
        <f t="shared" si="0"/>
        <v>Karen Taylor</v>
      </c>
      <c r="K14" t="str">
        <v>E007</v>
      </c>
      <c r="L14" t="str">
        <v>Grace Kim</v>
      </c>
      <c r="M14" t="str">
        <v>Finance</v>
      </c>
      <c r="N14">
        <v>38</v>
      </c>
      <c r="O14">
        <v>95000</v>
      </c>
      <c r="P14">
        <v>14</v>
      </c>
      <c r="Q14" t="str">
        <v>Excellent</v>
      </c>
      <c r="R14" t="str">
        <v>East</v>
      </c>
      <c r="S14" t="str">
        <v>F</v>
      </c>
      <c r="T14">
        <v>15</v>
      </c>
      <c r="U14">
        <v>22</v>
      </c>
      <c r="V14" t="str">
        <v>Yes</v>
      </c>
    </row>
    <row r="15" ht="16.5" customHeight="1" spans="1:22">
      <c r="A15" s="56" t="s">
        <v>51</v>
      </c>
      <c r="B15" s="56">
        <v>12</v>
      </c>
      <c r="C15" s="56">
        <v>2</v>
      </c>
      <c r="D15" s="92" t="str">
        <f>INDEX('Employee Dataset'!B13:B37,3)</f>
        <v>Liam Moore</v>
      </c>
      <c r="E15" s="32">
        <f>INDEX('Employee Dataset'!E12:E37,4)</f>
        <v>63000</v>
      </c>
      <c r="F15" s="92" t="str">
        <f>INDEX('Employee Dataset'!C12:C37,4)</f>
        <v>HR</v>
      </c>
      <c r="G15" s="92" t="str">
        <f>INDEX('Employee Dataset'!G12:G37,2)</f>
        <v>Average</v>
      </c>
      <c r="H15" s="92" t="str">
        <f t="shared" si="0"/>
        <v>Liam Moore</v>
      </c>
      <c r="K15" t="str">
        <v>E008</v>
      </c>
      <c r="L15" t="str">
        <v>Henry Davis</v>
      </c>
      <c r="M15" t="str">
        <v>IT</v>
      </c>
      <c r="N15">
        <v>23</v>
      </c>
      <c r="O15">
        <v>58000</v>
      </c>
      <c r="P15">
        <v>1</v>
      </c>
      <c r="Q15" t="str">
        <v>Good</v>
      </c>
      <c r="R15" t="str">
        <v>West</v>
      </c>
      <c r="S15" t="str">
        <v>M</v>
      </c>
      <c r="T15">
        <v>10</v>
      </c>
      <c r="U15">
        <v>5</v>
      </c>
      <c r="V15" t="str">
        <v>Yes</v>
      </c>
    </row>
    <row r="16" ht="16.5" customHeight="1" spans="1:22">
      <c r="A16" s="52" t="s">
        <v>53</v>
      </c>
      <c r="B16" s="52">
        <v>13</v>
      </c>
      <c r="C16" s="52">
        <v>2</v>
      </c>
      <c r="D16" s="92" t="str">
        <f>INDEX('Employee Dataset'!B14:B38,3)</f>
        <v>Mia Anderson</v>
      </c>
      <c r="E16" s="32">
        <f>INDEX('Employee Dataset'!E13:E38,4)</f>
        <v>60000</v>
      </c>
      <c r="F16" s="92" t="str">
        <f>INDEX('Employee Dataset'!C13:C38,4)</f>
        <v>Marketing</v>
      </c>
      <c r="G16" s="92" t="str">
        <f>INDEX('Employee Dataset'!G13:G38,2)</f>
        <v>Good</v>
      </c>
      <c r="H16" s="92" t="str">
        <f t="shared" si="0"/>
        <v>Mia Anderson</v>
      </c>
      <c r="K16" t="str">
        <v>E009</v>
      </c>
      <c r="L16" t="str">
        <v>Isla Martin</v>
      </c>
      <c r="M16" t="str">
        <v>Marketing</v>
      </c>
      <c r="N16">
        <v>41</v>
      </c>
      <c r="O16">
        <v>72000</v>
      </c>
      <c r="P16">
        <v>12</v>
      </c>
      <c r="Q16" t="str">
        <v>Excellent</v>
      </c>
      <c r="R16" t="str">
        <v>North</v>
      </c>
      <c r="S16" t="str">
        <v>F</v>
      </c>
      <c r="T16">
        <v>12</v>
      </c>
      <c r="U16">
        <v>18</v>
      </c>
      <c r="V16" t="str">
        <v>Yes</v>
      </c>
    </row>
    <row r="17" ht="16.5" customHeight="1" spans="1:22">
      <c r="A17" s="56" t="s">
        <v>55</v>
      </c>
      <c r="B17" s="56">
        <v>14</v>
      </c>
      <c r="C17" s="56">
        <v>2</v>
      </c>
      <c r="D17" s="92" t="str">
        <f>INDEX('Employee Dataset'!B15:B39,3)</f>
        <v>Noah Thomas</v>
      </c>
      <c r="E17" s="32">
        <f>INDEX('Employee Dataset'!E14:E39,4)</f>
        <v>105000</v>
      </c>
      <c r="F17" s="92" t="str">
        <f>INDEX('Employee Dataset'!C14:C39,4)</f>
        <v>Finance</v>
      </c>
      <c r="G17" s="92" t="str">
        <f>INDEX('Employee Dataset'!G14:G39,2)</f>
        <v>Average</v>
      </c>
      <c r="H17" s="92" t="str">
        <f t="shared" si="0"/>
        <v>Noah Thomas</v>
      </c>
      <c r="K17" t="str">
        <v>E010</v>
      </c>
      <c r="L17" t="str">
        <v>Jack Wilson</v>
      </c>
      <c r="M17" t="str">
        <v>Finance</v>
      </c>
      <c r="N17">
        <v>29</v>
      </c>
      <c r="O17">
        <v>80000</v>
      </c>
      <c r="P17">
        <v>5</v>
      </c>
      <c r="Q17" t="str">
        <v>Average</v>
      </c>
      <c r="R17" t="str">
        <v>South</v>
      </c>
      <c r="S17" t="str">
        <v>M</v>
      </c>
      <c r="T17">
        <v>8</v>
      </c>
      <c r="U17">
        <v>10</v>
      </c>
      <c r="V17" t="str">
        <v>Yes</v>
      </c>
    </row>
    <row r="18" ht="16.5" customHeight="1" spans="1:22">
      <c r="A18" s="52" t="s">
        <v>57</v>
      </c>
      <c r="B18" s="52">
        <v>15</v>
      </c>
      <c r="C18" s="52">
        <v>2</v>
      </c>
      <c r="D18" s="92" t="str">
        <f>INDEX('Employee Dataset'!B16:B40,3)</f>
        <v>Olivia Harris</v>
      </c>
      <c r="E18" s="32">
        <f>INDEX('Employee Dataset'!E15:E40,4)</f>
        <v>70000</v>
      </c>
      <c r="F18" s="92" t="str">
        <f>INDEX('Employee Dataset'!C15:C40,4)</f>
        <v>IT</v>
      </c>
      <c r="G18" s="92" t="str">
        <f>INDEX('Employee Dataset'!G15:G40,2)</f>
        <v>Good</v>
      </c>
      <c r="H18" s="92" t="str">
        <f t="shared" si="0"/>
        <v>Olivia Harris</v>
      </c>
      <c r="K18" t="str">
        <v>E011</v>
      </c>
      <c r="L18" t="str">
        <v>Karen Taylor</v>
      </c>
      <c r="M18" t="str">
        <v>IT</v>
      </c>
      <c r="N18">
        <v>36</v>
      </c>
      <c r="O18">
        <v>82000</v>
      </c>
      <c r="P18">
        <v>10</v>
      </c>
      <c r="Q18" t="str">
        <v>Good</v>
      </c>
      <c r="R18" t="str">
        <v>East</v>
      </c>
      <c r="S18" t="str">
        <v>F</v>
      </c>
      <c r="T18">
        <v>10</v>
      </c>
      <c r="U18">
        <v>14</v>
      </c>
      <c r="V18" t="str">
        <v>No</v>
      </c>
    </row>
    <row r="19" ht="16.5" customHeight="1" spans="1:22">
      <c r="A19" s="56" t="s">
        <v>59</v>
      </c>
      <c r="B19" s="56">
        <v>16</v>
      </c>
      <c r="C19" s="56">
        <v>2</v>
      </c>
      <c r="D19" s="92" t="str">
        <f>INDEX('Employee Dataset'!B17:B41,3)</f>
        <v>Peter Clark</v>
      </c>
      <c r="E19" s="32">
        <f>INDEX('Employee Dataset'!E16:E41,4)</f>
        <v>67000</v>
      </c>
      <c r="F19" s="92" t="str">
        <f>INDEX('Employee Dataset'!C16:C41,4)</f>
        <v>HR</v>
      </c>
      <c r="G19" s="92" t="str">
        <f>INDEX('Employee Dataset'!G16:G41,2)</f>
        <v>Excellent</v>
      </c>
      <c r="H19" s="92" t="str">
        <f t="shared" si="0"/>
        <v>Peter Clark</v>
      </c>
      <c r="K19" t="str">
        <v>E012</v>
      </c>
      <c r="L19" t="str">
        <v>Liam Moore</v>
      </c>
      <c r="M19" t="str">
        <v>HR</v>
      </c>
      <c r="N19">
        <v>48</v>
      </c>
      <c r="O19">
        <v>63000</v>
      </c>
      <c r="P19">
        <v>20</v>
      </c>
      <c r="Q19" t="str">
        <v>Average</v>
      </c>
      <c r="R19" t="str">
        <v>West</v>
      </c>
      <c r="S19" t="str">
        <v>M</v>
      </c>
      <c r="T19">
        <v>8</v>
      </c>
      <c r="U19">
        <v>11</v>
      </c>
      <c r="V19" t="str">
        <v>Yes</v>
      </c>
    </row>
    <row r="20" ht="16.5" customHeight="1" spans="1:22">
      <c r="A20" s="52" t="s">
        <v>61</v>
      </c>
      <c r="B20" s="52">
        <v>17</v>
      </c>
      <c r="C20" s="52">
        <v>2</v>
      </c>
      <c r="D20" s="92" t="str">
        <f>INDEX('Employee Dataset'!B18:B42,3)</f>
        <v>Quinn Lewis</v>
      </c>
      <c r="E20" s="32">
        <f>INDEX('Employee Dataset'!E17:E42,4)</f>
        <v>58000</v>
      </c>
      <c r="F20" s="92" t="str">
        <f>INDEX('Employee Dataset'!C17:C42,4)</f>
        <v>Marketing</v>
      </c>
      <c r="G20" s="92" t="str">
        <f>INDEX('Employee Dataset'!G17:G42,2)</f>
        <v>Excellent</v>
      </c>
      <c r="H20" s="92" t="str">
        <f t="shared" si="0"/>
        <v>Quinn Lewis</v>
      </c>
      <c r="K20" t="str">
        <v>E013</v>
      </c>
      <c r="L20" t="str">
        <v>Mia Anderson</v>
      </c>
      <c r="M20" t="str">
        <v>Marketing</v>
      </c>
      <c r="N20">
        <v>33</v>
      </c>
      <c r="O20">
        <v>60000</v>
      </c>
      <c r="P20">
        <v>8</v>
      </c>
      <c r="Q20" t="str">
        <v>Good</v>
      </c>
      <c r="R20" t="str">
        <v>North</v>
      </c>
      <c r="S20" t="str">
        <v>F</v>
      </c>
      <c r="T20">
        <v>10</v>
      </c>
      <c r="U20">
        <v>9</v>
      </c>
      <c r="V20" t="str">
        <v>Yes</v>
      </c>
    </row>
    <row r="21" ht="16.5" customHeight="1" spans="1:22">
      <c r="A21" s="56" t="s">
        <v>63</v>
      </c>
      <c r="B21" s="56">
        <v>18</v>
      </c>
      <c r="C21" s="56">
        <v>2</v>
      </c>
      <c r="D21" s="92" t="str">
        <f>INDEX('Employee Dataset'!B19:B43,3)</f>
        <v>Ryan Walker</v>
      </c>
      <c r="E21" s="32">
        <f>INDEX('Employee Dataset'!E18:E43,4)</f>
        <v>88000</v>
      </c>
      <c r="F21" s="92" t="str">
        <f>INDEX('Employee Dataset'!C18:C43,4)</f>
        <v>IT</v>
      </c>
      <c r="G21" s="92" t="str">
        <f>INDEX('Employee Dataset'!G18:G43,2)</f>
        <v>Good</v>
      </c>
      <c r="H21" s="92" t="str">
        <f t="shared" si="0"/>
        <v>Ryan Walker</v>
      </c>
      <c r="K21" t="str">
        <v>E014</v>
      </c>
      <c r="L21" t="str">
        <v>Noah Thomas</v>
      </c>
      <c r="M21" t="str">
        <v>Finance</v>
      </c>
      <c r="N21">
        <v>55</v>
      </c>
      <c r="O21">
        <v>105000</v>
      </c>
      <c r="P21">
        <v>28</v>
      </c>
      <c r="Q21" t="str">
        <v>Excellent</v>
      </c>
      <c r="R21" t="str">
        <v>South</v>
      </c>
      <c r="S21" t="str">
        <v>M</v>
      </c>
      <c r="T21">
        <v>20</v>
      </c>
      <c r="U21">
        <v>30</v>
      </c>
      <c r="V21" t="str">
        <v>Yes</v>
      </c>
    </row>
    <row r="22" ht="16.5" customHeight="1" spans="1:22">
      <c r="A22" s="52" t="s">
        <v>65</v>
      </c>
      <c r="B22" s="52">
        <v>19</v>
      </c>
      <c r="C22" s="52">
        <v>2</v>
      </c>
      <c r="D22" s="92" t="str">
        <f>INDEX('Employee Dataset'!B20:B44,3)</f>
        <v>Sara Hall</v>
      </c>
      <c r="E22" s="32">
        <f>INDEX('Employee Dataset'!E19:E44,4)</f>
        <v>76000</v>
      </c>
      <c r="F22" s="92" t="str">
        <f>INDEX('Employee Dataset'!C19:C44,4)</f>
        <v>Finance</v>
      </c>
      <c r="G22" s="92" t="str">
        <f>INDEX('Employee Dataset'!G19:G44,2)</f>
        <v>Average</v>
      </c>
      <c r="H22" s="92" t="str">
        <f t="shared" si="0"/>
        <v>Sara Hall</v>
      </c>
      <c r="K22" t="str">
        <v>E015</v>
      </c>
      <c r="L22" t="str">
        <v>Olivia Harris</v>
      </c>
      <c r="M22" t="str">
        <v>IT</v>
      </c>
      <c r="N22">
        <v>27</v>
      </c>
      <c r="O22">
        <v>70000</v>
      </c>
      <c r="P22">
        <v>3</v>
      </c>
      <c r="Q22" t="str">
        <v>Excellent</v>
      </c>
      <c r="R22" t="str">
        <v>East</v>
      </c>
      <c r="S22" t="str">
        <v>F</v>
      </c>
      <c r="T22">
        <v>12</v>
      </c>
      <c r="U22">
        <v>7</v>
      </c>
      <c r="V22" t="str">
        <v>Yes</v>
      </c>
    </row>
    <row r="23" ht="16.5" customHeight="1" spans="1:22">
      <c r="A23" s="56" t="s">
        <v>67</v>
      </c>
      <c r="B23" s="56">
        <v>20</v>
      </c>
      <c r="C23" s="56">
        <v>2</v>
      </c>
      <c r="D23" s="92" t="str">
        <f>INDEX('Employee Dataset'!B21:B45,3)</f>
        <v>Tom Young</v>
      </c>
      <c r="E23" s="32">
        <f>INDEX('Employee Dataset'!E20:E45,4)</f>
        <v>65000</v>
      </c>
      <c r="F23" s="92" t="str">
        <f>INDEX('Employee Dataset'!C20:C45,4)</f>
        <v>Marketing</v>
      </c>
      <c r="G23" s="92" t="str">
        <f>INDEX('Employee Dataset'!G20:G45,2)</f>
        <v>Excellent</v>
      </c>
      <c r="H23" s="92" t="str">
        <f t="shared" si="0"/>
        <v>Tom Young</v>
      </c>
      <c r="K23" t="str">
        <v>E016</v>
      </c>
      <c r="L23" t="str">
        <v>Peter Clark</v>
      </c>
      <c r="M23" t="str">
        <v>HR</v>
      </c>
      <c r="N23">
        <v>44</v>
      </c>
      <c r="O23">
        <v>67000</v>
      </c>
      <c r="P23">
        <v>16</v>
      </c>
      <c r="Q23" t="str">
        <v>Good</v>
      </c>
      <c r="R23" t="str">
        <v>West</v>
      </c>
      <c r="S23" t="str">
        <v>M</v>
      </c>
      <c r="T23">
        <v>10</v>
      </c>
      <c r="U23">
        <v>13</v>
      </c>
      <c r="V23" t="str">
        <v>No</v>
      </c>
    </row>
    <row r="24" ht="16.5" customHeight="1" spans="1:22">
      <c r="A24" s="52" t="s">
        <v>69</v>
      </c>
      <c r="B24" s="52">
        <v>21</v>
      </c>
      <c r="C24" s="52">
        <v>2</v>
      </c>
      <c r="D24" s="92" t="str">
        <f>INDEX('Employee Dataset'!B22:B46,3)</f>
        <v>Uma Scott</v>
      </c>
      <c r="E24" s="32">
        <f>INDEX('Employee Dataset'!E21:E46,4)</f>
        <v>64000</v>
      </c>
      <c r="F24" s="92" t="str">
        <f>INDEX('Employee Dataset'!C21:C46,4)</f>
        <v>HR</v>
      </c>
      <c r="G24" s="92" t="str">
        <f>INDEX('Employee Dataset'!G21:G46,2)</f>
        <v>Good</v>
      </c>
      <c r="H24" s="92" t="str">
        <f t="shared" si="0"/>
        <v>Uma Scott</v>
      </c>
      <c r="K24" t="str">
        <v>E017</v>
      </c>
      <c r="L24" t="str">
        <v>Quinn Lewis</v>
      </c>
      <c r="M24" t="str">
        <v>Marketing</v>
      </c>
      <c r="N24">
        <v>30</v>
      </c>
      <c r="O24">
        <v>58000</v>
      </c>
      <c r="P24">
        <v>6</v>
      </c>
      <c r="Q24" t="str">
        <v>Average</v>
      </c>
      <c r="R24" t="str">
        <v>North</v>
      </c>
      <c r="S24" t="str">
        <v>F</v>
      </c>
      <c r="T24">
        <v>8</v>
      </c>
      <c r="U24">
        <v>8</v>
      </c>
      <c r="V24" t="str">
        <v>Yes</v>
      </c>
    </row>
    <row r="25" ht="16.5" customHeight="1" spans="1:22">
      <c r="A25" s="56" t="s">
        <v>71</v>
      </c>
      <c r="B25" s="56">
        <v>22</v>
      </c>
      <c r="C25" s="56">
        <v>2</v>
      </c>
      <c r="D25" s="92" t="str">
        <f>INDEX('Employee Dataset'!B23:B47,3)</f>
        <v>Victor King</v>
      </c>
      <c r="E25" s="32">
        <f>INDEX('Employee Dataset'!E22:E47,4)</f>
        <v>79000</v>
      </c>
      <c r="F25" s="92" t="str">
        <f>INDEX('Employee Dataset'!C22:C47,4)</f>
        <v>IT</v>
      </c>
      <c r="G25" s="92" t="str">
        <f>INDEX('Employee Dataset'!G22:G47,2)</f>
        <v>Average</v>
      </c>
      <c r="H25" s="92" t="str">
        <f t="shared" si="0"/>
        <v>Victor King</v>
      </c>
      <c r="K25" t="str">
        <v>E018</v>
      </c>
      <c r="L25" t="str">
        <v>Ryan Walker</v>
      </c>
      <c r="M25" t="str">
        <v>IT</v>
      </c>
      <c r="N25">
        <v>39</v>
      </c>
      <c r="O25">
        <v>88000</v>
      </c>
      <c r="P25">
        <v>13</v>
      </c>
      <c r="Q25" t="str">
        <v>Excellent</v>
      </c>
      <c r="R25" t="str">
        <v>South</v>
      </c>
      <c r="S25" t="str">
        <v>M</v>
      </c>
      <c r="T25">
        <v>15</v>
      </c>
      <c r="U25">
        <v>17</v>
      </c>
      <c r="V25" t="str">
        <v>Yes</v>
      </c>
    </row>
    <row r="26" ht="16.5" customHeight="1" spans="1:22">
      <c r="A26" s="52" t="s">
        <v>73</v>
      </c>
      <c r="B26" s="52">
        <v>23</v>
      </c>
      <c r="C26" s="52">
        <v>2</v>
      </c>
      <c r="D26" s="92" t="str">
        <f>INDEX('Employee Dataset'!B24:B48,3)</f>
        <v>Wendy Wright</v>
      </c>
      <c r="E26" s="32">
        <f>INDEX('Employee Dataset'!E23:E48,4)</f>
        <v>87000</v>
      </c>
      <c r="F26" s="92" t="str">
        <f>INDEX('Employee Dataset'!C23:C48,4)</f>
        <v>Finance</v>
      </c>
      <c r="G26" s="92" t="str">
        <f>INDEX('Employee Dataset'!G23:G48,2)</f>
        <v>Excellent</v>
      </c>
      <c r="H26" s="92" t="str">
        <f t="shared" si="0"/>
        <v>Wendy Wright</v>
      </c>
      <c r="K26" t="str">
        <v>E019</v>
      </c>
      <c r="L26" t="str">
        <v>Sara Hall</v>
      </c>
      <c r="M26" t="str">
        <v>Finance</v>
      </c>
      <c r="N26">
        <v>25</v>
      </c>
      <c r="O26">
        <v>76000</v>
      </c>
      <c r="P26">
        <v>2</v>
      </c>
      <c r="Q26" t="str">
        <v>Good</v>
      </c>
      <c r="R26" t="str">
        <v>East</v>
      </c>
      <c r="S26" t="str">
        <v>F</v>
      </c>
      <c r="T26">
        <v>10</v>
      </c>
      <c r="U26">
        <v>6</v>
      </c>
      <c r="V26" t="str">
        <v>Yes</v>
      </c>
    </row>
    <row r="27" ht="16.5" customHeight="1" spans="1:22">
      <c r="A27" s="56" t="s">
        <v>75</v>
      </c>
      <c r="B27" s="56">
        <v>24</v>
      </c>
      <c r="C27" s="56">
        <v>2</v>
      </c>
      <c r="D27" s="92" t="str">
        <f>INDEX('Employee Dataset'!B25:B49,3)</f>
        <v>Xander Lopez</v>
      </c>
      <c r="E27" s="32">
        <f>INDEX('Employee Dataset'!E24:E49,4)</f>
        <v>61000</v>
      </c>
      <c r="F27" s="92" t="str">
        <f>INDEX('Employee Dataset'!C24:C49,4)</f>
        <v>Marketing</v>
      </c>
      <c r="G27" s="92" t="str">
        <f>INDEX('Employee Dataset'!G24:G49,2)</f>
        <v>Good</v>
      </c>
      <c r="H27" s="92" t="str">
        <f t="shared" si="0"/>
        <v>Xander Lopez</v>
      </c>
      <c r="K27" t="str">
        <v>E020</v>
      </c>
      <c r="L27" t="str">
        <v>Tom Young</v>
      </c>
      <c r="M27" t="str">
        <v>Marketing</v>
      </c>
      <c r="N27">
        <v>50</v>
      </c>
      <c r="O27">
        <v>65000</v>
      </c>
      <c r="P27">
        <v>24</v>
      </c>
      <c r="Q27" t="str">
        <v>Average</v>
      </c>
      <c r="R27" t="str">
        <v>West</v>
      </c>
      <c r="S27" t="str">
        <v>M</v>
      </c>
      <c r="T27">
        <v>8</v>
      </c>
      <c r="U27">
        <v>19</v>
      </c>
      <c r="V27" t="str">
        <v>Yes</v>
      </c>
    </row>
    <row r="28" ht="16.5" customHeight="1" spans="1:22">
      <c r="A28" s="52" t="s">
        <v>77</v>
      </c>
      <c r="B28" s="52">
        <v>25</v>
      </c>
      <c r="C28" s="52">
        <v>2</v>
      </c>
      <c r="D28" s="92" t="str">
        <f>INDEX('Employee Dataset'!B26:B50,3)</f>
        <v>Yara Hill</v>
      </c>
      <c r="E28" s="32">
        <f>INDEX('Employee Dataset'!E25:E50,4)</f>
        <v>73000</v>
      </c>
      <c r="F28" s="92" t="str">
        <f>INDEX('Employee Dataset'!C25:C50,4)</f>
        <v>IT</v>
      </c>
      <c r="G28" s="92" t="str">
        <f>INDEX('Employee Dataset'!G25:G50,2)</f>
        <v>Excellent</v>
      </c>
      <c r="H28" s="92" t="str">
        <f t="shared" si="0"/>
        <v>Yara Hill</v>
      </c>
      <c r="K28" t="str">
        <v>E021</v>
      </c>
      <c r="L28" t="str">
        <v>Uma Scott</v>
      </c>
      <c r="M28" t="str">
        <v>HR</v>
      </c>
      <c r="N28">
        <v>35</v>
      </c>
      <c r="O28">
        <v>64000</v>
      </c>
      <c r="P28">
        <v>9</v>
      </c>
      <c r="Q28" t="str">
        <v>Excellent</v>
      </c>
      <c r="R28" t="str">
        <v>North</v>
      </c>
      <c r="S28" t="str">
        <v>F</v>
      </c>
      <c r="T28">
        <v>12</v>
      </c>
      <c r="U28">
        <v>10</v>
      </c>
      <c r="V28" t="str">
        <v>Yes</v>
      </c>
    </row>
    <row r="29" ht="15.25" spans="1:22">
      <c r="K29" t="str">
        <v>E022</v>
      </c>
      <c r="L29" t="str">
        <v>Victor King</v>
      </c>
      <c r="M29" t="str">
        <v>IT</v>
      </c>
      <c r="N29">
        <v>43</v>
      </c>
      <c r="O29">
        <v>79000</v>
      </c>
      <c r="P29">
        <v>15</v>
      </c>
      <c r="Q29" t="str">
        <v>Good</v>
      </c>
      <c r="R29" t="str">
        <v>South</v>
      </c>
      <c r="S29" t="str">
        <v>M</v>
      </c>
      <c r="T29">
        <v>10</v>
      </c>
      <c r="U29">
        <v>16</v>
      </c>
      <c r="V29" t="str">
        <v>Yes</v>
      </c>
    </row>
    <row r="30" ht="25.5" customHeight="1" spans="1:22">
      <c r="A30" s="95" t="s">
        <v>124</v>
      </c>
      <c r="B30" s="95"/>
      <c r="C30" s="95"/>
      <c r="D30" s="95"/>
      <c r="E30" s="95"/>
      <c r="F30" s="95"/>
      <c r="G30" s="95"/>
      <c r="H30" s="95"/>
      <c r="K30" t="str">
        <v>E023</v>
      </c>
      <c r="L30" t="str">
        <v>Wendy Wright</v>
      </c>
      <c r="M30" t="str">
        <v>Finance</v>
      </c>
      <c r="N30">
        <v>32</v>
      </c>
      <c r="O30">
        <v>87000</v>
      </c>
      <c r="P30">
        <v>8</v>
      </c>
      <c r="Q30" t="str">
        <v>Excellent</v>
      </c>
      <c r="R30" t="str">
        <v>East</v>
      </c>
      <c r="S30" t="str">
        <v>F</v>
      </c>
      <c r="T30">
        <v>15</v>
      </c>
      <c r="U30">
        <v>14</v>
      </c>
      <c r="V30" t="str">
        <v>Yes</v>
      </c>
    </row>
    <row r="31" ht="30" customHeight="1" spans="1:22">
      <c r="A31" s="4" t="s">
        <v>125</v>
      </c>
      <c r="B31" s="4"/>
      <c r="C31" s="96" t="s">
        <v>126</v>
      </c>
      <c r="D31" s="96"/>
      <c r="E31" s="96"/>
      <c r="F31" s="96"/>
      <c r="G31" s="96"/>
      <c r="H31" s="96"/>
      <c r="K31" t="str">
        <v>E024</v>
      </c>
      <c r="L31" t="str">
        <v>Xander Lopez</v>
      </c>
      <c r="M31" t="str">
        <v>Marketing</v>
      </c>
      <c r="N31">
        <v>46</v>
      </c>
      <c r="O31">
        <v>61000</v>
      </c>
      <c r="P31">
        <v>18</v>
      </c>
      <c r="Q31" t="str">
        <v>Average</v>
      </c>
      <c r="R31" t="str">
        <v>West</v>
      </c>
      <c r="S31" t="str">
        <v>M</v>
      </c>
      <c r="T31">
        <v>8</v>
      </c>
      <c r="U31">
        <v>12</v>
      </c>
      <c r="V31" t="str">
        <v>No</v>
      </c>
    </row>
    <row r="32" ht="30" customHeight="1" spans="1:22">
      <c r="A32" s="4" t="s">
        <v>127</v>
      </c>
      <c r="B32" s="4"/>
      <c r="C32" s="96" t="s">
        <v>128</v>
      </c>
      <c r="D32" s="96"/>
      <c r="E32" s="96"/>
      <c r="F32" s="96"/>
      <c r="G32" s="96"/>
      <c r="H32" s="96"/>
      <c r="K32" t="str">
        <v>E025</v>
      </c>
      <c r="L32" t="str">
        <v>Yara Hill</v>
      </c>
      <c r="M32" t="str">
        <v>IT</v>
      </c>
      <c r="N32">
        <v>29</v>
      </c>
      <c r="O32">
        <v>73000</v>
      </c>
      <c r="P32">
        <v>4</v>
      </c>
      <c r="Q32" t="str">
        <v>Good</v>
      </c>
      <c r="R32" t="str">
        <v>North</v>
      </c>
      <c r="S32" t="str">
        <v>F</v>
      </c>
      <c r="T32">
        <v>10</v>
      </c>
      <c r="U32">
        <v>8</v>
      </c>
      <c r="V32" t="str">
        <v>Yes</v>
      </c>
    </row>
    <row r="33" ht="30" customHeight="1" spans="1:8">
      <c r="A33" s="4" t="s">
        <v>129</v>
      </c>
      <c r="B33" s="4"/>
      <c r="C33" s="96" t="s">
        <v>130</v>
      </c>
      <c r="D33" s="96"/>
      <c r="E33" s="96"/>
      <c r="F33" s="96"/>
      <c r="G33" s="96"/>
      <c r="H33" s="96"/>
    </row>
    <row r="34" ht="30" customHeight="1" spans="1:8">
      <c r="A34" s="4" t="s">
        <v>131</v>
      </c>
      <c r="B34" s="4"/>
      <c r="C34" s="96" t="s">
        <v>132</v>
      </c>
      <c r="D34" s="96"/>
      <c r="E34" s="96"/>
      <c r="F34" s="96"/>
      <c r="G34" s="96"/>
      <c r="H34" s="96"/>
    </row>
  </sheetData>
  <mergeCells count="11">
    <mergeCell ref="A1:H1"/>
    <mergeCell ref="A2:H2"/>
    <mergeCell ref="A30:H30"/>
    <mergeCell ref="A31:B31"/>
    <mergeCell ref="C31:H31"/>
    <mergeCell ref="A32:B32"/>
    <mergeCell ref="C32:H32"/>
    <mergeCell ref="A33:B33"/>
    <mergeCell ref="C33:H33"/>
    <mergeCell ref="A34:B34"/>
    <mergeCell ref="C34:H34"/>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8449"/>
  </sheetPr>
  <dimension ref="A1:E34"/>
  <sheetViews>
    <sheetView showGridLines="0" workbookViewId="0">
      <pane ySplit="3" topLeftCell="A4" activePane="bottomLeft" state="frozen"/>
      <selection/>
      <selection pane="bottomLeft" activeCell="D6" sqref="D6"/>
    </sheetView>
  </sheetViews>
  <sheetFormatPr defaultColWidth="8.66363636363636" defaultRowHeight="14.5" outlineLevelCol="4"/>
  <cols>
    <col min="1" max="1" width="18" customWidth="1"/>
    <col min="2" max="2" width="20" customWidth="1"/>
    <col min="3" max="3" width="14" customWidth="1"/>
    <col min="4" max="4" width="18.8909090909091" customWidth="1"/>
    <col min="5" max="5" width="27" customWidth="1"/>
  </cols>
  <sheetData>
    <row r="1" ht="37.5" customHeight="1" spans="1:5">
      <c r="A1" s="1" t="s">
        <v>133</v>
      </c>
      <c r="B1" s="1"/>
      <c r="C1" s="1"/>
      <c r="D1" s="1"/>
      <c r="E1" s="1"/>
    </row>
    <row r="2" ht="31.5" customHeight="1" spans="1:5">
      <c r="A2" s="84" t="s">
        <v>134</v>
      </c>
      <c r="B2" s="84"/>
      <c r="C2" s="84"/>
      <c r="D2" s="84"/>
      <c r="E2" s="84"/>
    </row>
    <row r="3" ht="21.75" customHeight="1" spans="1:5">
      <c r="A3" s="85" t="s">
        <v>2</v>
      </c>
      <c r="B3" s="85" t="s">
        <v>3</v>
      </c>
      <c r="C3" s="85" t="s">
        <v>135</v>
      </c>
      <c r="D3" s="85" t="s">
        <v>136</v>
      </c>
      <c r="E3" s="85" t="s">
        <v>137</v>
      </c>
    </row>
    <row r="4" ht="16.5" customHeight="1" spans="1:5">
      <c r="A4" s="52" t="s">
        <v>14</v>
      </c>
      <c r="B4" s="53" t="s">
        <v>15</v>
      </c>
      <c r="C4" s="53" t="s">
        <v>16</v>
      </c>
      <c r="D4" s="30">
        <v>1</v>
      </c>
      <c r="E4" s="30">
        <v>1</v>
      </c>
    </row>
    <row r="5" ht="16.5" customHeight="1" spans="1:5">
      <c r="A5" s="56" t="s">
        <v>21</v>
      </c>
      <c r="B5" s="51" t="s">
        <v>22</v>
      </c>
      <c r="C5" s="51" t="s">
        <v>23</v>
      </c>
      <c r="D5" s="86">
        <v>2</v>
      </c>
      <c r="E5" s="86">
        <v>2</v>
      </c>
    </row>
    <row r="6" ht="16.5" customHeight="1" spans="1:5">
      <c r="A6" s="52" t="s">
        <v>27</v>
      </c>
      <c r="B6" s="53" t="s">
        <v>28</v>
      </c>
      <c r="C6" s="53" t="s">
        <v>29</v>
      </c>
      <c r="D6" s="30">
        <f>MATCH(A6,'Employee Dataset'!$A$4:$A$28,0)</f>
        <v>3</v>
      </c>
      <c r="E6" s="30">
        <f>MATCH(B6,'Employee Dataset'!$B$4:$B$28,0)</f>
        <v>3</v>
      </c>
    </row>
    <row r="7" ht="16.5" customHeight="1" spans="1:5">
      <c r="A7" s="56" t="s">
        <v>31</v>
      </c>
      <c r="B7" s="51" t="s">
        <v>32</v>
      </c>
      <c r="C7" s="51" t="s">
        <v>23</v>
      </c>
      <c r="D7" s="30">
        <f>MATCH(A7,'Employee Dataset'!$A$4:$A$28,0)</f>
        <v>4</v>
      </c>
      <c r="E7" s="30">
        <f>MATCH(B7,'Employee Dataset'!$B$4:$B$28,0)</f>
        <v>4</v>
      </c>
    </row>
    <row r="8" ht="16.5" customHeight="1" spans="1:5">
      <c r="A8" s="52" t="s">
        <v>35</v>
      </c>
      <c r="B8" s="53" t="s">
        <v>36</v>
      </c>
      <c r="C8" s="53" t="s">
        <v>37</v>
      </c>
      <c r="D8" s="30">
        <f>MATCH(A8,'Employee Dataset'!$A$4:$A$28,0)</f>
        <v>5</v>
      </c>
      <c r="E8" s="30">
        <f>MATCH(B8,'Employee Dataset'!$B$4:$B$28,0)</f>
        <v>5</v>
      </c>
    </row>
    <row r="9" ht="16.5" customHeight="1" spans="1:5">
      <c r="A9" s="56" t="s">
        <v>38</v>
      </c>
      <c r="B9" s="51" t="s">
        <v>39</v>
      </c>
      <c r="C9" s="51" t="s">
        <v>16</v>
      </c>
      <c r="D9" s="30">
        <f>MATCH(A9,'Employee Dataset'!$A$4:$A$28,0)</f>
        <v>6</v>
      </c>
      <c r="E9" s="30">
        <f>MATCH(B9,'Employee Dataset'!$B$4:$B$28,0)</f>
        <v>6</v>
      </c>
    </row>
    <row r="10" ht="16.5" customHeight="1" spans="1:5">
      <c r="A10" s="52" t="s">
        <v>41</v>
      </c>
      <c r="B10" s="53" t="s">
        <v>42</v>
      </c>
      <c r="C10" s="53" t="s">
        <v>29</v>
      </c>
      <c r="D10" s="30">
        <f>MATCH(A10,'Employee Dataset'!$A$4:$A$28,0)</f>
        <v>7</v>
      </c>
      <c r="E10" s="30">
        <f>MATCH(B10,'Employee Dataset'!$B$4:$B$28,0)</f>
        <v>7</v>
      </c>
    </row>
    <row r="11" ht="16.5" customHeight="1" spans="1:5">
      <c r="A11" s="56" t="s">
        <v>43</v>
      </c>
      <c r="B11" s="51" t="s">
        <v>44</v>
      </c>
      <c r="C11" s="51" t="s">
        <v>23</v>
      </c>
      <c r="D11" s="30">
        <f>MATCH(A11,'Employee Dataset'!$A$4:$A$28,0)</f>
        <v>8</v>
      </c>
      <c r="E11" s="30">
        <f>MATCH(B11,'Employee Dataset'!$B$4:$B$28,0)</f>
        <v>8</v>
      </c>
    </row>
    <row r="12" ht="16.5" customHeight="1" spans="1:5">
      <c r="A12" s="52" t="s">
        <v>45</v>
      </c>
      <c r="B12" s="53" t="s">
        <v>46</v>
      </c>
      <c r="C12" s="53" t="s">
        <v>37</v>
      </c>
      <c r="D12" s="30">
        <f>MATCH(A12,'Employee Dataset'!$A$4:$A$28,0)</f>
        <v>9</v>
      </c>
      <c r="E12" s="30">
        <f>MATCH(B12,'Employee Dataset'!$B$4:$B$28,0)</f>
        <v>9</v>
      </c>
    </row>
    <row r="13" ht="16.5" customHeight="1" spans="1:5">
      <c r="A13" s="56" t="s">
        <v>47</v>
      </c>
      <c r="B13" s="51" t="s">
        <v>48</v>
      </c>
      <c r="C13" s="51" t="s">
        <v>29</v>
      </c>
      <c r="D13" s="30">
        <f>MATCH(A13,'Employee Dataset'!$A$4:$A$28,0)</f>
        <v>10</v>
      </c>
      <c r="E13" s="30">
        <f>MATCH(B13,'Employee Dataset'!$B$4:$B$28,0)</f>
        <v>10</v>
      </c>
    </row>
    <row r="14" ht="16.5" customHeight="1" spans="1:5">
      <c r="A14" s="52" t="s">
        <v>49</v>
      </c>
      <c r="B14" s="53" t="s">
        <v>50</v>
      </c>
      <c r="C14" s="53" t="s">
        <v>23</v>
      </c>
      <c r="D14" s="30">
        <f>MATCH(A14,'Employee Dataset'!$A$4:$A$28,0)</f>
        <v>11</v>
      </c>
      <c r="E14" s="30">
        <f>MATCH(B14,'Employee Dataset'!$B$4:$B$28,0)</f>
        <v>11</v>
      </c>
    </row>
    <row r="15" ht="16.5" customHeight="1" spans="1:5">
      <c r="A15" s="56" t="s">
        <v>51</v>
      </c>
      <c r="B15" s="51" t="s">
        <v>52</v>
      </c>
      <c r="C15" s="51" t="s">
        <v>16</v>
      </c>
      <c r="D15" s="30">
        <f>MATCH(A15,'Employee Dataset'!$A$4:$A$28,0)</f>
        <v>12</v>
      </c>
      <c r="E15" s="30">
        <f>MATCH(B15,'Employee Dataset'!$B$4:$B$28,0)</f>
        <v>12</v>
      </c>
    </row>
    <row r="16" ht="16.5" customHeight="1" spans="1:5">
      <c r="A16" s="52" t="s">
        <v>53</v>
      </c>
      <c r="B16" s="53" t="s">
        <v>54</v>
      </c>
      <c r="C16" s="53" t="s">
        <v>37</v>
      </c>
      <c r="D16" s="30">
        <f>MATCH(A16,'Employee Dataset'!$A$4:$A$28,0)</f>
        <v>13</v>
      </c>
      <c r="E16" s="30">
        <f>MATCH(B16,'Employee Dataset'!$B$4:$B$28,0)</f>
        <v>13</v>
      </c>
    </row>
    <row r="17" ht="16.5" customHeight="1" spans="1:5">
      <c r="A17" s="56" t="s">
        <v>55</v>
      </c>
      <c r="B17" s="51" t="s">
        <v>56</v>
      </c>
      <c r="C17" s="51" t="s">
        <v>29</v>
      </c>
      <c r="D17" s="30">
        <f>MATCH(A17,'Employee Dataset'!$A$4:$A$28,0)</f>
        <v>14</v>
      </c>
      <c r="E17" s="30">
        <f>MATCH(B17,'Employee Dataset'!$B$4:$B$28,0)</f>
        <v>14</v>
      </c>
    </row>
    <row r="18" ht="16.5" customHeight="1" spans="1:5">
      <c r="A18" s="52" t="s">
        <v>57</v>
      </c>
      <c r="B18" s="53" t="s">
        <v>58</v>
      </c>
      <c r="C18" s="53" t="s">
        <v>23</v>
      </c>
      <c r="D18" s="30">
        <f>MATCH(A18,'Employee Dataset'!$A$4:$A$28,0)</f>
        <v>15</v>
      </c>
      <c r="E18" s="30">
        <f>MATCH(B18,'Employee Dataset'!$B$4:$B$28,0)</f>
        <v>15</v>
      </c>
    </row>
    <row r="19" ht="16.5" customHeight="1" spans="1:5">
      <c r="A19" s="56" t="s">
        <v>59</v>
      </c>
      <c r="B19" s="51" t="s">
        <v>60</v>
      </c>
      <c r="C19" s="51" t="s">
        <v>16</v>
      </c>
      <c r="D19" s="30">
        <f>MATCH(A19,'Employee Dataset'!$A$4:$A$28,0)</f>
        <v>16</v>
      </c>
      <c r="E19" s="30">
        <f>MATCH(B19,'Employee Dataset'!$B$4:$B$28,0)</f>
        <v>16</v>
      </c>
    </row>
    <row r="20" ht="16.5" customHeight="1" spans="1:5">
      <c r="A20" s="52" t="s">
        <v>61</v>
      </c>
      <c r="B20" s="53" t="s">
        <v>62</v>
      </c>
      <c r="C20" s="53" t="s">
        <v>37</v>
      </c>
      <c r="D20" s="30">
        <f>MATCH(A20,'Employee Dataset'!$A$4:$A$28,0)</f>
        <v>17</v>
      </c>
      <c r="E20" s="30">
        <f>MATCH(B20,'Employee Dataset'!$B$4:$B$28,0)</f>
        <v>17</v>
      </c>
    </row>
    <row r="21" ht="16.5" customHeight="1" spans="1:5">
      <c r="A21" s="56" t="s">
        <v>63</v>
      </c>
      <c r="B21" s="51" t="s">
        <v>64</v>
      </c>
      <c r="C21" s="51" t="s">
        <v>23</v>
      </c>
      <c r="D21" s="30">
        <f>MATCH(A21,'Employee Dataset'!$A$4:$A$28,0)</f>
        <v>18</v>
      </c>
      <c r="E21" s="30">
        <f>MATCH(B21,'Employee Dataset'!$B$4:$B$28,0)</f>
        <v>18</v>
      </c>
    </row>
    <row r="22" ht="16.5" customHeight="1" spans="1:5">
      <c r="A22" s="52" t="s">
        <v>65</v>
      </c>
      <c r="B22" s="53" t="s">
        <v>66</v>
      </c>
      <c r="C22" s="53" t="s">
        <v>29</v>
      </c>
      <c r="D22" s="30">
        <f>MATCH(A22,'Employee Dataset'!$A$4:$A$28,0)</f>
        <v>19</v>
      </c>
      <c r="E22" s="30">
        <f>MATCH(B22,'Employee Dataset'!$B$4:$B$28,0)</f>
        <v>19</v>
      </c>
    </row>
    <row r="23" ht="16.5" customHeight="1" spans="1:5">
      <c r="A23" s="56" t="s">
        <v>67</v>
      </c>
      <c r="B23" s="51" t="s">
        <v>68</v>
      </c>
      <c r="C23" s="51" t="s">
        <v>37</v>
      </c>
      <c r="D23" s="30">
        <f>MATCH(A23,'Employee Dataset'!$A$4:$A$28,0)</f>
        <v>20</v>
      </c>
      <c r="E23" s="30">
        <f>MATCH(B23,'Employee Dataset'!$B$4:$B$28,0)</f>
        <v>20</v>
      </c>
    </row>
    <row r="24" ht="16.5" customHeight="1" spans="1:5">
      <c r="A24" s="52" t="s">
        <v>69</v>
      </c>
      <c r="B24" s="53" t="s">
        <v>70</v>
      </c>
      <c r="C24" s="53" t="s">
        <v>16</v>
      </c>
      <c r="D24" s="30">
        <f>MATCH(A24,'Employee Dataset'!$A$4:$A$28,0)</f>
        <v>21</v>
      </c>
      <c r="E24" s="30">
        <f>MATCH(B24,'Employee Dataset'!$B$4:$B$28,0)</f>
        <v>21</v>
      </c>
    </row>
    <row r="25" ht="16.5" customHeight="1" spans="1:5">
      <c r="A25" s="56" t="s">
        <v>71</v>
      </c>
      <c r="B25" s="51" t="s">
        <v>72</v>
      </c>
      <c r="C25" s="51" t="s">
        <v>23</v>
      </c>
      <c r="D25" s="30">
        <f>MATCH(A25,'Employee Dataset'!$A$4:$A$28,0)</f>
        <v>22</v>
      </c>
      <c r="E25" s="30">
        <f>MATCH(B25,'Employee Dataset'!$B$4:$B$28,0)</f>
        <v>22</v>
      </c>
    </row>
    <row r="26" ht="16.5" customHeight="1" spans="1:5">
      <c r="A26" s="52" t="s">
        <v>73</v>
      </c>
      <c r="B26" s="53" t="s">
        <v>74</v>
      </c>
      <c r="C26" s="53" t="s">
        <v>29</v>
      </c>
      <c r="D26" s="30">
        <f>MATCH(A26,'Employee Dataset'!$A$4:$A$28,0)</f>
        <v>23</v>
      </c>
      <c r="E26" s="30">
        <f>MATCH(B26,'Employee Dataset'!$B$4:$B$28,0)</f>
        <v>23</v>
      </c>
    </row>
    <row r="27" ht="16.5" customHeight="1" spans="1:5">
      <c r="A27" s="56" t="s">
        <v>75</v>
      </c>
      <c r="B27" s="51" t="s">
        <v>76</v>
      </c>
      <c r="C27" s="51" t="s">
        <v>37</v>
      </c>
      <c r="D27" s="30">
        <f>MATCH(A27,'Employee Dataset'!$A$4:$A$28,0)</f>
        <v>24</v>
      </c>
      <c r="E27" s="30">
        <f>MATCH(B27,'Employee Dataset'!$B$4:$B$28,0)</f>
        <v>24</v>
      </c>
    </row>
    <row r="28" ht="16.5" customHeight="1" spans="1:5">
      <c r="A28" s="52" t="s">
        <v>77</v>
      </c>
      <c r="B28" s="53" t="s">
        <v>78</v>
      </c>
      <c r="C28" s="53" t="s">
        <v>23</v>
      </c>
      <c r="D28" s="30">
        <f>MATCH(A28,'Employee Dataset'!$A$4:$A$28,0)</f>
        <v>25</v>
      </c>
      <c r="E28" s="30">
        <f>MATCH(B28,'Employee Dataset'!$B$4:$B$28,0)</f>
        <v>25</v>
      </c>
    </row>
    <row r="29" ht="15.25"/>
    <row r="30" ht="25.5" customHeight="1" spans="1:5">
      <c r="A30" s="87" t="s">
        <v>138</v>
      </c>
      <c r="B30" s="87"/>
      <c r="C30" s="87"/>
      <c r="D30" s="87"/>
      <c r="E30" s="87"/>
    </row>
    <row r="31" ht="23.25" customHeight="1" spans="1:5">
      <c r="A31" s="85" t="s">
        <v>139</v>
      </c>
      <c r="B31" s="88" t="s">
        <v>140</v>
      </c>
      <c r="C31" s="88"/>
      <c r="D31" s="88"/>
      <c r="E31" s="88"/>
    </row>
    <row r="32" ht="25.5" customHeight="1" spans="1:5">
      <c r="A32" s="89" t="s">
        <v>141</v>
      </c>
      <c r="B32" s="69" t="s">
        <v>142</v>
      </c>
      <c r="C32" s="69"/>
      <c r="D32" s="69"/>
      <c r="E32" s="69"/>
    </row>
    <row r="33" ht="25.5" customHeight="1" spans="1:5">
      <c r="A33" s="89" t="s">
        <v>143</v>
      </c>
      <c r="B33" s="69" t="s">
        <v>144</v>
      </c>
      <c r="C33" s="69"/>
      <c r="D33" s="69"/>
      <c r="E33" s="69"/>
    </row>
    <row r="34" ht="25.5" customHeight="1" spans="1:5">
      <c r="A34" s="89" t="s">
        <v>145</v>
      </c>
      <c r="B34" s="69" t="s">
        <v>146</v>
      </c>
      <c r="C34" s="69"/>
      <c r="D34" s="69"/>
      <c r="E34" s="69"/>
    </row>
  </sheetData>
  <mergeCells count="7">
    <mergeCell ref="A1:E1"/>
    <mergeCell ref="A2:E2"/>
    <mergeCell ref="A30:E30"/>
    <mergeCell ref="B31:E31"/>
    <mergeCell ref="B32:E32"/>
    <mergeCell ref="B33:E33"/>
    <mergeCell ref="B34:E34"/>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C3483"/>
  </sheetPr>
  <dimension ref="A1:G37"/>
  <sheetViews>
    <sheetView showGridLines="0" workbookViewId="0">
      <pane ySplit="3" topLeftCell="A4" activePane="bottomLeft" state="frozen"/>
      <selection/>
      <selection pane="bottomLeft" activeCell="F10" sqref="F10"/>
    </sheetView>
  </sheetViews>
  <sheetFormatPr defaultColWidth="8.66363636363636" defaultRowHeight="14.5" outlineLevelCol="6"/>
  <cols>
    <col min="1" max="1" width="9" customWidth="1"/>
    <col min="2" max="2" width="32.2181818181818" customWidth="1"/>
    <col min="3" max="3" width="21" customWidth="1"/>
    <col min="4" max="4" width="16" customWidth="1"/>
    <col min="5" max="5" width="18" customWidth="1"/>
    <col min="6" max="6" width="20" customWidth="1"/>
    <col min="7" max="7" width="22" customWidth="1"/>
  </cols>
  <sheetData>
    <row r="1" ht="37.5" customHeight="1" spans="1:7">
      <c r="A1" s="1" t="s">
        <v>147</v>
      </c>
      <c r="B1" s="1"/>
      <c r="C1" s="1"/>
      <c r="D1" s="1"/>
      <c r="E1" s="1"/>
      <c r="F1" s="1"/>
      <c r="G1" s="1"/>
    </row>
    <row r="2" ht="36" customHeight="1" spans="1:7">
      <c r="A2" s="72" t="s">
        <v>148</v>
      </c>
      <c r="B2" s="72"/>
      <c r="C2" s="72"/>
      <c r="D2" s="72"/>
      <c r="E2" s="72"/>
      <c r="F2" s="72"/>
      <c r="G2" s="72"/>
    </row>
    <row r="3" ht="21.75" customHeight="1" spans="1:7">
      <c r="A3" s="73" t="s">
        <v>2</v>
      </c>
      <c r="B3" s="73" t="s">
        <v>149</v>
      </c>
      <c r="C3" s="73" t="s">
        <v>150</v>
      </c>
      <c r="D3" s="73" t="s">
        <v>6</v>
      </c>
      <c r="E3" s="73" t="s">
        <v>8</v>
      </c>
      <c r="F3" s="73" t="s">
        <v>9</v>
      </c>
      <c r="G3" s="73" t="s">
        <v>151</v>
      </c>
    </row>
    <row r="4" ht="16.5" customHeight="1" spans="1:7">
      <c r="A4" s="52" t="s">
        <v>14</v>
      </c>
      <c r="B4" s="74" t="s">
        <v>15</v>
      </c>
      <c r="C4" s="74" t="s">
        <v>16</v>
      </c>
      <c r="D4" s="75">
        <v>62000</v>
      </c>
      <c r="E4" s="74" t="s">
        <v>17</v>
      </c>
      <c r="F4" s="74" t="s">
        <v>18</v>
      </c>
      <c r="G4" s="75">
        <v>62000</v>
      </c>
    </row>
    <row r="5" ht="16.5" customHeight="1" spans="1:7">
      <c r="A5" s="56" t="s">
        <v>21</v>
      </c>
      <c r="B5" s="76" t="s">
        <v>22</v>
      </c>
      <c r="C5" s="76" t="s">
        <v>23</v>
      </c>
      <c r="D5" s="77">
        <v>75000</v>
      </c>
      <c r="E5" s="76" t="s">
        <v>24</v>
      </c>
      <c r="F5" s="76" t="s">
        <v>25</v>
      </c>
      <c r="G5" s="77">
        <v>75000</v>
      </c>
    </row>
    <row r="6" ht="16.5" customHeight="1" spans="1:7">
      <c r="A6" s="52" t="s">
        <v>27</v>
      </c>
      <c r="B6" s="74" t="str" cm="1">
        <f t="array" ref="B6">INDEX('Employee Dataset'!A3:L28,MATCH('Employee Dataset'!A6,'Employee Dataset'!A3:A28,0),MATCH('Employee Dataset'!B3,'Employee Dataset'!A3:L3,0))</f>
        <v>Carol White</v>
      </c>
      <c r="C6" s="74" t="str" cm="1">
        <f t="array" ref="C6">INDEX('Employee Dataset'!A3:L28,MATCH('Employee Dataset'!A6,'Employee Dataset'!A3:A28,0),MATCH('Employee Dataset'!C3,'Employee Dataset'!A3:L3,0))</f>
        <v>Finance</v>
      </c>
      <c r="D6" s="75" cm="1">
        <f t="array" ref="D6">INDEX('Employee Dataset'!A3:L28,MATCH('Employee Dataset'!A6,'Employee Dataset'!A3:A28,0),MATCH('Employee Dataset'!E3,'Employee Dataset'!A3:L3,0))</f>
        <v>90000</v>
      </c>
      <c r="E6" s="74" t="str" cm="1">
        <f t="array" ref="E6">INDEX('Employee Dataset'!A3:L28,MATCH('Employee Dataset'!A6,'Employee Dataset'!A3:A28,0),MATCH('Employee Dataset'!G3,'Employee Dataset'!A3:L3,0))</f>
        <v>Excellent</v>
      </c>
      <c r="F6" s="74" t="str" cm="1">
        <f t="array" ref="F6">INDEX('Employee Dataset'!A3:L28,MATCH(A6,'Employee Dataset'!A3:A28,0),MATCH('Employee Dataset'!H3,'Employee Dataset'!A3:L3,0))</f>
        <v>East</v>
      </c>
      <c r="G6" s="75" cm="1">
        <f t="array" ref="G6">INDEX($D$3:$D$28,MATCH(D6,$D$3:$D$28,0))</f>
        <v>90000</v>
      </c>
    </row>
    <row r="7" ht="16.5" customHeight="1" spans="1:7">
      <c r="A7" s="56" t="s">
        <v>31</v>
      </c>
      <c r="B7" s="74" t="str" cm="1">
        <f t="array" ref="B7">INDEX('Employee Dataset'!A4:L29,MATCH('Employee Dataset'!A7,'Employee Dataset'!A4:A29,0),MATCH('Employee Dataset'!B4,'Employee Dataset'!A4:L4,0))</f>
        <v>David Brown</v>
      </c>
      <c r="C7" s="74" t="str" cm="1">
        <f t="array" ref="C7">INDEX('Employee Dataset'!A4:L29,MATCH('Employee Dataset'!A7,'Employee Dataset'!A4:A29,0),MATCH('Employee Dataset'!C4,'Employee Dataset'!A4:L4,0))</f>
        <v>IT</v>
      </c>
      <c r="D7" s="75" cm="1">
        <f t="array" ref="D7">INDEX('Employee Dataset'!A4:L29,MATCH('Employee Dataset'!A7,'Employee Dataset'!A4:A29,0),MATCH('Employee Dataset'!E4,'Employee Dataset'!A4:L4,0))</f>
        <v>71000</v>
      </c>
      <c r="E7" s="74" t="str" cm="1">
        <f t="array" ref="E7">INDEX('Employee Dataset'!A4:L29,MATCH('Employee Dataset'!A7,'Employee Dataset'!A4:A29,0),MATCH('Employee Dataset'!G4,'Employee Dataset'!A4:L4,0))</f>
        <v>Average</v>
      </c>
      <c r="F7" s="74" t="str" cm="1">
        <f t="array" ref="F7">INDEX('Employee Dataset'!A4:L29,MATCH(A7,'Employee Dataset'!A4:A29,0),MATCH('Employee Dataset'!H4,'Employee Dataset'!A4:L4,0))</f>
        <v>West</v>
      </c>
      <c r="G7" s="75" cm="1">
        <f t="array" ref="G7">INDEX($D$3:$D$28,MATCH(D7,$D$3:$D$28,0))</f>
        <v>71000</v>
      </c>
    </row>
    <row r="8" ht="16.5" customHeight="1" spans="1:7">
      <c r="A8" s="52" t="s">
        <v>35</v>
      </c>
      <c r="B8" s="74" t="str" cm="1">
        <f t="array" ref="B8">INDEX('Employee Dataset'!A5:L30,MATCH('Employee Dataset'!A8,'Employee Dataset'!A5:A30,0),MATCH('Employee Dataset'!B5,'Employee Dataset'!A5:L5,0))</f>
        <v>Eva Green</v>
      </c>
      <c r="C8" s="74" t="str" cm="1">
        <f t="array" ref="C8">INDEX('Employee Dataset'!A5:L30,MATCH('Employee Dataset'!A8,'Employee Dataset'!A5:A30,0),MATCH('Employee Dataset'!C5,'Employee Dataset'!A5:L5,0))</f>
        <v>Marketing</v>
      </c>
      <c r="D8" s="75" cm="1">
        <f t="array" ref="D8">INDEX('Employee Dataset'!A5:L30,MATCH('Employee Dataset'!A8,'Employee Dataset'!A5:A30,0),MATCH('Employee Dataset'!E5,'Employee Dataset'!A5:L5,0))</f>
        <v>55000</v>
      </c>
      <c r="E8" s="74" t="str" cm="1">
        <f t="array" ref="E8">INDEX('Employee Dataset'!A5:L30,MATCH('Employee Dataset'!A8,'Employee Dataset'!A5:A30,0),MATCH('Employee Dataset'!G5,'Employee Dataset'!A5:L5,0))</f>
        <v>Good</v>
      </c>
      <c r="F8" s="74" t="str" cm="1">
        <f t="array" ref="F8">INDEX('Employee Dataset'!A5:L30,MATCH(A8,'Employee Dataset'!A5:A30,0),MATCH('Employee Dataset'!H5,'Employee Dataset'!A5:L5,0))</f>
        <v>North</v>
      </c>
      <c r="G8" s="75" cm="1">
        <f t="array" ref="G8">INDEX($D$3:$D$28,MATCH(D8,$D$3:$D$28,0))</f>
        <v>55000</v>
      </c>
    </row>
    <row r="9" ht="16.5" customHeight="1" spans="1:7">
      <c r="A9" s="56" t="s">
        <v>38</v>
      </c>
      <c r="B9" s="74" t="str" cm="1">
        <f t="array" ref="B9">INDEX('Employee Dataset'!A6:L31,MATCH('Employee Dataset'!A9,'Employee Dataset'!A6:A31,0),MATCH('Employee Dataset'!B6,'Employee Dataset'!A6:L6,0))</f>
        <v>Frank Lee</v>
      </c>
      <c r="C9" s="74" t="str" cm="1">
        <f t="array" ref="C9">INDEX('Employee Dataset'!A6:L31,MATCH('Employee Dataset'!A9,'Employee Dataset'!A6:A31,0),MATCH('Employee Dataset'!C6,'Employee Dataset'!A6:L6,0))</f>
        <v>HR</v>
      </c>
      <c r="D9" s="75" cm="1">
        <f t="array" ref="D9">INDEX('Employee Dataset'!A6:L31,MATCH('Employee Dataset'!A9,'Employee Dataset'!A6:A31,0),MATCH('Employee Dataset'!E6,'Employee Dataset'!A6:L6,0))</f>
        <v>68000</v>
      </c>
      <c r="E9" s="74" t="str" cm="1">
        <f t="array" ref="E9">INDEX('Employee Dataset'!A6:L31,MATCH('Employee Dataset'!A9,'Employee Dataset'!A6:A31,0),MATCH('Employee Dataset'!G6,'Employee Dataset'!A6:L6,0))</f>
        <v>Average</v>
      </c>
      <c r="F9" s="74" t="str" cm="1">
        <f t="array" ref="F9">INDEX('Employee Dataset'!A6:L31,MATCH(A9,'Employee Dataset'!A6:A31,0),MATCH('Employee Dataset'!H6,'Employee Dataset'!A6:L6,0))</f>
        <v>South</v>
      </c>
      <c r="G9" s="75" cm="1">
        <f t="array" ref="G9">INDEX($D$3:$D$28,MATCH(D9,$D$3:$D$28,0))</f>
        <v>68000</v>
      </c>
    </row>
    <row r="10" ht="16.5" customHeight="1" spans="1:7">
      <c r="A10" s="52" t="s">
        <v>41</v>
      </c>
      <c r="B10" s="74" t="str" cm="1">
        <f t="array" ref="B10">INDEX('Employee Dataset'!A7:L32,MATCH('Employee Dataset'!A10,'Employee Dataset'!A7:A32,0),MATCH('Employee Dataset'!B7,'Employee Dataset'!A7:L7,0))</f>
        <v>Grace Kim</v>
      </c>
      <c r="C10" s="74" t="str" cm="1">
        <f t="array" ref="C10">INDEX('Employee Dataset'!A7:L32,MATCH('Employee Dataset'!A10,'Employee Dataset'!A7:A32,0),MATCH('Employee Dataset'!C7,'Employee Dataset'!A7:L7,0))</f>
        <v>Finance</v>
      </c>
      <c r="D10" s="75" cm="1">
        <f t="array" ref="D10">INDEX('Employee Dataset'!A7:L32,MATCH('Employee Dataset'!A10,'Employee Dataset'!A7:A32,0),MATCH('Employee Dataset'!E7,'Employee Dataset'!A7:L7,0))</f>
        <v>95000</v>
      </c>
      <c r="E10" s="74" t="str" cm="1">
        <f t="array" ref="E10">INDEX('Employee Dataset'!A7:L32,MATCH('Employee Dataset'!A10,'Employee Dataset'!A7:A32,0),MATCH('Employee Dataset'!G7,'Employee Dataset'!A7:L7,0))</f>
        <v>Excellent</v>
      </c>
      <c r="F10" s="74" t="str" cm="1">
        <f t="array" ref="F10">INDEX('Employee Dataset'!A7:L32,MATCH(A10,'Employee Dataset'!A7:A32,0),MATCH('Employee Dataset'!H7,'Employee Dataset'!A7:L7,0))</f>
        <v>East</v>
      </c>
      <c r="G10" s="75" cm="1">
        <f t="array" ref="G10">INDEX($D$3:$D$28,MATCH(D10,$D$3:$D$28,0))</f>
        <v>95000</v>
      </c>
    </row>
    <row r="11" ht="16.5" customHeight="1" spans="1:7">
      <c r="A11" s="56" t="s">
        <v>43</v>
      </c>
      <c r="B11" s="74" t="str" cm="1">
        <f t="array" ref="B11">INDEX('Employee Dataset'!A8:L33,MATCH('Employee Dataset'!A11,'Employee Dataset'!A8:A33,0),MATCH('Employee Dataset'!B8,'Employee Dataset'!A8:L8,0))</f>
        <v>Henry Davis</v>
      </c>
      <c r="C11" s="74" t="str" cm="1">
        <f t="array" ref="C11">INDEX('Employee Dataset'!A8:L33,MATCH('Employee Dataset'!A11,'Employee Dataset'!A8:A33,0),MATCH('Employee Dataset'!C8,'Employee Dataset'!A8:L8,0))</f>
        <v>IT</v>
      </c>
      <c r="D11" s="75" cm="1">
        <f t="array" ref="D11">INDEX('Employee Dataset'!A8:L33,MATCH('Employee Dataset'!A11,'Employee Dataset'!A8:A33,0),MATCH('Employee Dataset'!E8,'Employee Dataset'!A8:L8,0))</f>
        <v>58000</v>
      </c>
      <c r="E11" s="74" t="str" cm="1">
        <f t="array" ref="E11">INDEX('Employee Dataset'!A8:L33,MATCH('Employee Dataset'!A11,'Employee Dataset'!A8:A33,0),MATCH('Employee Dataset'!G8,'Employee Dataset'!A8:L8,0))</f>
        <v>Good</v>
      </c>
      <c r="F11" s="74" t="str" cm="1">
        <f t="array" ref="F11">INDEX('Employee Dataset'!A8:L33,MATCH(A11,'Employee Dataset'!A8:A33,0),MATCH('Employee Dataset'!H8,'Employee Dataset'!A8:L8,0))</f>
        <v>West</v>
      </c>
      <c r="G11" s="75" cm="1">
        <f t="array" ref="G11">INDEX($D$3:$D$28,MATCH(D11,$D$3:$D$28,0))</f>
        <v>58000</v>
      </c>
    </row>
    <row r="12" ht="16.5" customHeight="1" spans="1:7">
      <c r="A12" s="52" t="s">
        <v>45</v>
      </c>
      <c r="B12" s="74" t="str" cm="1">
        <f t="array" ref="B12">INDEX('Employee Dataset'!A9:L34,MATCH('Employee Dataset'!A12,'Employee Dataset'!A9:A34,0),MATCH('Employee Dataset'!B9,'Employee Dataset'!A9:L9,0))</f>
        <v>Isla Martin</v>
      </c>
      <c r="C12" s="74" t="str" cm="1">
        <f t="array" ref="C12">INDEX('Employee Dataset'!A9:L34,MATCH('Employee Dataset'!A12,'Employee Dataset'!A9:A34,0),MATCH('Employee Dataset'!C9,'Employee Dataset'!A9:L9,0))</f>
        <v>Marketing</v>
      </c>
      <c r="D12" s="75" cm="1">
        <f t="array" ref="D12">INDEX('Employee Dataset'!A9:L34,MATCH('Employee Dataset'!A12,'Employee Dataset'!A9:A34,0),MATCH('Employee Dataset'!E9,'Employee Dataset'!A9:L9,0))</f>
        <v>72000</v>
      </c>
      <c r="E12" s="74" t="str" cm="1">
        <f t="array" ref="E12">INDEX('Employee Dataset'!A9:L34,MATCH('Employee Dataset'!A12,'Employee Dataset'!A9:A34,0),MATCH('Employee Dataset'!G9,'Employee Dataset'!A9:L9,0))</f>
        <v>Excellent</v>
      </c>
      <c r="F12" s="74" t="str" cm="1">
        <f t="array" ref="F12">INDEX('Employee Dataset'!A9:L34,MATCH(A12,'Employee Dataset'!A9:A34,0),MATCH('Employee Dataset'!H9,'Employee Dataset'!A9:L9,0))</f>
        <v>North</v>
      </c>
      <c r="G12" s="75" cm="1">
        <f t="array" ref="G12">INDEX($D$3:$D$28,MATCH(D12,$D$3:$D$28,0))</f>
        <v>72000</v>
      </c>
    </row>
    <row r="13" ht="16.5" customHeight="1" spans="1:7">
      <c r="A13" s="56" t="s">
        <v>47</v>
      </c>
      <c r="B13" s="74" t="str" cm="1">
        <f t="array" ref="B13">INDEX('Employee Dataset'!A10:L35,MATCH('Employee Dataset'!A13,'Employee Dataset'!A10:A35,0),MATCH('Employee Dataset'!B10,'Employee Dataset'!A10:L10,0))</f>
        <v>Jack Wilson</v>
      </c>
      <c r="C13" s="74" t="str" cm="1">
        <f t="array" ref="C13">INDEX('Employee Dataset'!A10:L35,MATCH('Employee Dataset'!A13,'Employee Dataset'!A10:A35,0),MATCH('Employee Dataset'!C10,'Employee Dataset'!A10:L10,0))</f>
        <v>Finance</v>
      </c>
      <c r="D13" s="75" cm="1">
        <f t="array" ref="D13">INDEX('Employee Dataset'!A10:L35,MATCH('Employee Dataset'!A13,'Employee Dataset'!A10:A35,0),MATCH('Employee Dataset'!E10,'Employee Dataset'!A10:L10,0))</f>
        <v>80000</v>
      </c>
      <c r="E13" s="74" t="str" cm="1">
        <f t="array" ref="E13">INDEX('Employee Dataset'!A10:L35,MATCH('Employee Dataset'!A13,'Employee Dataset'!A10:A35,0),MATCH('Employee Dataset'!G10,'Employee Dataset'!A10:L10,0))</f>
        <v>Average</v>
      </c>
      <c r="F13" s="74" t="str" cm="1">
        <f t="array" ref="F13">INDEX('Employee Dataset'!A10:L35,MATCH(A13,'Employee Dataset'!A10:A35,0),MATCH('Employee Dataset'!H10,'Employee Dataset'!A10:L10,0))</f>
        <v>South</v>
      </c>
      <c r="G13" s="75" cm="1">
        <f t="array" ref="G13">INDEX($D$3:$D$28,MATCH(D13,$D$3:$D$28,0))</f>
        <v>80000</v>
      </c>
    </row>
    <row r="14" ht="16.5" customHeight="1" spans="1:7">
      <c r="A14" s="52" t="s">
        <v>49</v>
      </c>
      <c r="B14" s="74" t="str" cm="1">
        <f t="array" ref="B14">INDEX('Employee Dataset'!A11:L36,MATCH('Employee Dataset'!A14,'Employee Dataset'!A11:A36,0),MATCH('Employee Dataset'!B11,'Employee Dataset'!A11:L11,0))</f>
        <v>Karen Taylor</v>
      </c>
      <c r="C14" s="74" t="str" cm="1">
        <f t="array" ref="C14">INDEX('Employee Dataset'!A11:L36,MATCH('Employee Dataset'!A14,'Employee Dataset'!A11:A36,0),MATCH('Employee Dataset'!C11,'Employee Dataset'!A11:L11,0))</f>
        <v>IT</v>
      </c>
      <c r="D14" s="75" cm="1">
        <f t="array" ref="D14">INDEX('Employee Dataset'!A11:L36,MATCH('Employee Dataset'!A14,'Employee Dataset'!A11:A36,0),MATCH('Employee Dataset'!E11,'Employee Dataset'!A11:L11,0))</f>
        <v>82000</v>
      </c>
      <c r="E14" s="74" t="str" cm="1">
        <f t="array" ref="E14">INDEX('Employee Dataset'!A11:L36,MATCH('Employee Dataset'!A14,'Employee Dataset'!A11:A36,0),MATCH('Employee Dataset'!G11,'Employee Dataset'!A11:L11,0))</f>
        <v>Good</v>
      </c>
      <c r="F14" s="74" t="str" cm="1">
        <f t="array" ref="F14">INDEX('Employee Dataset'!A11:L36,MATCH(A14,'Employee Dataset'!A11:A36,0),MATCH('Employee Dataset'!H11,'Employee Dataset'!A11:L11,0))</f>
        <v>East</v>
      </c>
      <c r="G14" s="75" cm="1">
        <f t="array" ref="G14">INDEX($D$3:$D$28,MATCH(D14,$D$3:$D$28,0))</f>
        <v>82000</v>
      </c>
    </row>
    <row r="15" ht="16.5" customHeight="1" spans="1:7">
      <c r="A15" s="56" t="s">
        <v>51</v>
      </c>
      <c r="B15" s="74" t="str" cm="1">
        <f t="array" ref="B15">INDEX('Employee Dataset'!A12:L37,MATCH('Employee Dataset'!A15,'Employee Dataset'!A12:A37,0),MATCH('Employee Dataset'!B12,'Employee Dataset'!A12:L12,0))</f>
        <v>Liam Moore</v>
      </c>
      <c r="C15" s="74" t="str" cm="1">
        <f t="array" ref="C15">INDEX('Employee Dataset'!A12:L37,MATCH('Employee Dataset'!A15,'Employee Dataset'!A12:A37,0),MATCH('Employee Dataset'!C12,'Employee Dataset'!A12:L12,0))</f>
        <v>HR</v>
      </c>
      <c r="D15" s="75" cm="1">
        <f t="array" ref="D15">INDEX('Employee Dataset'!A12:L37,MATCH('Employee Dataset'!A15,'Employee Dataset'!A12:A37,0),MATCH('Employee Dataset'!E12,'Employee Dataset'!A12:L12,0))</f>
        <v>63000</v>
      </c>
      <c r="E15" s="74" t="str" cm="1">
        <f t="array" ref="E15">INDEX('Employee Dataset'!A12:L37,MATCH('Employee Dataset'!A15,'Employee Dataset'!A12:A37,0),MATCH('Employee Dataset'!G12,'Employee Dataset'!A12:L12,0))</f>
        <v>Average</v>
      </c>
      <c r="F15" s="74" t="str" cm="1">
        <f t="array" ref="F15">INDEX('Employee Dataset'!A12:L37,MATCH(A15,'Employee Dataset'!A12:A37,0),MATCH('Employee Dataset'!H12,'Employee Dataset'!A12:L12,0))</f>
        <v>West</v>
      </c>
      <c r="G15" s="75" cm="1">
        <f t="array" ref="G15">INDEX($D$3:$D$28,MATCH(D15,$D$3:$D$28,0))</f>
        <v>63000</v>
      </c>
    </row>
    <row r="16" ht="16.5" customHeight="1" spans="1:7">
      <c r="A16" s="52" t="s">
        <v>53</v>
      </c>
      <c r="B16" s="74" t="str" cm="1">
        <f t="array" ref="B16">INDEX('Employee Dataset'!A13:L38,MATCH('Employee Dataset'!A16,'Employee Dataset'!A13:A38,0),MATCH('Employee Dataset'!B13,'Employee Dataset'!A13:L13,0))</f>
        <v>Mia Anderson</v>
      </c>
      <c r="C16" s="74" t="str" cm="1">
        <f t="array" ref="C16">INDEX('Employee Dataset'!A13:L38,MATCH('Employee Dataset'!A16,'Employee Dataset'!A13:A38,0),MATCH('Employee Dataset'!C13,'Employee Dataset'!A13:L13,0))</f>
        <v>Marketing</v>
      </c>
      <c r="D16" s="75" cm="1">
        <f t="array" ref="D16">INDEX('Employee Dataset'!A13:L38,MATCH('Employee Dataset'!A16,'Employee Dataset'!A13:A38,0),MATCH('Employee Dataset'!E13,'Employee Dataset'!A13:L13,0))</f>
        <v>60000</v>
      </c>
      <c r="E16" s="74" t="str" cm="1">
        <f t="array" ref="E16">INDEX('Employee Dataset'!A13:L38,MATCH('Employee Dataset'!A16,'Employee Dataset'!A13:A38,0),MATCH('Employee Dataset'!G13,'Employee Dataset'!A13:L13,0))</f>
        <v>Good</v>
      </c>
      <c r="F16" s="74" t="str" cm="1">
        <f t="array" ref="F16">INDEX('Employee Dataset'!A13:L38,MATCH(A16,'Employee Dataset'!A13:A38,0),MATCH('Employee Dataset'!H13,'Employee Dataset'!A13:L13,0))</f>
        <v>North</v>
      </c>
      <c r="G16" s="75" cm="1">
        <f t="array" ref="G16">INDEX($D$3:$D$28,MATCH(D16,$D$3:$D$28,0))</f>
        <v>60000</v>
      </c>
    </row>
    <row r="17" ht="16.5" customHeight="1" spans="1:7">
      <c r="A17" s="56" t="s">
        <v>55</v>
      </c>
      <c r="B17" s="74" t="str" cm="1">
        <f t="array" ref="B17">INDEX('Employee Dataset'!A14:L39,MATCH('Employee Dataset'!A17,'Employee Dataset'!A14:A39,0),MATCH('Employee Dataset'!B14,'Employee Dataset'!A14:L14,0))</f>
        <v>Noah Thomas</v>
      </c>
      <c r="C17" s="74" t="str" cm="1">
        <f t="array" ref="C17">INDEX('Employee Dataset'!A14:L39,MATCH('Employee Dataset'!A17,'Employee Dataset'!A14:A39,0),MATCH('Employee Dataset'!C14,'Employee Dataset'!A14:L14,0))</f>
        <v>Finance</v>
      </c>
      <c r="D17" s="75" cm="1">
        <f t="array" ref="D17">INDEX('Employee Dataset'!A14:L39,MATCH('Employee Dataset'!A17,'Employee Dataset'!A14:A39,0),MATCH('Employee Dataset'!E14,'Employee Dataset'!A14:L14,0))</f>
        <v>105000</v>
      </c>
      <c r="E17" s="74" t="str" cm="1">
        <f t="array" ref="E17">INDEX('Employee Dataset'!A14:L39,MATCH('Employee Dataset'!A17,'Employee Dataset'!A14:A39,0),MATCH('Employee Dataset'!G14,'Employee Dataset'!A14:L14,0))</f>
        <v>Excellent</v>
      </c>
      <c r="F17" s="74" t="str" cm="1">
        <f t="array" ref="F17">INDEX('Employee Dataset'!A14:L39,MATCH(A17,'Employee Dataset'!A14:A39,0),MATCH('Employee Dataset'!H14,'Employee Dataset'!A14:L14,0))</f>
        <v>South</v>
      </c>
      <c r="G17" s="75" cm="1">
        <f t="array" ref="G17">INDEX($D$3:$D$28,MATCH(D17,$D$3:$D$28,0))</f>
        <v>105000</v>
      </c>
    </row>
    <row r="18" ht="16.5" customHeight="1" spans="1:7">
      <c r="A18" s="52" t="s">
        <v>57</v>
      </c>
      <c r="B18" s="74" t="str" cm="1">
        <f t="array" ref="B18">INDEX('Employee Dataset'!A15:L40,MATCH('Employee Dataset'!A18,'Employee Dataset'!A15:A40,0),MATCH('Employee Dataset'!B15,'Employee Dataset'!A15:L15,0))</f>
        <v>Olivia Harris</v>
      </c>
      <c r="C18" s="74" t="str" cm="1">
        <f t="array" ref="C18">INDEX('Employee Dataset'!A15:L40,MATCH('Employee Dataset'!A18,'Employee Dataset'!A15:A40,0),MATCH('Employee Dataset'!C15,'Employee Dataset'!A15:L15,0))</f>
        <v>IT</v>
      </c>
      <c r="D18" s="75" cm="1">
        <f t="array" ref="D18">INDEX('Employee Dataset'!A15:L40,MATCH('Employee Dataset'!A18,'Employee Dataset'!A15:A40,0),MATCH('Employee Dataset'!E15,'Employee Dataset'!A15:L15,0))</f>
        <v>70000</v>
      </c>
      <c r="E18" s="74" t="str" cm="1">
        <f t="array" ref="E18">INDEX('Employee Dataset'!A15:L40,MATCH('Employee Dataset'!A18,'Employee Dataset'!A15:A40,0),MATCH('Employee Dataset'!G15,'Employee Dataset'!A15:L15,0))</f>
        <v>Excellent</v>
      </c>
      <c r="F18" s="74" t="str" cm="1">
        <f t="array" ref="F18">INDEX('Employee Dataset'!A15:L40,MATCH(A18,'Employee Dataset'!A15:A40,0),MATCH('Employee Dataset'!H15,'Employee Dataset'!A15:L15,0))</f>
        <v>East</v>
      </c>
      <c r="G18" s="75" cm="1">
        <f t="array" ref="G18">INDEX($D$3:$D$28,MATCH(D18,$D$3:$D$28,0))</f>
        <v>70000</v>
      </c>
    </row>
    <row r="19" ht="16.5" customHeight="1" spans="1:7">
      <c r="A19" s="56" t="s">
        <v>59</v>
      </c>
      <c r="B19" s="74" t="str" cm="1">
        <f t="array" ref="B19">INDEX('Employee Dataset'!A16:L41,MATCH('Employee Dataset'!A19,'Employee Dataset'!A16:A41,0),MATCH('Employee Dataset'!B16,'Employee Dataset'!A16:L16,0))</f>
        <v>Peter Clark</v>
      </c>
      <c r="C19" s="74" t="str" cm="1">
        <f t="array" ref="C19">INDEX('Employee Dataset'!A16:L41,MATCH('Employee Dataset'!A19,'Employee Dataset'!A16:A41,0),MATCH('Employee Dataset'!C16,'Employee Dataset'!A16:L16,0))</f>
        <v>HR</v>
      </c>
      <c r="D19" s="75" cm="1">
        <f t="array" ref="D19">INDEX('Employee Dataset'!A16:L41,MATCH('Employee Dataset'!A19,'Employee Dataset'!A16:A41,0),MATCH('Employee Dataset'!E16,'Employee Dataset'!A16:L16,0))</f>
        <v>67000</v>
      </c>
      <c r="E19" s="74" t="str" cm="1">
        <f t="array" ref="E19">INDEX('Employee Dataset'!A16:L41,MATCH('Employee Dataset'!A19,'Employee Dataset'!A16:A41,0),MATCH('Employee Dataset'!G16,'Employee Dataset'!A16:L16,0))</f>
        <v>Good</v>
      </c>
      <c r="F19" s="74" t="str" cm="1">
        <f t="array" ref="F19">INDEX('Employee Dataset'!A16:L41,MATCH(A19,'Employee Dataset'!A16:A41,0),MATCH('Employee Dataset'!H16,'Employee Dataset'!A16:L16,0))</f>
        <v>West</v>
      </c>
      <c r="G19" s="75" cm="1">
        <f t="array" ref="G19">INDEX($D$3:$D$28,MATCH(D19,$D$3:$D$28,0))</f>
        <v>67000</v>
      </c>
    </row>
    <row r="20" ht="16.5" customHeight="1" spans="1:7">
      <c r="A20" s="52" t="s">
        <v>61</v>
      </c>
      <c r="B20" s="74" t="str" cm="1">
        <f t="array" ref="B20">INDEX('Employee Dataset'!A17:L42,MATCH('Employee Dataset'!A20,'Employee Dataset'!A17:A42,0),MATCH('Employee Dataset'!B17,'Employee Dataset'!A17:L17,0))</f>
        <v>Quinn Lewis</v>
      </c>
      <c r="C20" s="74" t="str" cm="1">
        <f t="array" ref="C20">INDEX('Employee Dataset'!A17:L42,MATCH('Employee Dataset'!A20,'Employee Dataset'!A17:A42,0),MATCH('Employee Dataset'!C17,'Employee Dataset'!A17:L17,0))</f>
        <v>Marketing</v>
      </c>
      <c r="D20" s="75" cm="1">
        <f t="array" ref="D20">INDEX('Employee Dataset'!A17:L42,MATCH('Employee Dataset'!A20,'Employee Dataset'!A17:A42,0),MATCH('Employee Dataset'!E17,'Employee Dataset'!A17:L17,0))</f>
        <v>58000</v>
      </c>
      <c r="E20" s="74" t="str" cm="1">
        <f t="array" ref="E20">INDEX('Employee Dataset'!A17:L42,MATCH('Employee Dataset'!A20,'Employee Dataset'!A17:A42,0),MATCH('Employee Dataset'!G17,'Employee Dataset'!A17:L17,0))</f>
        <v>Average</v>
      </c>
      <c r="F20" s="74" t="str" cm="1">
        <f t="array" ref="F20">INDEX('Employee Dataset'!A17:L42,MATCH(A20,'Employee Dataset'!A17:A42,0),MATCH('Employee Dataset'!H17,'Employee Dataset'!A17:L17,0))</f>
        <v>North</v>
      </c>
      <c r="G20" s="75" cm="1">
        <f t="array" ref="G20">INDEX($D$3:$D$28,MATCH(D20,$D$3:$D$28,0))</f>
        <v>58000</v>
      </c>
    </row>
    <row r="21" ht="16.5" customHeight="1" spans="1:7">
      <c r="A21" s="56" t="s">
        <v>63</v>
      </c>
      <c r="B21" s="74" t="str" cm="1">
        <f t="array" ref="B21">INDEX('Employee Dataset'!A18:L43,MATCH('Employee Dataset'!A21,'Employee Dataset'!A18:A43,0),MATCH('Employee Dataset'!B18,'Employee Dataset'!A18:L18,0))</f>
        <v>Ryan Walker</v>
      </c>
      <c r="C21" s="74" t="str" cm="1">
        <f t="array" ref="C21">INDEX('Employee Dataset'!A18:L43,MATCH('Employee Dataset'!A21,'Employee Dataset'!A18:A43,0),MATCH('Employee Dataset'!C18,'Employee Dataset'!A18:L18,0))</f>
        <v>IT</v>
      </c>
      <c r="D21" s="75" cm="1">
        <f t="array" ref="D21">INDEX('Employee Dataset'!A18:L43,MATCH('Employee Dataset'!A21,'Employee Dataset'!A18:A43,0),MATCH('Employee Dataset'!E18,'Employee Dataset'!A18:L18,0))</f>
        <v>88000</v>
      </c>
      <c r="E21" s="74" t="str" cm="1">
        <f t="array" ref="E21">INDEX('Employee Dataset'!A18:L43,MATCH('Employee Dataset'!A21,'Employee Dataset'!A18:A43,0),MATCH('Employee Dataset'!G18,'Employee Dataset'!A18:L18,0))</f>
        <v>Excellent</v>
      </c>
      <c r="F21" s="74" t="str" cm="1">
        <f t="array" ref="F21">INDEX('Employee Dataset'!A18:L43,MATCH(A21,'Employee Dataset'!A18:A43,0),MATCH('Employee Dataset'!H18,'Employee Dataset'!A18:L18,0))</f>
        <v>South</v>
      </c>
      <c r="G21" s="75" cm="1">
        <f t="array" ref="G21">INDEX($D$3:$D$28,MATCH(D21,$D$3:$D$28,0))</f>
        <v>88000</v>
      </c>
    </row>
    <row r="22" ht="16.5" customHeight="1" spans="1:7">
      <c r="A22" s="52" t="s">
        <v>65</v>
      </c>
      <c r="B22" s="74" t="str" cm="1">
        <f t="array" ref="B22">INDEX('Employee Dataset'!A19:L44,MATCH('Employee Dataset'!A22,'Employee Dataset'!A19:A44,0),MATCH('Employee Dataset'!B19,'Employee Dataset'!A19:L19,0))</f>
        <v>Sara Hall</v>
      </c>
      <c r="C22" s="74" t="str" cm="1">
        <f t="array" ref="C22">INDEX('Employee Dataset'!A19:L44,MATCH('Employee Dataset'!A22,'Employee Dataset'!A19:A44,0),MATCH('Employee Dataset'!C19,'Employee Dataset'!A19:L19,0))</f>
        <v>Finance</v>
      </c>
      <c r="D22" s="75" cm="1">
        <f t="array" ref="D22">INDEX('Employee Dataset'!A19:L44,MATCH('Employee Dataset'!A22,'Employee Dataset'!A19:A44,0),MATCH('Employee Dataset'!E19,'Employee Dataset'!A19:L19,0))</f>
        <v>76000</v>
      </c>
      <c r="E22" s="74" t="str" cm="1">
        <f t="array" ref="E22">INDEX('Employee Dataset'!A19:L44,MATCH('Employee Dataset'!A22,'Employee Dataset'!A19:A44,0),MATCH('Employee Dataset'!G19,'Employee Dataset'!A19:L19,0))</f>
        <v>Good</v>
      </c>
      <c r="F22" s="74" t="str" cm="1">
        <f t="array" ref="F22">INDEX('Employee Dataset'!A19:L44,MATCH(A22,'Employee Dataset'!A19:A44,0),MATCH('Employee Dataset'!H19,'Employee Dataset'!A19:L19,0))</f>
        <v>East</v>
      </c>
      <c r="G22" s="75" cm="1">
        <f t="array" ref="G22">INDEX($D$3:$D$28,MATCH(D22,$D$3:$D$28,0))</f>
        <v>76000</v>
      </c>
    </row>
    <row r="23" ht="16.5" customHeight="1" spans="1:7">
      <c r="A23" s="56" t="s">
        <v>67</v>
      </c>
      <c r="B23" s="74" t="str" cm="1">
        <f t="array" ref="B23">INDEX('Employee Dataset'!A20:L45,MATCH('Employee Dataset'!A23,'Employee Dataset'!A20:A45,0),MATCH('Employee Dataset'!B20,'Employee Dataset'!A20:L20,0))</f>
        <v>Tom Young</v>
      </c>
      <c r="C23" s="74" t="str" cm="1">
        <f t="array" ref="C23">INDEX('Employee Dataset'!A20:L45,MATCH('Employee Dataset'!A23,'Employee Dataset'!A20:A45,0),MATCH('Employee Dataset'!C20,'Employee Dataset'!A20:L20,0))</f>
        <v>Marketing</v>
      </c>
      <c r="D23" s="75" cm="1">
        <f t="array" ref="D23">INDEX('Employee Dataset'!A20:L45,MATCH('Employee Dataset'!A23,'Employee Dataset'!A20:A45,0),MATCH('Employee Dataset'!E20,'Employee Dataset'!A20:L20,0))</f>
        <v>65000</v>
      </c>
      <c r="E23" s="74" t="str" cm="1">
        <f t="array" ref="E23">INDEX('Employee Dataset'!A20:L45,MATCH('Employee Dataset'!A23,'Employee Dataset'!A20:A45,0),MATCH('Employee Dataset'!G20,'Employee Dataset'!A20:L20,0))</f>
        <v>Average</v>
      </c>
      <c r="F23" s="74" t="str" cm="1">
        <f t="array" ref="F23">INDEX('Employee Dataset'!A20:L45,MATCH(A23,'Employee Dataset'!A20:A45,0),MATCH('Employee Dataset'!H20,'Employee Dataset'!A20:L20,0))</f>
        <v>West</v>
      </c>
      <c r="G23" s="75" cm="1">
        <f t="array" ref="G23">INDEX($D$3:$D$28,MATCH(D23,$D$3:$D$28,0))</f>
        <v>65000</v>
      </c>
    </row>
    <row r="24" ht="16.5" customHeight="1" spans="1:7">
      <c r="A24" s="52" t="s">
        <v>69</v>
      </c>
      <c r="B24" s="74" t="str" cm="1">
        <f t="array" ref="B24">INDEX('Employee Dataset'!A21:L46,MATCH('Employee Dataset'!A24,'Employee Dataset'!A21:A46,0),MATCH('Employee Dataset'!B21,'Employee Dataset'!A21:L21,0))</f>
        <v>Uma Scott</v>
      </c>
      <c r="C24" s="74" t="str" cm="1">
        <f t="array" ref="C24">INDEX('Employee Dataset'!A21:L46,MATCH('Employee Dataset'!A24,'Employee Dataset'!A21:A46,0),MATCH('Employee Dataset'!C21,'Employee Dataset'!A21:L21,0))</f>
        <v>HR</v>
      </c>
      <c r="D24" s="75" cm="1">
        <f t="array" ref="D24">INDEX('Employee Dataset'!A21:L46,MATCH('Employee Dataset'!A24,'Employee Dataset'!A21:A46,0),MATCH('Employee Dataset'!E21,'Employee Dataset'!A21:L21,0))</f>
        <v>64000</v>
      </c>
      <c r="E24" s="74" t="str" cm="1">
        <f t="array" ref="E24">INDEX('Employee Dataset'!A21:L46,MATCH('Employee Dataset'!A24,'Employee Dataset'!A21:A46,0),MATCH('Employee Dataset'!G21,'Employee Dataset'!A21:L21,0))</f>
        <v>Excellent</v>
      </c>
      <c r="F24" s="74" t="str" cm="1">
        <f t="array" ref="F24">INDEX('Employee Dataset'!A21:L46,MATCH(A24,'Employee Dataset'!A21:A46,0),MATCH('Employee Dataset'!H21,'Employee Dataset'!A21:L21,0))</f>
        <v>North</v>
      </c>
      <c r="G24" s="75" cm="1">
        <f t="array" ref="G24">INDEX($D$3:$D$28,MATCH(D24,$D$3:$D$28,0))</f>
        <v>64000</v>
      </c>
    </row>
    <row r="25" ht="16.5" customHeight="1" spans="1:7">
      <c r="A25" s="56" t="s">
        <v>71</v>
      </c>
      <c r="B25" s="74" t="str" cm="1">
        <f t="array" ref="B25">INDEX('Employee Dataset'!A22:L47,MATCH('Employee Dataset'!A25,'Employee Dataset'!A22:A47,0),MATCH('Employee Dataset'!B22,'Employee Dataset'!A22:L22,0))</f>
        <v>Victor King</v>
      </c>
      <c r="C25" s="74" t="str" cm="1">
        <f t="array" ref="C25">INDEX('Employee Dataset'!A22:L47,MATCH('Employee Dataset'!A25,'Employee Dataset'!A22:A47,0),MATCH('Employee Dataset'!C22,'Employee Dataset'!A22:L22,0))</f>
        <v>IT</v>
      </c>
      <c r="D25" s="75" cm="1">
        <f t="array" ref="D25">INDEX('Employee Dataset'!A22:L47,MATCH('Employee Dataset'!A25,'Employee Dataset'!A22:A47,0),MATCH('Employee Dataset'!E22,'Employee Dataset'!A22:L22,0))</f>
        <v>79000</v>
      </c>
      <c r="E25" s="74" t="str" cm="1">
        <f t="array" ref="E25">INDEX('Employee Dataset'!A22:L47,MATCH('Employee Dataset'!A25,'Employee Dataset'!A22:A47,0),MATCH('Employee Dataset'!G22,'Employee Dataset'!A22:L22,0))</f>
        <v>Good</v>
      </c>
      <c r="F25" s="74" t="str" cm="1">
        <f t="array" ref="F25">INDEX('Employee Dataset'!A22:L47,MATCH(A25,'Employee Dataset'!A22:A47,0),MATCH('Employee Dataset'!H22,'Employee Dataset'!A22:L22,0))</f>
        <v>South</v>
      </c>
      <c r="G25" s="75" cm="1">
        <f t="array" ref="G25">INDEX($D$3:$D$28,MATCH(D25,$D$3:$D$28,0))</f>
        <v>79000</v>
      </c>
    </row>
    <row r="26" ht="16.5" customHeight="1" spans="1:7">
      <c r="A26" s="52" t="s">
        <v>73</v>
      </c>
      <c r="B26" s="74" t="str" cm="1">
        <f t="array" ref="B26">INDEX('Employee Dataset'!A23:L48,MATCH('Employee Dataset'!A26,'Employee Dataset'!A23:A48,0),MATCH('Employee Dataset'!B23,'Employee Dataset'!A23:L23,0))</f>
        <v>Wendy Wright</v>
      </c>
      <c r="C26" s="74" t="str" cm="1">
        <f t="array" ref="C26">INDEX('Employee Dataset'!A23:L48,MATCH('Employee Dataset'!A26,'Employee Dataset'!A23:A48,0),MATCH('Employee Dataset'!C23,'Employee Dataset'!A23:L23,0))</f>
        <v>Finance</v>
      </c>
      <c r="D26" s="75" cm="1">
        <f t="array" ref="D26">INDEX('Employee Dataset'!A23:L48,MATCH('Employee Dataset'!A26,'Employee Dataset'!A23:A48,0),MATCH('Employee Dataset'!E23,'Employee Dataset'!A23:L23,0))</f>
        <v>87000</v>
      </c>
      <c r="E26" s="74" t="str" cm="1">
        <f t="array" ref="E26">INDEX('Employee Dataset'!A23:L48,MATCH('Employee Dataset'!A26,'Employee Dataset'!A23:A48,0),MATCH('Employee Dataset'!G23,'Employee Dataset'!A23:L23,0))</f>
        <v>Excellent</v>
      </c>
      <c r="F26" s="74" t="str" cm="1">
        <f t="array" ref="F26">INDEX('Employee Dataset'!A23:L48,MATCH(A26,'Employee Dataset'!A23:A48,0),MATCH('Employee Dataset'!H23,'Employee Dataset'!A23:L23,0))</f>
        <v>East</v>
      </c>
      <c r="G26" s="75" cm="1">
        <f t="array" ref="G26">INDEX($D$3:$D$28,MATCH(D26,$D$3:$D$28,0))</f>
        <v>87000</v>
      </c>
    </row>
    <row r="27" ht="16.5" customHeight="1" spans="1:7">
      <c r="A27" s="56" t="s">
        <v>75</v>
      </c>
      <c r="B27" s="74" t="str" cm="1">
        <f t="array" ref="B27">INDEX('Employee Dataset'!A24:L49,MATCH('Employee Dataset'!A27,'Employee Dataset'!A24:A49,0),MATCH('Employee Dataset'!B24,'Employee Dataset'!A24:L24,0))</f>
        <v>Xander Lopez</v>
      </c>
      <c r="C27" s="74" t="str" cm="1">
        <f t="array" ref="C27">INDEX('Employee Dataset'!A24:L49,MATCH('Employee Dataset'!A27,'Employee Dataset'!A24:A49,0),MATCH('Employee Dataset'!C24,'Employee Dataset'!A24:L24,0))</f>
        <v>Marketing</v>
      </c>
      <c r="D27" s="75" cm="1">
        <f t="array" ref="D27">INDEX('Employee Dataset'!A24:L49,MATCH('Employee Dataset'!A27,'Employee Dataset'!A24:A49,0),MATCH('Employee Dataset'!E24,'Employee Dataset'!A24:L24,0))</f>
        <v>61000</v>
      </c>
      <c r="E27" s="74" t="str" cm="1">
        <f t="array" ref="E27">INDEX('Employee Dataset'!A24:L49,MATCH('Employee Dataset'!A27,'Employee Dataset'!A24:A49,0),MATCH('Employee Dataset'!G24,'Employee Dataset'!A24:L24,0))</f>
        <v>Average</v>
      </c>
      <c r="F27" s="74" t="str" cm="1">
        <f t="array" ref="F27">INDEX('Employee Dataset'!A24:L49,MATCH(A27,'Employee Dataset'!A24:A49,0),MATCH('Employee Dataset'!H24,'Employee Dataset'!A24:L24,0))</f>
        <v>West</v>
      </c>
      <c r="G27" s="75" cm="1">
        <f t="array" ref="G27">INDEX($D$3:$D$28,MATCH(D27,$D$3:$D$28,0))</f>
        <v>61000</v>
      </c>
    </row>
    <row r="28" ht="16.5" customHeight="1" spans="1:7">
      <c r="A28" s="52" t="s">
        <v>77</v>
      </c>
      <c r="B28" s="74" t="str" cm="1">
        <f t="array" ref="B28">INDEX('Employee Dataset'!A25:L50,MATCH('Employee Dataset'!A28,'Employee Dataset'!A25:A50,0),MATCH('Employee Dataset'!B25,'Employee Dataset'!A25:L25,0))</f>
        <v>Yara Hill</v>
      </c>
      <c r="C28" s="74" t="str" cm="1">
        <f t="array" ref="C28">INDEX('Employee Dataset'!A3:L28,MATCH('Employee Dataset'!A28,'Employee Dataset'!A3:A28,0),MATCH('Employee Dataset'!C3,'Employee Dataset'!A3:L3,0))</f>
        <v>IT</v>
      </c>
      <c r="D28" s="75" cm="1">
        <f t="array" ref="D28">INDEX('Employee Dataset'!A3:L28,MATCH('Employee Dataset'!A28,'Employee Dataset'!A3:A28,0),MATCH('Employee Dataset'!E3,'Employee Dataset'!A3:L3,0))</f>
        <v>73000</v>
      </c>
      <c r="E28" s="74" t="str" cm="1">
        <f t="array" ref="E28">INDEX('Employee Dataset'!A3:L28,MATCH('Employee Dataset'!A28,'Employee Dataset'!A3:A28,0),MATCH('Employee Dataset'!G3,'Employee Dataset'!A3:L3,0))</f>
        <v>Good</v>
      </c>
      <c r="F28" s="74" t="str" cm="1">
        <f t="array" ref="F28">INDEX('Employee Dataset'!A3:L28,MATCH('Employee Dataset'!A28,'Employee Dataset'!A3:A28,0),MATCH('Employee Dataset'!H3,'Employee Dataset'!A3:L3,0))</f>
        <v>North</v>
      </c>
      <c r="G28" s="75" cm="1">
        <f t="array" ref="G28">INDEX($D$3:$D$28,MATCH(D28,$D$3:$D$28,0))</f>
        <v>73000</v>
      </c>
    </row>
    <row r="29" ht="15.25"/>
    <row r="30" ht="25.5" customHeight="1" spans="1:7">
      <c r="A30" s="78" t="s">
        <v>152</v>
      </c>
      <c r="B30" s="78"/>
      <c r="C30" s="78"/>
      <c r="D30" s="78"/>
      <c r="E30" s="78"/>
      <c r="F30" s="78"/>
      <c r="G30" s="78"/>
    </row>
    <row r="31" ht="25.5" customHeight="1" spans="1:7">
      <c r="A31" s="79" t="s">
        <v>153</v>
      </c>
      <c r="B31" s="79"/>
      <c r="C31" s="80" t="s">
        <v>154</v>
      </c>
      <c r="D31" s="80"/>
      <c r="E31" s="81" t="s">
        <v>155</v>
      </c>
      <c r="F31" s="81"/>
      <c r="G31" s="81"/>
    </row>
    <row r="32" ht="25.5" customHeight="1" spans="1:7">
      <c r="A32" s="82" t="s">
        <v>156</v>
      </c>
      <c r="B32" s="82"/>
      <c r="C32" s="26" t="s">
        <v>157</v>
      </c>
      <c r="D32" s="26"/>
      <c r="E32" s="16" t="s">
        <v>158</v>
      </c>
      <c r="F32" s="16"/>
      <c r="G32" s="16"/>
    </row>
    <row r="33" ht="25.5" customHeight="1" spans="1:7">
      <c r="A33" s="83" t="s">
        <v>159</v>
      </c>
      <c r="B33" s="83"/>
      <c r="C33" s="26" t="s">
        <v>160</v>
      </c>
      <c r="D33" s="26"/>
      <c r="E33" s="16" t="s">
        <v>161</v>
      </c>
      <c r="F33" s="16"/>
      <c r="G33" s="16"/>
    </row>
    <row r="34" ht="25.5" customHeight="1" spans="1:7">
      <c r="A34" s="82" t="s">
        <v>162</v>
      </c>
      <c r="B34" s="82"/>
      <c r="C34" s="26" t="s">
        <v>163</v>
      </c>
      <c r="D34" s="26"/>
      <c r="E34" s="16" t="s">
        <v>164</v>
      </c>
      <c r="F34" s="16"/>
      <c r="G34" s="16"/>
    </row>
    <row r="35" ht="25.5" customHeight="1" spans="1:7">
      <c r="A35" s="83" t="s">
        <v>165</v>
      </c>
      <c r="B35" s="83"/>
      <c r="C35" s="26" t="s">
        <v>166</v>
      </c>
      <c r="D35" s="26"/>
      <c r="E35" s="16" t="s">
        <v>167</v>
      </c>
      <c r="F35" s="16"/>
      <c r="G35" s="16"/>
    </row>
    <row r="36" ht="25.5" customHeight="1" spans="1:7">
      <c r="A36" s="82" t="s">
        <v>8</v>
      </c>
      <c r="B36" s="82"/>
      <c r="C36" s="26" t="s">
        <v>168</v>
      </c>
      <c r="D36" s="26"/>
      <c r="E36" s="16" t="s">
        <v>169</v>
      </c>
      <c r="F36" s="16"/>
      <c r="G36" s="16"/>
    </row>
    <row r="37" ht="25.5" customHeight="1" spans="1:7">
      <c r="A37" s="83" t="s">
        <v>170</v>
      </c>
      <c r="B37" s="83"/>
      <c r="C37" s="26" t="s">
        <v>171</v>
      </c>
      <c r="D37" s="26"/>
      <c r="E37" s="16" t="s">
        <v>172</v>
      </c>
      <c r="F37" s="16"/>
      <c r="G37" s="16"/>
    </row>
  </sheetData>
  <mergeCells count="24">
    <mergeCell ref="A1:G1"/>
    <mergeCell ref="A2:G2"/>
    <mergeCell ref="A30:G30"/>
    <mergeCell ref="A31:B31"/>
    <mergeCell ref="C31:D31"/>
    <mergeCell ref="E31:G31"/>
    <mergeCell ref="A32:B32"/>
    <mergeCell ref="C32:D32"/>
    <mergeCell ref="E32:G32"/>
    <mergeCell ref="A33:B33"/>
    <mergeCell ref="C33:D33"/>
    <mergeCell ref="E33:G33"/>
    <mergeCell ref="A34:B34"/>
    <mergeCell ref="C34:D34"/>
    <mergeCell ref="E34:G34"/>
    <mergeCell ref="A35:B35"/>
    <mergeCell ref="C35:D35"/>
    <mergeCell ref="E35:G35"/>
    <mergeCell ref="A36:B36"/>
    <mergeCell ref="C36:D36"/>
    <mergeCell ref="E36:G36"/>
    <mergeCell ref="A37:B37"/>
    <mergeCell ref="C37:D37"/>
    <mergeCell ref="E37:G37"/>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17A65"/>
  </sheetPr>
  <dimension ref="A1:G34"/>
  <sheetViews>
    <sheetView showGridLines="0" workbookViewId="0">
      <pane ySplit="3" topLeftCell="A4" activePane="bottomLeft" state="frozen"/>
      <selection/>
      <selection pane="bottomLeft" activeCell="C6" sqref="C6"/>
    </sheetView>
  </sheetViews>
  <sheetFormatPr defaultColWidth="8.66363636363636" defaultRowHeight="14.5" outlineLevelCol="6"/>
  <cols>
    <col min="1" max="1" width="15.6636363636364" customWidth="1"/>
    <col min="2" max="2" width="20" customWidth="1"/>
    <col min="3" max="3" width="16" customWidth="1"/>
    <col min="4" max="4" width="14" customWidth="1"/>
    <col min="5" max="5" width="16" customWidth="1"/>
    <col min="6" max="6" width="18" customWidth="1"/>
    <col min="7" max="7" width="22" customWidth="1"/>
  </cols>
  <sheetData>
    <row r="1" ht="37.5" customHeight="1" spans="1:7">
      <c r="A1" s="1" t="s">
        <v>173</v>
      </c>
      <c r="B1" s="1"/>
      <c r="C1" s="1"/>
      <c r="D1" s="1"/>
      <c r="E1" s="1"/>
      <c r="F1" s="1"/>
      <c r="G1" s="1"/>
    </row>
    <row r="2" ht="31.5" customHeight="1" spans="1:7">
      <c r="A2" s="59" t="s">
        <v>174</v>
      </c>
      <c r="B2" s="59"/>
      <c r="C2" s="59"/>
      <c r="D2" s="59"/>
      <c r="E2" s="59"/>
      <c r="F2" s="59"/>
      <c r="G2" s="59"/>
    </row>
    <row r="3" ht="21.75" customHeight="1" spans="1:7">
      <c r="A3" s="60" t="s">
        <v>2</v>
      </c>
      <c r="B3" s="60" t="s">
        <v>175</v>
      </c>
      <c r="C3" s="60" t="s">
        <v>135</v>
      </c>
      <c r="D3" s="60" t="s">
        <v>6</v>
      </c>
      <c r="E3" s="60" t="s">
        <v>8</v>
      </c>
      <c r="F3" s="60" t="s">
        <v>9</v>
      </c>
      <c r="G3" s="60" t="s">
        <v>176</v>
      </c>
    </row>
    <row r="4" ht="16.5" customHeight="1" spans="1:7">
      <c r="A4" s="52" t="s">
        <v>14</v>
      </c>
      <c r="B4" s="61" t="s">
        <v>15</v>
      </c>
      <c r="C4" s="61" t="s">
        <v>16</v>
      </c>
      <c r="D4" s="62">
        <v>62000</v>
      </c>
      <c r="E4" s="61" t="s">
        <v>17</v>
      </c>
      <c r="F4" s="61" t="s">
        <v>18</v>
      </c>
      <c r="G4" s="62" t="s">
        <v>20</v>
      </c>
    </row>
    <row r="5" ht="16.5" customHeight="1" spans="1:7">
      <c r="A5" s="56" t="s">
        <v>21</v>
      </c>
      <c r="B5" s="63" t="s">
        <v>22</v>
      </c>
      <c r="C5" s="63" t="s">
        <v>23</v>
      </c>
      <c r="D5" s="64">
        <v>75000</v>
      </c>
      <c r="E5" s="63" t="s">
        <v>24</v>
      </c>
      <c r="F5" s="63" t="s">
        <v>25</v>
      </c>
      <c r="G5" s="64" t="s">
        <v>20</v>
      </c>
    </row>
    <row r="6" ht="16.5" customHeight="1" spans="1:7">
      <c r="A6" s="52" t="s">
        <v>27</v>
      </c>
      <c r="B6" s="61" t="str" cm="1">
        <f t="array" ref="B6:B28">_xlfn.XLOOKUP('Employee Dataset'!A6:A28,'Employee Dataset'!$A$6:$A$28,'Employee Dataset'!$B$6:$B$28,0)</f>
        <v>Carol White</v>
      </c>
      <c r="C6" s="61" t="str" cm="1">
        <f t="array" ref="C6:C28">_xlfn.XLOOKUP('Employee Dataset'!B6:B28,'Employee Dataset'!$B$6:$B$28,'Employee Dataset'!$C$6:$C$28,0)</f>
        <v>Finance</v>
      </c>
      <c r="D6" s="62" cm="1">
        <f t="array" ref="D6:D28">_xlfn.XLOOKUP('Employee Dataset'!A6:A28,'Employee Dataset'!A6:A28,'Employee Dataset'!E6:E28)</f>
        <v>90000</v>
      </c>
      <c r="E6" s="61" t="str" cm="1">
        <f t="array" ref="E6:E28">_xlfn.XLOOKUP('Employee Dataset'!A6:A28,'Employee Dataset'!A6:A28,'Employee Dataset'!G6:G28)</f>
        <v>Excellent</v>
      </c>
      <c r="F6" s="61" t="str" cm="1">
        <f t="array" ref="F6:F28">_xlfn.XLOOKUP('Employee Dataset'!A6:A28,'Employee Dataset'!A6:A28,'Employee Dataset'!H6:H28)</f>
        <v>East</v>
      </c>
      <c r="G6" s="62" t="str" cm="1">
        <f t="array" ref="G6:G28">_xlfn.XLOOKUP('Employee Dataset'!A6:A28,'Employee Dataset'!A6:A28,'Employee Dataset'!L6:L28)</f>
        <v>Yes</v>
      </c>
    </row>
    <row r="7" ht="16.5" customHeight="1" spans="1:7">
      <c r="A7" s="56" t="s">
        <v>31</v>
      </c>
      <c r="B7" s="61" t="str">
        <v>David Brown</v>
      </c>
      <c r="C7" s="63" t="str">
        <v>IT</v>
      </c>
      <c r="D7" s="64">
        <v>71000</v>
      </c>
      <c r="E7" s="63" t="str">
        <v>Average</v>
      </c>
      <c r="F7" s="63" t="str">
        <v>West</v>
      </c>
      <c r="G7" s="64" t="str">
        <v>Yes</v>
      </c>
    </row>
    <row r="8" ht="16.5" customHeight="1" spans="1:7">
      <c r="A8" s="52" t="s">
        <v>35</v>
      </c>
      <c r="B8" s="61" t="str">
        <v>Eva Green</v>
      </c>
      <c r="C8" s="61" t="str">
        <v>Marketing</v>
      </c>
      <c r="D8" s="62">
        <v>55000</v>
      </c>
      <c r="E8" s="61" t="str">
        <v>Good</v>
      </c>
      <c r="F8" s="61" t="str">
        <v>North</v>
      </c>
      <c r="G8" s="62" t="str">
        <v>Yes</v>
      </c>
    </row>
    <row r="9" ht="16.5" customHeight="1" spans="1:7">
      <c r="A9" s="56" t="s">
        <v>38</v>
      </c>
      <c r="B9" s="61" t="str">
        <v>Frank Lee</v>
      </c>
      <c r="C9" s="63" t="str">
        <v>HR</v>
      </c>
      <c r="D9" s="64">
        <v>68000</v>
      </c>
      <c r="E9" s="63" t="str">
        <v>Average</v>
      </c>
      <c r="F9" s="63" t="str">
        <v>South</v>
      </c>
      <c r="G9" s="64" t="str">
        <v>No</v>
      </c>
    </row>
    <row r="10" ht="16.5" customHeight="1" spans="1:7">
      <c r="A10" s="52" t="s">
        <v>41</v>
      </c>
      <c r="B10" s="61" t="str">
        <v>Grace Kim</v>
      </c>
      <c r="C10" s="61" t="str">
        <v>Finance</v>
      </c>
      <c r="D10" s="62">
        <v>95000</v>
      </c>
      <c r="E10" s="61" t="str">
        <v>Excellent</v>
      </c>
      <c r="F10" s="61" t="str">
        <v>East</v>
      </c>
      <c r="G10" s="62" t="str">
        <v>Yes</v>
      </c>
    </row>
    <row r="11" ht="16.5" customHeight="1" spans="1:7">
      <c r="A11" s="56" t="s">
        <v>43</v>
      </c>
      <c r="B11" s="61" t="str">
        <v>Henry Davis</v>
      </c>
      <c r="C11" s="63" t="str">
        <v>IT</v>
      </c>
      <c r="D11" s="64">
        <v>58000</v>
      </c>
      <c r="E11" s="63" t="str">
        <v>Good</v>
      </c>
      <c r="F11" s="63" t="str">
        <v>West</v>
      </c>
      <c r="G11" s="64" t="str">
        <v>Yes</v>
      </c>
    </row>
    <row r="12" ht="16.5" customHeight="1" spans="1:7">
      <c r="A12" s="52" t="s">
        <v>45</v>
      </c>
      <c r="B12" s="61" t="str">
        <v>Isla Martin</v>
      </c>
      <c r="C12" s="61" t="str">
        <v>Marketing</v>
      </c>
      <c r="D12" s="62">
        <v>72000</v>
      </c>
      <c r="E12" s="61" t="str">
        <v>Excellent</v>
      </c>
      <c r="F12" s="61" t="str">
        <v>North</v>
      </c>
      <c r="G12" s="62" t="str">
        <v>Yes</v>
      </c>
    </row>
    <row r="13" ht="16.5" customHeight="1" spans="1:7">
      <c r="A13" s="56" t="s">
        <v>47</v>
      </c>
      <c r="B13" s="61" t="str">
        <v>Jack Wilson</v>
      </c>
      <c r="C13" s="63" t="str">
        <v>Finance</v>
      </c>
      <c r="D13" s="64">
        <v>80000</v>
      </c>
      <c r="E13" s="63" t="str">
        <v>Average</v>
      </c>
      <c r="F13" s="63" t="str">
        <v>South</v>
      </c>
      <c r="G13" s="64" t="str">
        <v>Yes</v>
      </c>
    </row>
    <row r="14" ht="16.5" customHeight="1" spans="1:7">
      <c r="A14" s="52" t="s">
        <v>49</v>
      </c>
      <c r="B14" s="61" t="str">
        <v>Karen Taylor</v>
      </c>
      <c r="C14" s="61" t="str">
        <v>IT</v>
      </c>
      <c r="D14" s="62">
        <v>82000</v>
      </c>
      <c r="E14" s="61" t="str">
        <v>Good</v>
      </c>
      <c r="F14" s="61" t="str">
        <v>East</v>
      </c>
      <c r="G14" s="62" t="str">
        <v>No</v>
      </c>
    </row>
    <row r="15" ht="16.5" customHeight="1" spans="1:7">
      <c r="A15" s="56" t="s">
        <v>51</v>
      </c>
      <c r="B15" s="61" t="str">
        <v>Liam Moore</v>
      </c>
      <c r="C15" s="63" t="str">
        <v>HR</v>
      </c>
      <c r="D15" s="64">
        <v>63000</v>
      </c>
      <c r="E15" s="63" t="str">
        <v>Average</v>
      </c>
      <c r="F15" s="63" t="str">
        <v>West</v>
      </c>
      <c r="G15" s="64" t="str">
        <v>Yes</v>
      </c>
    </row>
    <row r="16" ht="16.5" customHeight="1" spans="1:7">
      <c r="A16" s="52" t="s">
        <v>53</v>
      </c>
      <c r="B16" s="61" t="str">
        <v>Mia Anderson</v>
      </c>
      <c r="C16" s="61" t="str">
        <v>Marketing</v>
      </c>
      <c r="D16" s="62">
        <v>60000</v>
      </c>
      <c r="E16" s="61" t="str">
        <v>Good</v>
      </c>
      <c r="F16" s="61" t="str">
        <v>North</v>
      </c>
      <c r="G16" s="62" t="str">
        <v>Yes</v>
      </c>
    </row>
    <row r="17" ht="16.5" customHeight="1" spans="1:7">
      <c r="A17" s="56" t="s">
        <v>55</v>
      </c>
      <c r="B17" s="61" t="str">
        <v>Noah Thomas</v>
      </c>
      <c r="C17" s="63" t="str">
        <v>Finance</v>
      </c>
      <c r="D17" s="64">
        <v>105000</v>
      </c>
      <c r="E17" s="63" t="str">
        <v>Excellent</v>
      </c>
      <c r="F17" s="63" t="str">
        <v>South</v>
      </c>
      <c r="G17" s="64" t="str">
        <v>Yes</v>
      </c>
    </row>
    <row r="18" ht="16.5" customHeight="1" spans="1:7">
      <c r="A18" s="52" t="s">
        <v>57</v>
      </c>
      <c r="B18" s="61" t="str">
        <v>Olivia Harris</v>
      </c>
      <c r="C18" s="61" t="str">
        <v>IT</v>
      </c>
      <c r="D18" s="62">
        <v>70000</v>
      </c>
      <c r="E18" s="61" t="str">
        <v>Excellent</v>
      </c>
      <c r="F18" s="61" t="str">
        <v>East</v>
      </c>
      <c r="G18" s="62" t="str">
        <v>Yes</v>
      </c>
    </row>
    <row r="19" ht="16.5" customHeight="1" spans="1:7">
      <c r="A19" s="56" t="s">
        <v>59</v>
      </c>
      <c r="B19" s="61" t="str">
        <v>Peter Clark</v>
      </c>
      <c r="C19" s="63" t="str">
        <v>HR</v>
      </c>
      <c r="D19" s="64">
        <v>67000</v>
      </c>
      <c r="E19" s="63" t="str">
        <v>Good</v>
      </c>
      <c r="F19" s="63" t="str">
        <v>West</v>
      </c>
      <c r="G19" s="64" t="str">
        <v>No</v>
      </c>
    </row>
    <row r="20" ht="16.5" customHeight="1" spans="1:7">
      <c r="A20" s="52" t="s">
        <v>61</v>
      </c>
      <c r="B20" s="61" t="str">
        <v>Quinn Lewis</v>
      </c>
      <c r="C20" s="61" t="str">
        <v>Marketing</v>
      </c>
      <c r="D20" s="62">
        <v>58000</v>
      </c>
      <c r="E20" s="61" t="str">
        <v>Average</v>
      </c>
      <c r="F20" s="61" t="str">
        <v>North</v>
      </c>
      <c r="G20" s="62" t="str">
        <v>Yes</v>
      </c>
    </row>
    <row r="21" ht="16.5" customHeight="1" spans="1:7">
      <c r="A21" s="56" t="s">
        <v>63</v>
      </c>
      <c r="B21" s="61" t="str">
        <v>Ryan Walker</v>
      </c>
      <c r="C21" s="63" t="str">
        <v>IT</v>
      </c>
      <c r="D21" s="64">
        <v>88000</v>
      </c>
      <c r="E21" s="63" t="str">
        <v>Excellent</v>
      </c>
      <c r="F21" s="63" t="str">
        <v>South</v>
      </c>
      <c r="G21" s="64" t="str">
        <v>Yes</v>
      </c>
    </row>
    <row r="22" ht="16.5" customHeight="1" spans="1:7">
      <c r="A22" s="52" t="s">
        <v>65</v>
      </c>
      <c r="B22" s="61" t="str">
        <v>Sara Hall</v>
      </c>
      <c r="C22" s="61" t="str">
        <v>Finance</v>
      </c>
      <c r="D22" s="62">
        <v>76000</v>
      </c>
      <c r="E22" s="61" t="str">
        <v>Good</v>
      </c>
      <c r="F22" s="61" t="str">
        <v>East</v>
      </c>
      <c r="G22" s="62" t="str">
        <v>Yes</v>
      </c>
    </row>
    <row r="23" ht="16.5" customHeight="1" spans="1:7">
      <c r="A23" s="56" t="s">
        <v>67</v>
      </c>
      <c r="B23" s="61" t="str">
        <v>Tom Young</v>
      </c>
      <c r="C23" s="63" t="str">
        <v>Marketing</v>
      </c>
      <c r="D23" s="64">
        <v>65000</v>
      </c>
      <c r="E23" s="63" t="str">
        <v>Average</v>
      </c>
      <c r="F23" s="63" t="str">
        <v>West</v>
      </c>
      <c r="G23" s="64" t="str">
        <v>Yes</v>
      </c>
    </row>
    <row r="24" ht="16.5" customHeight="1" spans="1:7">
      <c r="A24" s="52" t="s">
        <v>69</v>
      </c>
      <c r="B24" s="61" t="str">
        <v>Uma Scott</v>
      </c>
      <c r="C24" s="61" t="str">
        <v>HR</v>
      </c>
      <c r="D24" s="62">
        <v>64000</v>
      </c>
      <c r="E24" s="61" t="str">
        <v>Excellent</v>
      </c>
      <c r="F24" s="61" t="str">
        <v>North</v>
      </c>
      <c r="G24" s="62" t="str">
        <v>Yes</v>
      </c>
    </row>
    <row r="25" ht="16.5" customHeight="1" spans="1:7">
      <c r="A25" s="56" t="s">
        <v>71</v>
      </c>
      <c r="B25" s="61" t="str">
        <v>Victor King</v>
      </c>
      <c r="C25" s="63" t="str">
        <v>IT</v>
      </c>
      <c r="D25" s="64">
        <v>79000</v>
      </c>
      <c r="E25" s="63" t="str">
        <v>Good</v>
      </c>
      <c r="F25" s="63" t="str">
        <v>South</v>
      </c>
      <c r="G25" s="64" t="str">
        <v>Yes</v>
      </c>
    </row>
    <row r="26" ht="16.5" customHeight="1" spans="1:7">
      <c r="A26" s="52" t="s">
        <v>73</v>
      </c>
      <c r="B26" s="61" t="str">
        <v>Wendy Wright</v>
      </c>
      <c r="C26" s="61" t="str">
        <v>Finance</v>
      </c>
      <c r="D26" s="62">
        <v>87000</v>
      </c>
      <c r="E26" s="61" t="str">
        <v>Excellent</v>
      </c>
      <c r="F26" s="61" t="str">
        <v>East</v>
      </c>
      <c r="G26" s="62" t="str">
        <v>Yes</v>
      </c>
    </row>
    <row r="27" ht="16.5" customHeight="1" spans="1:7">
      <c r="A27" s="56" t="s">
        <v>75</v>
      </c>
      <c r="B27" s="61" t="str">
        <v>Xander Lopez</v>
      </c>
      <c r="C27" s="63" t="str">
        <v>Marketing</v>
      </c>
      <c r="D27" s="64">
        <v>61000</v>
      </c>
      <c r="E27" s="63" t="str">
        <v>Average</v>
      </c>
      <c r="F27" s="63" t="str">
        <v>West</v>
      </c>
      <c r="G27" s="64" t="str">
        <v>No</v>
      </c>
    </row>
    <row r="28" ht="16.5" customHeight="1" spans="1:7">
      <c r="A28" s="52" t="s">
        <v>77</v>
      </c>
      <c r="B28" s="61" t="str">
        <v>Yara Hill</v>
      </c>
      <c r="C28" s="61" t="str">
        <v>IT</v>
      </c>
      <c r="D28" s="62">
        <v>73000</v>
      </c>
      <c r="E28" s="61" t="str">
        <v>Good</v>
      </c>
      <c r="F28" s="61" t="str">
        <v>North</v>
      </c>
      <c r="G28" s="62" t="str">
        <v>Yes</v>
      </c>
    </row>
    <row r="29" ht="15.25"/>
    <row r="30" ht="25.5" customHeight="1" spans="1:7">
      <c r="A30" s="65" t="s">
        <v>177</v>
      </c>
      <c r="B30" s="65"/>
      <c r="C30" s="65"/>
      <c r="D30" s="65"/>
      <c r="E30" s="65"/>
      <c r="F30" s="65"/>
      <c r="G30" s="65"/>
    </row>
    <row r="31" ht="23.25" customHeight="1" spans="1:7">
      <c r="A31" s="60" t="s">
        <v>178</v>
      </c>
      <c r="B31" s="60" t="s">
        <v>179</v>
      </c>
      <c r="C31" s="66" t="s">
        <v>180</v>
      </c>
      <c r="D31" s="66"/>
      <c r="E31" s="66"/>
      <c r="F31" s="66"/>
      <c r="G31" s="66"/>
    </row>
    <row r="32" ht="25.5" customHeight="1" spans="1:7">
      <c r="A32" s="67" t="s">
        <v>181</v>
      </c>
      <c r="B32" s="68" t="s">
        <v>182</v>
      </c>
      <c r="C32" s="69" t="s">
        <v>183</v>
      </c>
      <c r="D32" s="69"/>
      <c r="E32" s="69"/>
      <c r="F32" s="69"/>
      <c r="G32" s="69"/>
    </row>
    <row r="33" ht="25.5" customHeight="1" spans="1:7">
      <c r="A33" s="70" t="s">
        <v>184</v>
      </c>
      <c r="B33" s="71" t="s">
        <v>185</v>
      </c>
      <c r="C33" s="69" t="s">
        <v>186</v>
      </c>
      <c r="D33" s="69"/>
      <c r="E33" s="69"/>
      <c r="F33" s="69"/>
      <c r="G33" s="69"/>
    </row>
    <row r="34" ht="25.5" customHeight="1" spans="1:7">
      <c r="A34" s="67" t="s">
        <v>187</v>
      </c>
      <c r="B34" s="68" t="s">
        <v>188</v>
      </c>
      <c r="C34" s="69" t="s">
        <v>189</v>
      </c>
      <c r="D34" s="69"/>
      <c r="E34" s="69"/>
      <c r="F34" s="69"/>
      <c r="G34" s="69"/>
    </row>
  </sheetData>
  <mergeCells count="7">
    <mergeCell ref="A1:G1"/>
    <mergeCell ref="A2:G2"/>
    <mergeCell ref="A30:G30"/>
    <mergeCell ref="C31:G31"/>
    <mergeCell ref="C32:G32"/>
    <mergeCell ref="C33:G33"/>
    <mergeCell ref="C34:G34"/>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4212"/>
  </sheetPr>
  <dimension ref="A1:E38"/>
  <sheetViews>
    <sheetView showGridLines="0" workbookViewId="0">
      <pane ySplit="3" topLeftCell="A4" activePane="bottomLeft" state="frozen"/>
      <selection/>
      <selection pane="bottomLeft" activeCell="D21" sqref="D21"/>
    </sheetView>
  </sheetViews>
  <sheetFormatPr defaultColWidth="8.66363636363636" defaultRowHeight="14.5" outlineLevelCol="4"/>
  <cols>
    <col min="1" max="1" width="9" customWidth="1"/>
    <col min="2" max="3" width="14" customWidth="1"/>
    <col min="4" max="4" width="18" customWidth="1"/>
    <col min="5" max="5" width="27" customWidth="1"/>
  </cols>
  <sheetData>
    <row r="1" ht="37.5" customHeight="1" spans="1:5">
      <c r="A1" s="1" t="s">
        <v>190</v>
      </c>
      <c r="B1" s="1"/>
      <c r="C1" s="1"/>
      <c r="D1" s="1"/>
      <c r="E1" s="1"/>
    </row>
    <row r="2" ht="36" customHeight="1" spans="1:5">
      <c r="A2" s="2" t="s">
        <v>191</v>
      </c>
      <c r="B2" s="2"/>
      <c r="C2" s="2"/>
      <c r="D2" s="2"/>
      <c r="E2" s="2"/>
    </row>
    <row r="3" ht="25.5" customHeight="1" spans="1:5">
      <c r="A3" s="48" t="s">
        <v>192</v>
      </c>
      <c r="B3" s="48"/>
      <c r="C3" s="48"/>
      <c r="D3" s="48"/>
      <c r="E3" s="48"/>
    </row>
    <row r="4" ht="23.25" customHeight="1" spans="1:5">
      <c r="A4" s="49" t="s">
        <v>193</v>
      </c>
      <c r="B4" s="49" t="s">
        <v>194</v>
      </c>
      <c r="C4" s="49" t="s">
        <v>195</v>
      </c>
      <c r="D4" s="49" t="s">
        <v>195</v>
      </c>
      <c r="E4" s="49" t="s">
        <v>195</v>
      </c>
    </row>
    <row r="5" ht="16.5" customHeight="1" spans="1:5">
      <c r="A5" s="50">
        <v>50000</v>
      </c>
      <c r="B5" s="51" t="s">
        <v>196</v>
      </c>
    </row>
    <row r="6" ht="16.5" customHeight="1" spans="1:5">
      <c r="A6" s="50">
        <v>60000</v>
      </c>
      <c r="B6" s="51" t="s">
        <v>197</v>
      </c>
    </row>
    <row r="7" ht="16.5" customHeight="1" spans="1:5">
      <c r="A7" s="50">
        <v>70000</v>
      </c>
      <c r="B7" s="51" t="s">
        <v>198</v>
      </c>
    </row>
    <row r="8" ht="16.5" customHeight="1" spans="1:5">
      <c r="A8" s="50">
        <v>80000</v>
      </c>
      <c r="B8" s="51" t="s">
        <v>199</v>
      </c>
    </row>
    <row r="9" ht="16.5" customHeight="1" spans="1:5">
      <c r="A9" s="50">
        <v>90000</v>
      </c>
      <c r="B9" s="51" t="s">
        <v>200</v>
      </c>
    </row>
    <row r="10" ht="16.5" customHeight="1" spans="1:5">
      <c r="A10" s="50">
        <v>100000</v>
      </c>
      <c r="B10" s="51" t="s">
        <v>201</v>
      </c>
    </row>
    <row r="11" ht="15.25"/>
    <row r="12" ht="25.5" customHeight="1" spans="1:5">
      <c r="A12" s="48" t="s">
        <v>202</v>
      </c>
      <c r="B12" s="48"/>
      <c r="C12" s="48"/>
      <c r="D12" s="48"/>
      <c r="E12" s="48"/>
    </row>
    <row r="13" ht="21.75" customHeight="1" spans="1:5">
      <c r="A13" s="49" t="s">
        <v>2</v>
      </c>
      <c r="B13" s="49" t="s">
        <v>3</v>
      </c>
      <c r="C13" s="49" t="s">
        <v>6</v>
      </c>
      <c r="D13" s="49" t="s">
        <v>203</v>
      </c>
      <c r="E13" s="49" t="s">
        <v>204</v>
      </c>
    </row>
    <row r="14" ht="16.5" customHeight="1" spans="1:5">
      <c r="A14" s="52" t="s">
        <v>14</v>
      </c>
      <c r="B14" s="53" t="str">
        <f>INDEX('Employee Dataset'!$B$4:$B$28,MATCH(A14,'Employee Dataset'!$A$4:$A$28,0))</f>
        <v>Alice Johnson</v>
      </c>
      <c r="C14" s="52">
        <f>INDEX('Employee Dataset'!$E$4:$E$28,MATCH(A14,'Employee Dataset'!$A$4:$A$28,0))</f>
        <v>62000</v>
      </c>
      <c r="D14" s="54" t="s">
        <v>197</v>
      </c>
      <c r="E14" s="55" t="s">
        <v>197</v>
      </c>
    </row>
    <row r="15" ht="16.5" customHeight="1" spans="1:5">
      <c r="A15" s="56" t="s">
        <v>21</v>
      </c>
      <c r="B15" s="51" t="str">
        <f>INDEX('Employee Dataset'!$B$4:$B$28,MATCH(A15,'Employee Dataset'!$A$4:$A$28,0))</f>
        <v>Bob Smith</v>
      </c>
      <c r="C15" s="56">
        <f>INDEX('Employee Dataset'!$E$4:$E$28,MATCH(A15,'Employee Dataset'!$A$4:$A$28,0))</f>
        <v>75000</v>
      </c>
      <c r="D15" s="57" t="s">
        <v>198</v>
      </c>
      <c r="E15" s="58" t="s">
        <v>198</v>
      </c>
    </row>
    <row r="16" ht="16.5" customHeight="1" spans="1:5">
      <c r="A16" s="52" t="s">
        <v>27</v>
      </c>
      <c r="B16" s="53" t="str">
        <f>INDEX('Employee Dataset'!$B$4:$B$28,MATCH(A16,'Employee Dataset'!$A$4:$A$28,0))</f>
        <v>Carol White</v>
      </c>
      <c r="C16" s="52">
        <f>INDEX('Employee Dataset'!$E$4:$E$28,MATCH(A16,'Employee Dataset'!$A$4:$A$28,0))</f>
        <v>90000</v>
      </c>
      <c r="D16" s="54" t="str" cm="1">
        <f t="array" ref="D16:D38">LOOKUP(C16:C38,A5:A10,B5:B10)</f>
        <v>Principal</v>
      </c>
      <c r="E16" s="55" t="str" cm="1">
        <f t="array" ref="E16:E38">IFERROR(LOOKUP(C16:C38,A5:A10,B5:B10),"NA")</f>
        <v>Principal</v>
      </c>
    </row>
    <row r="17" ht="16.5" customHeight="1" spans="1:5">
      <c r="A17" s="56" t="s">
        <v>31</v>
      </c>
      <c r="B17" s="51" t="str">
        <f>INDEX('Employee Dataset'!$B$4:$B$28,MATCH(A17,'Employee Dataset'!$A$4:$A$28,0))</f>
        <v>David Brown</v>
      </c>
      <c r="C17" s="56">
        <f>INDEX('Employee Dataset'!$E$4:$E$28,MATCH(A17,'Employee Dataset'!$A$4:$A$28,0))</f>
        <v>71000</v>
      </c>
      <c r="D17" s="54" t="str">
        <v>Mid Level</v>
      </c>
      <c r="E17" s="58" t="str">
        <v>Mid Level</v>
      </c>
    </row>
    <row r="18" ht="16.5" customHeight="1" spans="1:5">
      <c r="A18" s="52" t="s">
        <v>35</v>
      </c>
      <c r="B18" s="53" t="str">
        <f>INDEX('Employee Dataset'!$B$4:$B$28,MATCH(A18,'Employee Dataset'!$A$4:$A$28,0))</f>
        <v>Eva Green</v>
      </c>
      <c r="C18" s="52">
        <f>INDEX('Employee Dataset'!$E$4:$E$28,MATCH(A18,'Employee Dataset'!$A$4:$A$28,0))</f>
        <v>55000</v>
      </c>
      <c r="D18" s="54" t="str">
        <v>Entry Level</v>
      </c>
      <c r="E18" s="55" t="str">
        <v>Entry Level</v>
      </c>
    </row>
    <row r="19" ht="16.5" customHeight="1" spans="1:5">
      <c r="A19" s="56" t="s">
        <v>38</v>
      </c>
      <c r="B19" s="51" t="str">
        <f>INDEX('Employee Dataset'!$B$4:$B$28,MATCH(A19,'Employee Dataset'!$A$4:$A$28,0))</f>
        <v>Frank Lee</v>
      </c>
      <c r="C19" s="56">
        <f>INDEX('Employee Dataset'!$E$4:$E$28,MATCH(A19,'Employee Dataset'!$A$4:$A$28,0))</f>
        <v>68000</v>
      </c>
      <c r="D19" s="54" t="str">
        <v>Junior</v>
      </c>
      <c r="E19" s="58" t="str">
        <v>Junior</v>
      </c>
    </row>
    <row r="20" ht="16.5" customHeight="1" spans="1:5">
      <c r="A20" s="52" t="s">
        <v>41</v>
      </c>
      <c r="B20" s="53" t="str">
        <f>INDEX('Employee Dataset'!$B$4:$B$28,MATCH(A20,'Employee Dataset'!$A$4:$A$28,0))</f>
        <v>Grace Kim</v>
      </c>
      <c r="C20" s="52">
        <f>INDEX('Employee Dataset'!$E$4:$E$28,MATCH(A20,'Employee Dataset'!$A$4:$A$28,0))</f>
        <v>95000</v>
      </c>
      <c r="D20" s="54" t="str">
        <v>Principal</v>
      </c>
      <c r="E20" s="55" t="str">
        <v>Principal</v>
      </c>
    </row>
    <row r="21" ht="16.5" customHeight="1" spans="1:5">
      <c r="A21" s="56" t="s">
        <v>43</v>
      </c>
      <c r="B21" s="51" t="str">
        <f>INDEX('Employee Dataset'!$B$4:$B$28,MATCH(A21,'Employee Dataset'!$A$4:$A$28,0))</f>
        <v>Henry Davis</v>
      </c>
      <c r="C21" s="56">
        <f>INDEX('Employee Dataset'!$E$4:$E$28,MATCH(A21,'Employee Dataset'!$A$4:$A$28,0))</f>
        <v>58000</v>
      </c>
      <c r="D21" s="54" t="str">
        <v>Entry Level</v>
      </c>
      <c r="E21" s="58" t="str">
        <v>Entry Level</v>
      </c>
    </row>
    <row r="22" ht="16.5" customHeight="1" spans="1:5">
      <c r="A22" s="52" t="s">
        <v>45</v>
      </c>
      <c r="B22" s="53" t="str">
        <f>INDEX('Employee Dataset'!$B$4:$B$28,MATCH(A22,'Employee Dataset'!$A$4:$A$28,0))</f>
        <v>Isla Martin</v>
      </c>
      <c r="C22" s="52">
        <f>INDEX('Employee Dataset'!$E$4:$E$28,MATCH(A22,'Employee Dataset'!$A$4:$A$28,0))</f>
        <v>72000</v>
      </c>
      <c r="D22" s="54" t="str">
        <v>Mid Level</v>
      </c>
      <c r="E22" s="55" t="str">
        <v>Mid Level</v>
      </c>
    </row>
    <row r="23" ht="16.5" customHeight="1" spans="1:5">
      <c r="A23" s="56" t="s">
        <v>47</v>
      </c>
      <c r="B23" s="51" t="str">
        <f>INDEX('Employee Dataset'!$B$4:$B$28,MATCH(A23,'Employee Dataset'!$A$4:$A$28,0))</f>
        <v>Jack Wilson</v>
      </c>
      <c r="C23" s="56">
        <f>INDEX('Employee Dataset'!$E$4:$E$28,MATCH(A23,'Employee Dataset'!$A$4:$A$28,0))</f>
        <v>80000</v>
      </c>
      <c r="D23" s="54" t="str">
        <v>Senior</v>
      </c>
      <c r="E23" s="58" t="str">
        <v>Senior</v>
      </c>
    </row>
    <row r="24" ht="16.5" customHeight="1" spans="1:5">
      <c r="A24" s="52" t="s">
        <v>49</v>
      </c>
      <c r="B24" s="53" t="str">
        <f>INDEX('Employee Dataset'!$B$4:$B$28,MATCH(A24,'Employee Dataset'!$A$4:$A$28,0))</f>
        <v>Karen Taylor</v>
      </c>
      <c r="C24" s="52">
        <f>INDEX('Employee Dataset'!$E$4:$E$28,MATCH(A24,'Employee Dataset'!$A$4:$A$28,0))</f>
        <v>82000</v>
      </c>
      <c r="D24" s="54" t="str">
        <v>Senior</v>
      </c>
      <c r="E24" s="55" t="str">
        <v>Senior</v>
      </c>
    </row>
    <row r="25" ht="16.5" customHeight="1" spans="1:5">
      <c r="A25" s="56" t="s">
        <v>51</v>
      </c>
      <c r="B25" s="51" t="str">
        <f>INDEX('Employee Dataset'!$B$4:$B$28,MATCH(A25,'Employee Dataset'!$A$4:$A$28,0))</f>
        <v>Liam Moore</v>
      </c>
      <c r="C25" s="56">
        <f>INDEX('Employee Dataset'!$E$4:$E$28,MATCH(A25,'Employee Dataset'!$A$4:$A$28,0))</f>
        <v>63000</v>
      </c>
      <c r="D25" s="54" t="str">
        <v>Junior</v>
      </c>
      <c r="E25" s="58" t="str">
        <v>Junior</v>
      </c>
    </row>
    <row r="26" ht="16.5" customHeight="1" spans="1:5">
      <c r="A26" s="52" t="s">
        <v>53</v>
      </c>
      <c r="B26" s="53" t="str">
        <f>INDEX('Employee Dataset'!$B$4:$B$28,MATCH(A26,'Employee Dataset'!$A$4:$A$28,0))</f>
        <v>Mia Anderson</v>
      </c>
      <c r="C26" s="52">
        <f>INDEX('Employee Dataset'!$E$4:$E$28,MATCH(A26,'Employee Dataset'!$A$4:$A$28,0))</f>
        <v>60000</v>
      </c>
      <c r="D26" s="54" t="str">
        <v>Junior</v>
      </c>
      <c r="E26" s="55" t="str">
        <v>Junior</v>
      </c>
    </row>
    <row r="27" ht="16.5" customHeight="1" spans="1:5">
      <c r="A27" s="56" t="s">
        <v>55</v>
      </c>
      <c r="B27" s="51" t="str">
        <f>INDEX('Employee Dataset'!$B$4:$B$28,MATCH(A27,'Employee Dataset'!$A$4:$A$28,0))</f>
        <v>Noah Thomas</v>
      </c>
      <c r="C27" s="56">
        <f>INDEX('Employee Dataset'!$E$4:$E$28,MATCH(A27,'Employee Dataset'!$A$4:$A$28,0))</f>
        <v>105000</v>
      </c>
      <c r="D27" s="54" t="str">
        <v>Executive</v>
      </c>
      <c r="E27" s="58" t="str">
        <v>Executive</v>
      </c>
    </row>
    <row r="28" ht="16.5" customHeight="1" spans="1:5">
      <c r="A28" s="52" t="s">
        <v>57</v>
      </c>
      <c r="B28" s="53" t="str">
        <f>INDEX('Employee Dataset'!$B$4:$B$28,MATCH(A28,'Employee Dataset'!$A$4:$A$28,0))</f>
        <v>Olivia Harris</v>
      </c>
      <c r="C28" s="52">
        <f>INDEX('Employee Dataset'!$E$4:$E$28,MATCH(A28,'Employee Dataset'!$A$4:$A$28,0))</f>
        <v>70000</v>
      </c>
      <c r="D28" s="54" t="str">
        <v>Mid Level</v>
      </c>
      <c r="E28" s="55" t="str">
        <v>Mid Level</v>
      </c>
    </row>
    <row r="29" ht="16.5" customHeight="1" spans="1:5">
      <c r="A29" s="56" t="s">
        <v>59</v>
      </c>
      <c r="B29" s="51" t="str">
        <f>INDEX('Employee Dataset'!$B$4:$B$28,MATCH(A29,'Employee Dataset'!$A$4:$A$28,0))</f>
        <v>Peter Clark</v>
      </c>
      <c r="C29" s="56">
        <f>INDEX('Employee Dataset'!$E$4:$E$28,MATCH(A29,'Employee Dataset'!$A$4:$A$28,0))</f>
        <v>67000</v>
      </c>
      <c r="D29" s="54" t="str">
        <v>Junior</v>
      </c>
      <c r="E29" s="58" t="str">
        <v>Junior</v>
      </c>
    </row>
    <row r="30" ht="16.5" customHeight="1" spans="1:5">
      <c r="A30" s="52" t="s">
        <v>61</v>
      </c>
      <c r="B30" s="53" t="str">
        <f>INDEX('Employee Dataset'!$B$4:$B$28,MATCH(A30,'Employee Dataset'!$A$4:$A$28,0))</f>
        <v>Quinn Lewis</v>
      </c>
      <c r="C30" s="52">
        <f>INDEX('Employee Dataset'!$E$4:$E$28,MATCH(A30,'Employee Dataset'!$A$4:$A$28,0))</f>
        <v>58000</v>
      </c>
      <c r="D30" s="54" t="str">
        <v>Entry Level</v>
      </c>
      <c r="E30" s="55" t="str">
        <v>Entry Level</v>
      </c>
    </row>
    <row r="31" ht="16.5" customHeight="1" spans="1:5">
      <c r="A31" s="56" t="s">
        <v>63</v>
      </c>
      <c r="B31" s="51" t="str">
        <f>INDEX('Employee Dataset'!$B$4:$B$28,MATCH(A31,'Employee Dataset'!$A$4:$A$28,0))</f>
        <v>Ryan Walker</v>
      </c>
      <c r="C31" s="56">
        <f>INDEX('Employee Dataset'!$E$4:$E$28,MATCH(A31,'Employee Dataset'!$A$4:$A$28,0))</f>
        <v>88000</v>
      </c>
      <c r="D31" s="54" t="str">
        <v>Senior</v>
      </c>
      <c r="E31" s="58" t="str">
        <v>Senior</v>
      </c>
    </row>
    <row r="32" ht="16.5" customHeight="1" spans="1:5">
      <c r="A32" s="52" t="s">
        <v>65</v>
      </c>
      <c r="B32" s="53" t="str">
        <f>INDEX('Employee Dataset'!$B$4:$B$28,MATCH(A32,'Employee Dataset'!$A$4:$A$28,0))</f>
        <v>Sara Hall</v>
      </c>
      <c r="C32" s="52">
        <f>INDEX('Employee Dataset'!$E$4:$E$28,MATCH(A32,'Employee Dataset'!$A$4:$A$28,0))</f>
        <v>76000</v>
      </c>
      <c r="D32" s="54" t="str">
        <v>Mid Level</v>
      </c>
      <c r="E32" s="55" t="str">
        <v>Mid Level</v>
      </c>
    </row>
    <row r="33" ht="16.5" customHeight="1" spans="1:5">
      <c r="A33" s="56" t="s">
        <v>67</v>
      </c>
      <c r="B33" s="51" t="str">
        <f>INDEX('Employee Dataset'!$B$4:$B$28,MATCH(A33,'Employee Dataset'!$A$4:$A$28,0))</f>
        <v>Tom Young</v>
      </c>
      <c r="C33" s="56">
        <f>INDEX('Employee Dataset'!$E$4:$E$28,MATCH(A33,'Employee Dataset'!$A$4:$A$28,0))</f>
        <v>65000</v>
      </c>
      <c r="D33" s="54" t="str">
        <v>Junior</v>
      </c>
      <c r="E33" s="58" t="str">
        <v>Junior</v>
      </c>
    </row>
    <row r="34" ht="16.5" customHeight="1" spans="1:5">
      <c r="A34" s="52" t="s">
        <v>69</v>
      </c>
      <c r="B34" s="53" t="str">
        <f>INDEX('Employee Dataset'!$B$4:$B$28,MATCH(A34,'Employee Dataset'!$A$4:$A$28,0))</f>
        <v>Uma Scott</v>
      </c>
      <c r="C34" s="52">
        <f>INDEX('Employee Dataset'!$E$4:$E$28,MATCH(A34,'Employee Dataset'!$A$4:$A$28,0))</f>
        <v>64000</v>
      </c>
      <c r="D34" s="54" t="str">
        <v>Junior</v>
      </c>
      <c r="E34" s="55" t="str">
        <v>Junior</v>
      </c>
    </row>
    <row r="35" ht="16.5" customHeight="1" spans="1:5">
      <c r="A35" s="56" t="s">
        <v>71</v>
      </c>
      <c r="B35" s="51" t="str">
        <f>INDEX('Employee Dataset'!$B$4:$B$28,MATCH(A35,'Employee Dataset'!$A$4:$A$28,0))</f>
        <v>Victor King</v>
      </c>
      <c r="C35" s="56">
        <f>INDEX('Employee Dataset'!$E$4:$E$28,MATCH(A35,'Employee Dataset'!$A$4:$A$28,0))</f>
        <v>79000</v>
      </c>
      <c r="D35" s="54" t="str">
        <v>Mid Level</v>
      </c>
      <c r="E35" s="58" t="str">
        <v>Mid Level</v>
      </c>
    </row>
    <row r="36" ht="16.5" customHeight="1" spans="1:5">
      <c r="A36" s="52" t="s">
        <v>73</v>
      </c>
      <c r="B36" s="53" t="str">
        <f>INDEX('Employee Dataset'!$B$4:$B$28,MATCH(A36,'Employee Dataset'!$A$4:$A$28,0))</f>
        <v>Wendy Wright</v>
      </c>
      <c r="C36" s="52">
        <f>INDEX('Employee Dataset'!$E$4:$E$28,MATCH(A36,'Employee Dataset'!$A$4:$A$28,0))</f>
        <v>87000</v>
      </c>
      <c r="D36" s="54" t="str">
        <v>Senior</v>
      </c>
      <c r="E36" s="55" t="str">
        <v>Senior</v>
      </c>
    </row>
    <row r="37" ht="16.5" customHeight="1" spans="1:5">
      <c r="A37" s="56" t="s">
        <v>75</v>
      </c>
      <c r="B37" s="51" t="str">
        <f>INDEX('Employee Dataset'!$B$4:$B$28,MATCH(A37,'Employee Dataset'!$A$4:$A$28,0))</f>
        <v>Xander Lopez</v>
      </c>
      <c r="C37" s="56">
        <f>INDEX('Employee Dataset'!$E$4:$E$28,MATCH(A37,'Employee Dataset'!$A$4:$A$28,0))</f>
        <v>61000</v>
      </c>
      <c r="D37" s="54" t="str">
        <v>Junior</v>
      </c>
      <c r="E37" s="58" t="str">
        <v>Junior</v>
      </c>
    </row>
    <row r="38" ht="16.5" customHeight="1" spans="1:5">
      <c r="A38" s="52" t="s">
        <v>77</v>
      </c>
      <c r="B38" s="53" t="str">
        <f>INDEX('Employee Dataset'!$B$4:$B$28,MATCH(A38,'Employee Dataset'!$A$4:$A$28,0))</f>
        <v>Yara Hill</v>
      </c>
      <c r="C38" s="52">
        <f>INDEX('Employee Dataset'!$E$4:$E$28,MATCH(A38,'Employee Dataset'!$A$4:$A$28,0))</f>
        <v>73000</v>
      </c>
      <c r="D38" s="54" t="str">
        <v>Mid Level</v>
      </c>
      <c r="E38" s="55" t="str">
        <v>Mid Level</v>
      </c>
    </row>
  </sheetData>
  <mergeCells count="4">
    <mergeCell ref="A1:E1"/>
    <mergeCell ref="A2:E2"/>
    <mergeCell ref="A3:E3"/>
    <mergeCell ref="A12:E12"/>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H25"/>
  <sheetViews>
    <sheetView showGridLines="0" tabSelected="1" topLeftCell="A21" workbookViewId="0">
      <selection activeCell="C24" sqref="C24"/>
    </sheetView>
  </sheetViews>
  <sheetFormatPr defaultColWidth="8.66363636363636" defaultRowHeight="14.5" outlineLevelCol="7"/>
  <cols>
    <col min="1" max="1" width="5" customWidth="1"/>
    <col min="2" max="2" width="45" customWidth="1"/>
    <col min="3" max="3" width="35" customWidth="1"/>
    <col min="4" max="4" width="18" customWidth="1"/>
  </cols>
  <sheetData>
    <row r="1" ht="37.5" customHeight="1" spans="1:8">
      <c r="A1" s="1" t="s">
        <v>205</v>
      </c>
      <c r="B1" s="1"/>
      <c r="C1" s="1"/>
      <c r="D1" s="1"/>
    </row>
    <row r="2" ht="36" customHeight="1" spans="1:8">
      <c r="A2" s="2" t="s">
        <v>206</v>
      </c>
      <c r="B2" s="2"/>
      <c r="C2" s="2"/>
      <c r="D2" s="2"/>
    </row>
    <row r="3" ht="15.25"/>
    <row r="4" ht="25.5" customHeight="1" spans="1:8">
      <c r="A4" s="36" t="s">
        <v>207</v>
      </c>
      <c r="B4" s="36"/>
      <c r="C4" s="36"/>
      <c r="D4" s="36"/>
    </row>
    <row r="5" ht="43.5" customHeight="1" spans="1:8">
      <c r="A5" s="37" t="s">
        <v>208</v>
      </c>
      <c r="B5" s="38" t="s">
        <v>209</v>
      </c>
      <c r="C5" s="108" t="s">
        <v>210</v>
      </c>
      <c r="D5" s="40" t="s">
        <v>211</v>
      </c>
    </row>
    <row r="6" ht="43.5" customHeight="1" spans="1:8">
      <c r="A6" s="37" t="s">
        <v>212</v>
      </c>
      <c r="B6" s="38" t="s">
        <v>213</v>
      </c>
      <c r="C6" s="108" t="s">
        <v>214</v>
      </c>
      <c r="D6" s="40" t="s">
        <v>211</v>
      </c>
    </row>
    <row r="7" ht="43.5" customHeight="1" spans="1:8">
      <c r="A7" s="41" t="s">
        <v>215</v>
      </c>
      <c r="B7" s="38" t="s">
        <v>216</v>
      </c>
      <c r="C7" s="108" t="s">
        <v>217</v>
      </c>
      <c r="D7" s="42" t="s">
        <v>218</v>
      </c>
    </row>
    <row r="8" ht="25.5" customHeight="1" spans="1:8">
      <c r="A8" s="36" t="s">
        <v>219</v>
      </c>
      <c r="B8" s="36"/>
      <c r="C8" s="36"/>
      <c r="D8" s="36"/>
    </row>
    <row r="9" ht="43.5" customHeight="1" spans="1:8">
      <c r="A9" s="41" t="s">
        <v>220</v>
      </c>
      <c r="B9" s="38" t="s">
        <v>221</v>
      </c>
      <c r="C9" s="108" t="s">
        <v>222</v>
      </c>
      <c r="D9" s="43" t="s">
        <v>218</v>
      </c>
      <c r="E9" s="44" t="s">
        <v>16</v>
      </c>
      <c r="F9" s="44" t="s">
        <v>23</v>
      </c>
      <c r="G9" s="44" t="s">
        <v>29</v>
      </c>
      <c r="H9" s="44" t="s">
        <v>37</v>
      </c>
    </row>
    <row r="10" ht="25.5" customHeight="1" spans="1:8">
      <c r="A10" s="36" t="s">
        <v>223</v>
      </c>
      <c r="B10" s="36"/>
      <c r="C10" s="36"/>
      <c r="D10" s="45"/>
      <c r="E10" s="44">
        <v>2</v>
      </c>
      <c r="F10" s="44">
        <v>3</v>
      </c>
      <c r="G10" s="44">
        <v>4</v>
      </c>
      <c r="H10" s="44">
        <v>5</v>
      </c>
    </row>
    <row r="11" ht="43.5" customHeight="1" spans="1:8">
      <c r="A11" s="37" t="s">
        <v>224</v>
      </c>
      <c r="B11" s="38" t="s">
        <v>225</v>
      </c>
      <c r="C11" s="108" t="s">
        <v>226</v>
      </c>
      <c r="D11" s="40" t="s">
        <v>211</v>
      </c>
    </row>
    <row r="12" ht="43.5" customHeight="1" spans="1:8">
      <c r="A12" s="37" t="s">
        <v>227</v>
      </c>
      <c r="B12" s="38" t="s">
        <v>228</v>
      </c>
      <c r="C12" s="108" t="s">
        <v>229</v>
      </c>
      <c r="D12" s="40" t="s">
        <v>211</v>
      </c>
    </row>
    <row r="13" ht="25.5" customHeight="1" spans="1:8">
      <c r="A13" s="36" t="s">
        <v>230</v>
      </c>
      <c r="B13" s="36"/>
      <c r="C13" s="36"/>
      <c r="D13" s="36"/>
    </row>
    <row r="14" ht="43.5" customHeight="1" spans="1:8">
      <c r="A14" s="37" t="s">
        <v>231</v>
      </c>
      <c r="B14" s="38" t="s">
        <v>232</v>
      </c>
      <c r="C14" s="108" t="s">
        <v>233</v>
      </c>
      <c r="D14" s="40" t="s">
        <v>211</v>
      </c>
    </row>
    <row r="15" ht="43.5" customHeight="1" spans="1:8">
      <c r="A15" s="37" t="s">
        <v>234</v>
      </c>
      <c r="B15" s="38" t="s">
        <v>235</v>
      </c>
      <c r="C15" s="108" t="s">
        <v>236</v>
      </c>
      <c r="D15" s="40" t="s">
        <v>211</v>
      </c>
    </row>
    <row r="16" ht="25.5" customHeight="1" spans="1:8">
      <c r="A16" s="36" t="s">
        <v>237</v>
      </c>
      <c r="B16" s="36"/>
      <c r="C16" s="36"/>
      <c r="D16" s="36"/>
    </row>
    <row r="17" ht="43.5" customHeight="1" spans="1:4">
      <c r="A17" s="41" t="s">
        <v>238</v>
      </c>
      <c r="B17" s="38" t="s">
        <v>239</v>
      </c>
      <c r="C17" s="108" t="s">
        <v>240</v>
      </c>
      <c r="D17" s="42" t="s">
        <v>218</v>
      </c>
    </row>
    <row r="18" ht="43.5" customHeight="1" spans="1:4">
      <c r="A18" s="41" t="s">
        <v>241</v>
      </c>
      <c r="B18" s="38" t="s">
        <v>242</v>
      </c>
      <c r="C18" s="108" t="s">
        <v>243</v>
      </c>
      <c r="D18" s="42" t="s">
        <v>218</v>
      </c>
    </row>
    <row r="19" ht="43.5" customHeight="1" spans="1:4">
      <c r="A19" s="41" t="s">
        <v>244</v>
      </c>
      <c r="B19" s="38" t="s">
        <v>245</v>
      </c>
      <c r="C19" s="108" t="s">
        <v>246</v>
      </c>
      <c r="D19" s="42" t="s">
        <v>218</v>
      </c>
    </row>
    <row r="20" ht="25.5" customHeight="1" spans="1:4">
      <c r="A20" s="36" t="s">
        <v>247</v>
      </c>
      <c r="B20" s="36"/>
      <c r="C20" s="36"/>
      <c r="D20" s="36"/>
    </row>
    <row r="21" ht="43.5" customHeight="1" spans="1:4">
      <c r="A21" s="41" t="s">
        <v>248</v>
      </c>
      <c r="B21" s="38" t="s">
        <v>249</v>
      </c>
      <c r="C21" s="108" t="s">
        <v>250</v>
      </c>
      <c r="D21" s="42" t="s">
        <v>218</v>
      </c>
    </row>
    <row r="22" ht="43.5" customHeight="1" spans="1:4">
      <c r="A22" s="41" t="s">
        <v>251</v>
      </c>
      <c r="B22" s="38" t="s">
        <v>252</v>
      </c>
      <c r="C22" s="108" t="s">
        <v>253</v>
      </c>
      <c r="D22" s="42" t="s">
        <v>218</v>
      </c>
    </row>
    <row r="23" ht="25.5" customHeight="1" spans="1:4">
      <c r="A23" s="36" t="s">
        <v>254</v>
      </c>
      <c r="B23" s="36"/>
      <c r="C23" s="36"/>
      <c r="D23" s="36"/>
    </row>
    <row r="24" ht="43.5" customHeight="1" spans="1:4">
      <c r="A24" s="46" t="s">
        <v>255</v>
      </c>
      <c r="B24" s="38" t="s">
        <v>256</v>
      </c>
      <c r="C24" s="108" t="s">
        <v>257</v>
      </c>
      <c r="D24" s="47" t="s">
        <v>258</v>
      </c>
    </row>
    <row r="25" ht="43.5" customHeight="1" spans="1:4">
      <c r="A25" s="46" t="s">
        <v>259</v>
      </c>
      <c r="B25" s="38" t="s">
        <v>260</v>
      </c>
      <c r="C25" s="39" t="s">
        <v>261</v>
      </c>
      <c r="D25" s="47" t="s">
        <v>258</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F18"/>
  <sheetViews>
    <sheetView showGridLines="0" workbookViewId="0">
      <selection activeCell="B6" sqref="B6"/>
    </sheetView>
  </sheetViews>
  <sheetFormatPr defaultColWidth="8.66363636363636" defaultRowHeight="14.5" outlineLevelCol="5"/>
  <cols>
    <col min="1" max="1" width="13.8909090909091" customWidth="1"/>
    <col min="2" max="2" width="41.2181818181818" customWidth="1"/>
    <col min="3" max="3" width="28" customWidth="1"/>
    <col min="4" max="4" width="13.8909090909091" customWidth="1"/>
    <col min="5" max="5" width="19.4454545454545" customWidth="1"/>
    <col min="6" max="6" width="30.2181818181818" customWidth="1"/>
  </cols>
  <sheetData>
    <row r="1" ht="37.5" customHeight="1" spans="1:6">
      <c r="A1" s="1" t="s">
        <v>262</v>
      </c>
      <c r="B1" s="1"/>
      <c r="C1" s="1"/>
      <c r="D1" s="1"/>
      <c r="E1" s="1"/>
      <c r="F1" s="1"/>
    </row>
    <row r="2" ht="27.75" customHeight="1" spans="1:6">
      <c r="A2" s="2" t="s">
        <v>263</v>
      </c>
      <c r="B2" s="2"/>
      <c r="C2" s="2"/>
      <c r="D2" s="2"/>
      <c r="E2" s="2"/>
      <c r="F2" s="2"/>
    </row>
    <row r="3" ht="21.75" customHeight="1" spans="1:6">
      <c r="A3" s="3" t="s">
        <v>264</v>
      </c>
      <c r="B3" s="3" t="s">
        <v>265</v>
      </c>
      <c r="C3" s="3" t="s">
        <v>266</v>
      </c>
      <c r="D3" s="3" t="s">
        <v>267</v>
      </c>
      <c r="E3" s="3" t="s">
        <v>268</v>
      </c>
      <c r="F3" s="3" t="s">
        <v>269</v>
      </c>
    </row>
    <row r="4" ht="36" customHeight="1" spans="1:6">
      <c r="A4" s="4" t="s">
        <v>154</v>
      </c>
      <c r="B4" s="5" t="s">
        <v>270</v>
      </c>
      <c r="C4" s="6" t="s">
        <v>271</v>
      </c>
      <c r="D4" s="7" t="s">
        <v>272</v>
      </c>
      <c r="E4" s="6" t="s">
        <v>273</v>
      </c>
      <c r="F4" s="8" t="s">
        <v>274</v>
      </c>
    </row>
    <row r="5" ht="36" customHeight="1" spans="1:6">
      <c r="A5" s="9" t="s">
        <v>275</v>
      </c>
      <c r="B5" s="10" t="s">
        <v>276</v>
      </c>
      <c r="C5" s="11" t="s">
        <v>277</v>
      </c>
      <c r="D5" s="12" t="s">
        <v>272</v>
      </c>
      <c r="E5" s="11" t="s">
        <v>278</v>
      </c>
      <c r="F5" s="13" t="s">
        <v>279</v>
      </c>
    </row>
    <row r="6" ht="36" customHeight="1" spans="1:6">
      <c r="A6" s="14" t="s">
        <v>280</v>
      </c>
      <c r="B6" s="15" t="s">
        <v>281</v>
      </c>
      <c r="C6" s="16" t="s">
        <v>282</v>
      </c>
      <c r="D6" s="17" t="s">
        <v>272</v>
      </c>
      <c r="E6" s="16" t="s">
        <v>283</v>
      </c>
      <c r="F6" s="18" t="s">
        <v>284</v>
      </c>
    </row>
    <row r="7" ht="36" customHeight="1" spans="1:6">
      <c r="A7" s="19" t="s">
        <v>285</v>
      </c>
      <c r="B7" s="20" t="s">
        <v>286</v>
      </c>
      <c r="C7" s="21" t="s">
        <v>287</v>
      </c>
      <c r="D7" s="22" t="s">
        <v>272</v>
      </c>
      <c r="E7" s="21" t="s">
        <v>288</v>
      </c>
      <c r="F7" s="23" t="s">
        <v>289</v>
      </c>
    </row>
    <row r="8" ht="36" customHeight="1" spans="1:6">
      <c r="A8" s="14" t="s">
        <v>290</v>
      </c>
      <c r="B8" s="15" t="s">
        <v>291</v>
      </c>
      <c r="C8" s="16" t="s">
        <v>292</v>
      </c>
      <c r="D8" s="17" t="s">
        <v>272</v>
      </c>
      <c r="E8" s="16" t="s">
        <v>293</v>
      </c>
      <c r="F8" s="18" t="s">
        <v>294</v>
      </c>
    </row>
    <row r="9" ht="36" customHeight="1" spans="1:6">
      <c r="A9" s="19" t="s">
        <v>295</v>
      </c>
      <c r="B9" s="20" t="s">
        <v>296</v>
      </c>
      <c r="C9" s="21" t="s">
        <v>297</v>
      </c>
      <c r="D9" s="22" t="s">
        <v>298</v>
      </c>
      <c r="E9" s="21" t="s">
        <v>299</v>
      </c>
      <c r="F9" s="23" t="s">
        <v>300</v>
      </c>
    </row>
    <row r="10" ht="36" customHeight="1" spans="1:6">
      <c r="A10" s="24" t="s">
        <v>301</v>
      </c>
      <c r="B10" s="25" t="s">
        <v>302</v>
      </c>
      <c r="C10" s="26" t="s">
        <v>303</v>
      </c>
      <c r="D10" s="27" t="s">
        <v>272</v>
      </c>
      <c r="E10" s="26" t="s">
        <v>304</v>
      </c>
      <c r="F10" s="28" t="s">
        <v>305</v>
      </c>
    </row>
    <row r="11" ht="36" customHeight="1" spans="1:6">
      <c r="A11" s="9" t="s">
        <v>306</v>
      </c>
      <c r="B11" s="10" t="s">
        <v>307</v>
      </c>
      <c r="C11" s="11" t="s">
        <v>308</v>
      </c>
      <c r="D11" s="12" t="s">
        <v>272</v>
      </c>
      <c r="E11" s="11" t="s">
        <v>309</v>
      </c>
      <c r="F11" s="13" t="s">
        <v>310</v>
      </c>
    </row>
    <row r="12" ht="36" customHeight="1" spans="1:6">
      <c r="A12" s="14" t="s">
        <v>311</v>
      </c>
      <c r="B12" s="15" t="s">
        <v>312</v>
      </c>
      <c r="C12" s="16" t="s">
        <v>313</v>
      </c>
      <c r="D12" s="17" t="s">
        <v>272</v>
      </c>
      <c r="E12" s="16" t="s">
        <v>314</v>
      </c>
      <c r="F12" s="18" t="s">
        <v>315</v>
      </c>
    </row>
    <row r="13" ht="36" customHeight="1" spans="1:6">
      <c r="A13" s="19" t="s">
        <v>316</v>
      </c>
      <c r="B13" s="20" t="s">
        <v>317</v>
      </c>
      <c r="C13" s="21" t="s">
        <v>318</v>
      </c>
      <c r="D13" s="22" t="s">
        <v>272</v>
      </c>
      <c r="E13" s="21" t="s">
        <v>319</v>
      </c>
      <c r="F13" s="23" t="s">
        <v>320</v>
      </c>
    </row>
    <row r="14" ht="15.25"/>
    <row r="15" ht="25.5" customHeight="1" spans="1:6">
      <c r="A15" s="29" t="s">
        <v>321</v>
      </c>
      <c r="B15" s="29"/>
      <c r="C15" s="29"/>
      <c r="D15" s="29"/>
      <c r="E15" s="29"/>
      <c r="F15" s="29"/>
    </row>
    <row r="16" ht="21.75" customHeight="1" spans="1:6">
      <c r="A16" s="30"/>
      <c r="B16" s="31" t="s">
        <v>322</v>
      </c>
      <c r="C16" s="31"/>
      <c r="D16" s="31"/>
      <c r="E16" s="31"/>
      <c r="F16" s="31"/>
    </row>
    <row r="17" ht="21.75" customHeight="1" spans="1:6">
      <c r="A17" s="32"/>
      <c r="B17" s="33" t="s">
        <v>323</v>
      </c>
      <c r="C17" s="33"/>
      <c r="D17" s="33"/>
      <c r="E17" s="33"/>
      <c r="F17" s="33"/>
    </row>
    <row r="18" ht="21.75" customHeight="1" spans="1:6">
      <c r="A18" s="34"/>
      <c r="B18" s="35" t="s">
        <v>324</v>
      </c>
      <c r="C18" s="35"/>
      <c r="D18" s="35"/>
      <c r="E18" s="35"/>
      <c r="F18" s="35"/>
    </row>
  </sheetData>
  <mergeCells count="6">
    <mergeCell ref="A1:F1"/>
    <mergeCell ref="A2:F2"/>
    <mergeCell ref="A15:F15"/>
    <mergeCell ref="B16:F16"/>
    <mergeCell ref="B17:F17"/>
    <mergeCell ref="B18:F18"/>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Employee Dataset</vt:lpstr>
      <vt:lpstr>VLOOKUP</vt:lpstr>
      <vt:lpstr>HLOOKUP</vt:lpstr>
      <vt:lpstr>INDEX</vt:lpstr>
      <vt:lpstr>MATCH</vt:lpstr>
      <vt:lpstr>INDEX MATCH</vt:lpstr>
      <vt:lpstr>XLOOKUP</vt:lpstr>
      <vt:lpstr>LOOKUP</vt:lpstr>
      <vt:lpstr>Practice Exercises</vt:lpstr>
      <vt:lpstr>Quick 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singh</cp:lastModifiedBy>
  <cp:revision>0</cp:revision>
  <dcterms:created xsi:type="dcterms:W3CDTF">2026-03-10T08:07:00Z</dcterms:created>
  <dcterms:modified xsi:type="dcterms:W3CDTF">2026-08-26T07:20:28Z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940D5DF2BBEA4FE2B10014D621C1BD34_12</vt:lpwstr>
  </property>
  <property fmtid="{D5CDD505-2E9C-101B-9397-08002B2CF9AE}" pid="3" name="KSOProductBuildVer">
    <vt:lpwstr>1033-12.1.0.28485</vt:lpwstr>
  </property>
  <property fmtid="{D5CDD505-2E9C-101B-9397-08002B2CF9AE}" pid="4" name="CalculationRule">
    <vt:i4>0</vt:i4>
  </property>
</Properties>
</file>