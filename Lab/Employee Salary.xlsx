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firstSheet="2"/>
  </bookViews>
  <sheets>
    <sheet name="Basic Pay" sheetId="1" r:id="rId1"/>
    <sheet name="HRA" sheetId="2" r:id="rId2"/>
    <sheet name="DA" sheetId="3" r:id="rId3"/>
  </sheets>
  <definedNames>
    <definedName name="Pay">'Basic Pay'!$D$5:$D$14</definedName>
    <definedName name="HR">HRA!$D$5:$D$14</definedName>
    <definedName name="DA">DA!$D$5:$D$14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<sst xmlns="http://schemas.openxmlformats.org/spreadsheetml/2006/main" count="43" uniqueCount="19">
  <si>
    <t>Basic Pay of the Employees</t>
  </si>
  <si>
    <t>Emp_ID</t>
  </si>
  <si>
    <t>Emp_Name</t>
  </si>
  <si>
    <t>Emp_Basic_Pay</t>
  </si>
  <si>
    <t>Gross Salary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</si>
  <si>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</si>
  <si>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</si>
  <si>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</si>
  <si>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</si>
  <si>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</si>
  <si>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</si>
  <si>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</si>
  <si>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</si>
  <si>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</si>
  <si>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</si>
  <si>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</si>
  <si>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</si>
  <si>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DA of the Employees</t>
  </si>
  <si>
    <t>Emp_DA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</si>
</sst>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name val="Arial"/>
      <charset val="134"/>
    </font>
    <font>
      <b/>
      <sz val="10"/>
      <color rgb="FF3333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14"/>
  <sheetViews>
    <sheetView tabSelected="1" workbookViewId="0">
      <selection activeCell="F4" sqref="F4"/>
    </sheetView>
  </sheetViews>
  <sheetFormatPr defaultColWidth="9" defaultRowHeight="12.5" outlineLevelCol="4"/>
  <cols>
    <col min="2" max="2" width="15.2818181818182" customWidth="1"/>
    <col min="3" max="3" width="22" customWidth="1"/>
    <col min="4" max="4" width="25.4272727272727" customWidth="1"/>
    <col min="5" max="5" width="12.3636363636364" customWidth="1"/>
  </cols>
  <sheetData>
    <row r="3" spans="2:5">
      <c r="B3" s="4" t="s">
        <v>0</v>
      </c>
      <c r="C3" s="5"/>
      <c r="D3" s="5"/>
      <c r="E3" s="6"/>
    </row>
    <row r="4" ht="13" spans="2:5">
      <c r="B4" s="7" t="s">
        <v>1</v>
      </c>
      <c r="C4" s="7" t="s">
        <v>2</v>
      </c>
      <c r="D4" s="7" t="s">
        <v>3</v>
      </c>
      <c r="E4" s="8" t="s">
        <v>4</v>
      </c>
    </row>
    <row r="5" spans="2:5">
      <c r="B5" s="7">
        <v>5001</v>
      </c>
      <c r="C5" s="7" t="s">
        <v>5</v>
      </c>
      <c r="D5" s="7">
        <v>4500</v>
      </c>
      <c r="E5" s="9" cm="1">
        <f t="array" ref="E5:E14">Pay+DA+HR</f>
        <v>7560</v>
      </c>
    </row>
    <row r="6" spans="2:5">
      <c r="B6" s="7">
        <v>5003</v>
      </c>
      <c r="C6" s="7" t="s">
        <v>6</v>
      </c>
      <c r="D6" s="7">
        <v>2500</v>
      </c>
      <c r="E6" s="9">
        <v>4200</v>
      </c>
    </row>
    <row r="7" spans="2:5">
      <c r="B7" s="7">
        <v>5098</v>
      </c>
      <c r="C7" s="7" t="s">
        <v>7</v>
      </c>
      <c r="D7" s="7">
        <v>4500</v>
      </c>
      <c r="E7" s="9">
        <v>7560</v>
      </c>
    </row>
    <row r="8" spans="2:5">
      <c r="B8" s="7">
        <v>5689</v>
      </c>
      <c r="C8" s="7" t="s">
        <v>8</v>
      </c>
      <c r="D8" s="7">
        <v>3200</v>
      </c>
      <c r="E8" s="9">
        <v>5376</v>
      </c>
    </row>
    <row r="9" spans="2:5">
      <c r="B9" s="7">
        <v>5764</v>
      </c>
      <c r="C9" s="7" t="s">
        <v>9</v>
      </c>
      <c r="D9" s="7">
        <v>1223</v>
      </c>
      <c r="E9" s="9">
        <v>2054.64</v>
      </c>
    </row>
    <row r="10" spans="2:5">
      <c r="B10" s="7">
        <v>5091</v>
      </c>
      <c r="C10" s="7" t="s">
        <v>10</v>
      </c>
      <c r="D10" s="7">
        <v>7890</v>
      </c>
      <c r="E10" s="9">
        <v>13255.2</v>
      </c>
    </row>
    <row r="11" spans="2:5">
      <c r="B11" s="7">
        <v>5673</v>
      </c>
      <c r="C11" s="7" t="s">
        <v>11</v>
      </c>
      <c r="D11" s="7">
        <v>6500</v>
      </c>
      <c r="E11" s="9">
        <v>10920</v>
      </c>
    </row>
    <row r="12" spans="2:5">
      <c r="B12" s="7">
        <v>5901</v>
      </c>
      <c r="C12" s="7" t="s">
        <v>12</v>
      </c>
      <c r="D12" s="7">
        <v>5479</v>
      </c>
      <c r="E12" s="9">
        <v>9204.72</v>
      </c>
    </row>
    <row r="13" spans="2:5">
      <c r="B13" s="7">
        <v>5764</v>
      </c>
      <c r="C13" s="7" t="s">
        <v>13</v>
      </c>
      <c r="D13" s="7">
        <v>3456</v>
      </c>
      <c r="E13" s="9">
        <v>5806.08</v>
      </c>
    </row>
    <row r="14" spans="2:5">
      <c r="B14" s="7">
        <v>5555</v>
      </c>
      <c r="C14" s="7" t="s">
        <v>14</v>
      </c>
      <c r="D14" s="7">
        <v>1200</v>
      </c>
      <c r="E14" s="9">
        <v>2016</v>
      </c>
    </row>
  </sheetData>
  <mergeCells count="1">
    <mergeCell ref="B3:E3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4"/>
  <sheetViews>
    <sheetView topLeftCell="B2" workbookViewId="0">
      <selection activeCell="D5" sqref="D5:D14"/>
    </sheetView>
  </sheetViews>
  <sheetFormatPr defaultColWidth="9" defaultRowHeight="12.5" outlineLevelCol="3"/>
  <cols>
    <col min="2" max="2" width="15.2818181818182" customWidth="1"/>
    <col min="3" max="3" width="22" customWidth="1"/>
    <col min="4" max="4" width="25.4272727272727" customWidth="1"/>
  </cols>
  <sheetData>
    <row r="3" spans="2:4">
      <c r="B3" s="3" t="s">
        <v>15</v>
      </c>
      <c r="C3" s="3"/>
      <c r="D3" s="3"/>
    </row>
    <row r="4" spans="2:4">
      <c r="B4" s="2" t="s">
        <v>1</v>
      </c>
      <c r="C4" s="2" t="s">
        <v>2</v>
      </c>
      <c r="D4" s="2" t="s">
        <v>16</v>
      </c>
    </row>
    <row r="5" spans="2:4">
      <c r="B5" s="2">
        <v>5001</v>
      </c>
      <c r="C5" s="2" t="s">
        <v>5</v>
      </c>
      <c r="D5" s="2">
        <f>('Basic Pay'!D5+DA!D5)*50%</f>
        <v>2520</v>
      </c>
    </row>
    <row r="6" spans="2:4">
      <c r="B6" s="2">
        <v>5003</v>
      </c>
      <c r="C6" s="2" t="s">
        <v>6</v>
      </c>
      <c r="D6" s="2">
        <f>('Basic Pay'!D6+DA!D6)*50%</f>
        <v>1400</v>
      </c>
    </row>
    <row r="7" spans="2:4">
      <c r="B7" s="2">
        <v>5098</v>
      </c>
      <c r="C7" s="2" t="s">
        <v>7</v>
      </c>
      <c r="D7" s="2">
        <f>('Basic Pay'!D7+DA!D7)*50%</f>
        <v>2520</v>
      </c>
    </row>
    <row r="8" spans="2:4">
      <c r="B8" s="2">
        <v>5689</v>
      </c>
      <c r="C8" s="2" t="s">
        <v>8</v>
      </c>
      <c r="D8" s="2">
        <f>('Basic Pay'!D8+DA!D8)*50%</f>
        <v>1792</v>
      </c>
    </row>
    <row r="9" spans="2:4">
      <c r="B9" s="2">
        <v>5764</v>
      </c>
      <c r="C9" s="2" t="s">
        <v>9</v>
      </c>
      <c r="D9" s="2">
        <f>('Basic Pay'!D9+DA!D9)*50%</f>
        <v>684.88</v>
      </c>
    </row>
    <row r="10" spans="2:4">
      <c r="B10" s="2">
        <v>5091</v>
      </c>
      <c r="C10" s="2" t="s">
        <v>10</v>
      </c>
      <c r="D10" s="2">
        <f>('Basic Pay'!D10+DA!D10)*50%</f>
        <v>4418.4</v>
      </c>
    </row>
    <row r="11" spans="2:4">
      <c r="B11" s="2">
        <v>5673</v>
      </c>
      <c r="C11" s="2" t="s">
        <v>11</v>
      </c>
      <c r="D11" s="2">
        <f>('Basic Pay'!D11+DA!D11)*50%</f>
        <v>3640</v>
      </c>
    </row>
    <row r="12" spans="2:4">
      <c r="B12" s="2">
        <v>5901</v>
      </c>
      <c r="C12" s="2" t="s">
        <v>12</v>
      </c>
      <c r="D12" s="2">
        <f>('Basic Pay'!D12+DA!D12)*50%</f>
        <v>3068.24</v>
      </c>
    </row>
    <row r="13" spans="2:4">
      <c r="B13" s="2">
        <v>5764</v>
      </c>
      <c r="C13" s="2" t="s">
        <v>13</v>
      </c>
      <c r="D13" s="2">
        <f>('Basic Pay'!D13+DA!D13)*50%</f>
        <v>1935.36</v>
      </c>
    </row>
    <row r="14" spans="2:4">
      <c r="B14" s="2">
        <v>5555</v>
      </c>
      <c r="C14" s="2" t="s">
        <v>14</v>
      </c>
      <c r="D14" s="2">
        <f>('Basic Pay'!D14+DA!D14)*50%</f>
        <v>672</v>
      </c>
    </row>
  </sheetData>
  <mergeCells count="1">
    <mergeCell ref="B3:D3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4"/>
  <sheetViews>
    <sheetView workbookViewId="0">
      <selection activeCell="D5" sqref="D5:D14"/>
    </sheetView>
  </sheetViews>
  <sheetFormatPr defaultColWidth="9" defaultRowHeight="12.5" outlineLevelCol="3"/>
  <cols>
    <col min="2" max="2" width="15.2818181818182" customWidth="1"/>
    <col min="3" max="3" width="22" customWidth="1"/>
    <col min="4" max="4" width="25.4272727272727" customWidth="1"/>
  </cols>
  <sheetData>
    <row r="3" spans="2:4">
      <c r="B3" s="1" t="s">
        <v>17</v>
      </c>
      <c r="C3" s="1"/>
      <c r="D3" s="1"/>
    </row>
    <row r="4" spans="2:4">
      <c r="B4" s="2" t="s">
        <v>1</v>
      </c>
      <c r="C4" s="2" t="s">
        <v>2</v>
      </c>
      <c r="D4" s="2" t="s">
        <v>18</v>
      </c>
    </row>
    <row r="5" spans="2:4">
      <c r="B5" s="2">
        <v>5001</v>
      </c>
      <c r="C5" s="2" t="s">
        <v>5</v>
      </c>
      <c r="D5" s="2">
        <f>'Basic Pay'!D5*12%</f>
        <v>540</v>
      </c>
    </row>
    <row r="6" spans="2:4">
      <c r="B6" s="2">
        <v>5003</v>
      </c>
      <c r="C6" s="2" t="s">
        <v>6</v>
      </c>
      <c r="D6" s="2">
        <f>'Basic Pay'!D6*12%</f>
        <v>300</v>
      </c>
    </row>
    <row r="7" spans="2:4">
      <c r="B7" s="2">
        <v>5098</v>
      </c>
      <c r="C7" s="2" t="s">
        <v>7</v>
      </c>
      <c r="D7" s="2">
        <f>'Basic Pay'!D7*12%</f>
        <v>540</v>
      </c>
    </row>
    <row r="8" spans="2:4">
      <c r="B8" s="2">
        <v>5689</v>
      </c>
      <c r="C8" s="2" t="s">
        <v>8</v>
      </c>
      <c r="D8" s="2">
        <f>'Basic Pay'!D8*12%</f>
        <v>384</v>
      </c>
    </row>
    <row r="9" spans="2:4">
      <c r="B9" s="2">
        <v>5764</v>
      </c>
      <c r="C9" s="2" t="s">
        <v>9</v>
      </c>
      <c r="D9" s="2">
        <f>'Basic Pay'!D9*12%</f>
        <v>146.76</v>
      </c>
    </row>
    <row r="10" spans="2:4">
      <c r="B10" s="2">
        <v>5091</v>
      </c>
      <c r="C10" s="2" t="s">
        <v>10</v>
      </c>
      <c r="D10" s="2">
        <f>'Basic Pay'!D10*12%</f>
        <v>946.8</v>
      </c>
    </row>
    <row r="11" spans="2:4">
      <c r="B11" s="2">
        <v>5673</v>
      </c>
      <c r="C11" s="2" t="s">
        <v>11</v>
      </c>
      <c r="D11" s="2">
        <f>'Basic Pay'!D11*12%</f>
        <v>780</v>
      </c>
    </row>
    <row r="12" spans="2:4">
      <c r="B12" s="2">
        <v>5901</v>
      </c>
      <c r="C12" s="2" t="s">
        <v>12</v>
      </c>
      <c r="D12" s="2">
        <f>'Basic Pay'!D12*12%</f>
        <v>657.48</v>
      </c>
    </row>
    <row r="13" spans="2:4">
      <c r="B13" s="2">
        <v>5764</v>
      </c>
      <c r="C13" s="2" t="s">
        <v>13</v>
      </c>
      <c r="D13" s="2">
        <f>'Basic Pay'!D13*12%</f>
        <v>414.72</v>
      </c>
    </row>
    <row r="14" spans="2:4">
      <c r="B14" s="2">
        <v>5555</v>
      </c>
      <c r="C14" s="2" t="s">
        <v>14</v>
      </c>
      <c r="D14" s="2">
        <f>'Basic Pay'!D14*12%</f>
        <v>144</v>
      </c>
    </row>
  </sheetData>
  <mergeCells count="1">
    <mergeCell ref="B3:D3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abc</Company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Basic Pay</vt:lpstr>
      <vt:lpstr>HRA</vt:lpstr>
      <vt:lpstr>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Suraj singh</cp:lastModifiedBy>
  <dcterms:created xsi:type="dcterms:W3CDTF">2007-12-11T14:17:00Z</dcterms:created>
  <dcterms:modified xsi:type="dcterms:W3CDTF">2026-09-02T09:02:56Z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046DF68542664514A62BD446619208AB_12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