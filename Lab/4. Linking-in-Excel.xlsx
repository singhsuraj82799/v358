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350" windowHeight="6880" firstSheet="13" activeTab="18"/>
  </bookViews>
  <sheets>
    <sheet name="Summary" sheetId="11" r:id="rId1"/>
    <sheet name="Single" sheetId="12" r:id="rId2"/>
    <sheet name="Multiple" sheetId="13" r:id="rId3"/>
    <sheet name="Paste Link" sheetId="14" r:id="rId4"/>
    <sheet name="Named" sheetId="15" r:id="rId5"/>
    <sheet name="Multiple Sum" sheetId="17" r:id="rId6"/>
    <sheet name="SUM" sheetId="18" r:id="rId7"/>
    <sheet name="Index" sheetId="26" r:id="rId8"/>
    <sheet name="Quarter 1" sheetId="22" r:id="rId9"/>
    <sheet name="Quarter 2" sheetId="23" r:id="rId10"/>
    <sheet name="Quarter 3" sheetId="24" r:id="rId11"/>
    <sheet name="Quarter 4" sheetId="25" r:id="rId12"/>
    <sheet name="New File" sheetId="1" r:id="rId13"/>
    <sheet name="Web Page" sheetId="4" r:id="rId14"/>
    <sheet name="Image File" sheetId="5" r:id="rId15"/>
    <sheet name="Email" sheetId="28" r:id="rId16"/>
    <sheet name="Link Destination" sheetId="6" r:id="rId17"/>
    <sheet name="Modify" sheetId="29" r:id="rId18"/>
    <sheet name="external linking" sheetId="30" r:id="rId19"/>
  </sheets>
  <definedNames>
    <definedName name="suraj">Summary!$D$5:$D$12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<sst xmlns="http://schemas.openxmlformats.org/spreadsheetml/2006/main" count="551" uniqueCount="83">
  <si>
    <t>Source Data</t>
  </si>
  <si>
    <t>For practice</t>
  </si>
  <si>
    <t>Item List</t>
  </si>
  <si>
    <t>Price</t>
  </si>
  <si>
    <t>Delivery By</t>
  </si>
  <si>
    <t>Delivery Fee</t>
  </si>
  <si>
    <t>Computer</t>
  </si>
  <si>
    <t>Truck</t>
  </si>
  <si>
    <t>Printer</t>
  </si>
  <si>
    <t>Air</t>
  </si>
  <si>
    <t>IPS</t>
  </si>
  <si>
    <t>Rail</t>
  </si>
  <si>
    <t>Battery</t>
  </si>
  <si>
    <t>Paper</t>
  </si>
  <si>
    <t>Ship</t>
  </si>
  <si>
    <t>Electric Fan</t>
  </si>
  <si>
    <t>Blender</t>
  </si>
  <si>
    <t>AC</t>
  </si>
  <si>
    <t>Using Equal (=) Sign for Single Cell</t>
  </si>
  <si>
    <t>Using Equal (=) Sign for Multiple Cells</t>
  </si>
  <si>
    <t>Using Copy and Paste Link Commands</t>
  </si>
  <si>
    <t>Using Named Range</t>
  </si>
  <si>
    <t>Using Plus (+) Sign to Sum Multiple Links</t>
  </si>
  <si>
    <t>Total Price</t>
  </si>
  <si>
    <t>Using SUM Function</t>
  </si>
  <si>
    <t>Index Page</t>
  </si>
  <si>
    <t>Select Quarter</t>
  </si>
  <si>
    <t>Total Revenue</t>
  </si>
  <si>
    <t>Q1</t>
  </si>
  <si>
    <t>Quarter 1'!A1</t>
  </si>
  <si>
    <t>Q2</t>
  </si>
  <si>
    <t>Quarter 2'!A1</t>
  </si>
  <si>
    <t>Q3</t>
  </si>
  <si>
    <t>Quarter 3'!A1</t>
  </si>
  <si>
    <t>Q4</t>
  </si>
  <si>
    <t>Quarter 4'!A1</t>
  </si>
  <si>
    <t>Sales Statement of Quarter 1</t>
  </si>
  <si>
    <t>For Practice</t>
  </si>
  <si>
    <t>Sales Rep</t>
  </si>
  <si>
    <t>Region</t>
  </si>
  <si>
    <t>Sales</t>
  </si>
  <si>
    <t>Samuel Jhonson</t>
  </si>
  <si>
    <t>East</t>
  </si>
  <si>
    <t>John Mark</t>
  </si>
  <si>
    <t>West</t>
  </si>
  <si>
    <t>David Copper</t>
  </si>
  <si>
    <t>North</t>
  </si>
  <si>
    <t>David Potter</t>
  </si>
  <si>
    <t>South</t>
  </si>
  <si>
    <t>Jacob Anny</t>
  </si>
  <si>
    <t>Oscar Teddy</t>
  </si>
  <si>
    <t>John Theodore</t>
  </si>
  <si>
    <t>Oliver Charlie</t>
  </si>
  <si>
    <t>Charlie Dalton</t>
  </si>
  <si>
    <t>Total Revenue Earned</t>
  </si>
  <si>
    <t>Sales Statement of Quarter 2</t>
  </si>
  <si>
    <t>Sales Statement of Quarter 3</t>
  </si>
  <si>
    <t>Sales Statement of Quarter 4</t>
  </si>
  <si>
    <t>Creating Link to a New File</t>
  </si>
  <si>
    <t>Advanced-Sorting</t>
  </si>
  <si>
    <t>5. Lookup.xlsx</t>
  </si>
  <si>
    <t>4. Linking-in-Excel.xlsx</t>
  </si>
  <si>
    <t>Basic.xlsx</t>
  </si>
  <si>
    <t>8.1 Pivot-Table-Final.xlsx</t>
  </si>
  <si>
    <t>Excel_Text_Date_</t>
  </si>
  <si>
    <t xml:space="preserve">Excel Assignment  </t>
  </si>
  <si>
    <t>Excel Dataset_Dmart.xlsx</t>
  </si>
  <si>
    <t>Linking Web Pages</t>
  </si>
  <si>
    <t>Web Page</t>
  </si>
  <si>
    <t>File Name</t>
  </si>
  <si>
    <t>Web Link</t>
  </si>
  <si>
    <t>Exceldemy</t>
  </si>
  <si>
    <t>https://www.exceldemy.com</t>
  </si>
  <si>
    <t>Google</t>
  </si>
  <si>
    <t>https://www.google.com</t>
  </si>
  <si>
    <t>Microsoft</t>
  </si>
  <si>
    <t>https://www.microsoft.com</t>
  </si>
  <si>
    <t>Linking Image File</t>
  </si>
  <si>
    <t>Image Link</t>
  </si>
  <si>
    <t>Mail To</t>
  </si>
  <si>
    <t>Changing Link Text &amp; Graphic</t>
  </si>
  <si>
    <t>Modifying Links for Error Handling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</si>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</sst>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(&quot;$&quot;* #,##0.00_);_(&quot;$&quot;* \(#,##0.00\);_(&quot;$&quot;* &quot;-&quot;??_);_(@_)"/>
    <numFmt numFmtId="181" formatCode="_-[$$-409]* #,##0.00_ ;_-[$$-409]* \-#,##0.00\ ;_-[$$-409]* &quot;-&quot;??_ ;_-@_ "/>
  </numFmts>
  <fonts count="29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3"/>
      <name val="Calibri"/>
      <charset val="134"/>
      <scheme val="minor"/>
    </font>
    <font>
      <b/>
      <sz val="12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name val="Calibri"/>
      <charset val="134"/>
      <scheme val="minor"/>
    </font>
    <font>
      <u/>
      <sz val="11"/>
      <name val="Calibri"/>
      <charset val="134"/>
      <scheme val="minor"/>
    </font>
    <font>
      <sz val="11"/>
      <color theme="10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>
      <alignment vertical="center"/>
    </xf>
    <xf numFmtId="0" fontId="16" fillId="0" borderId="1" applyNumberFormat="0" applyFill="0" applyAlignment="0" applyProtection="0"/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4" borderId="5" applyNumberFormat="0" applyAlignment="0" applyProtection="0"/>
    <xf numFmtId="0" fontId="20" fillId="4" borderId="9" applyNumberFormat="0" applyAlignment="0" applyProtection="0">
      <alignment vertical="center"/>
    </xf>
    <xf numFmtId="0" fontId="21" fillId="6" borderId="10" applyNumberFormat="0" applyAlignment="0" applyProtection="0">
      <alignment vertical="center"/>
    </xf>
    <xf numFmtId="0" fontId="22" fillId="0" borderId="11" applyNumberFormat="0" applyFill="0" applyAlignment="0" applyProtection="0"/>
    <xf numFmtId="0" fontId="23" fillId="0" borderId="12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/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39">
    <xf numFmtId="0" fontId="0" fillId="0" borderId="0" xfId="0"/>
    <xf numFmtId="0" fontId="0" fillId="0" borderId="0" xfId="38" applyFill="1" applyBorder="1" applyAlignment="1">
      <alignment horizontal="center" vertical="center"/>
    </xf>
    <xf numFmtId="0" fontId="0" fillId="0" borderId="0" xfId="38" applyFill="1" applyBorder="1" applyAlignment="1">
      <alignment vertical="center"/>
    </xf>
    <xf numFmtId="180" fontId="0" fillId="0" borderId="0" xfId="38" applyNumberForma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" xfId="13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80" fontId="0" fillId="0" borderId="3" xfId="0" applyNumberFormat="1" applyBorder="1" applyAlignment="1">
      <alignment vertical="center"/>
    </xf>
    <xf numFmtId="0" fontId="4" fillId="0" borderId="2" xfId="6" applyFont="1" applyBorder="1" applyAlignment="1">
      <alignment horizontal="center" vertical="center"/>
    </xf>
    <xf numFmtId="18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0" fontId="5" fillId="0" borderId="2" xfId="6" applyFill="1" applyBorder="1" applyAlignment="1">
      <alignment horizontal="center" vertical="center"/>
    </xf>
    <xf numFmtId="0" fontId="5" fillId="0" borderId="2" xfId="6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6" fillId="0" borderId="2" xfId="11" applyNumberFormat="1" applyFont="1" applyBorder="1" applyAlignment="1">
      <alignment horizontal="center" vertical="center"/>
    </xf>
    <xf numFmtId="0" fontId="7" fillId="0" borderId="0" xfId="6" applyFont="1" applyAlignment="1">
      <alignment vertical="center"/>
    </xf>
    <xf numFmtId="0" fontId="6" fillId="0" borderId="2" xfId="20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9" fontId="5" fillId="0" borderId="2" xfId="6" applyNumberFormat="1" applyBorder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2" xfId="6" applyFont="1" applyBorder="1" applyAlignment="1">
      <alignment horizontal="center" vertical="center"/>
    </xf>
    <xf numFmtId="0" fontId="8" fillId="0" borderId="2" xfId="6" applyFont="1" applyBorder="1" applyAlignment="1">
      <alignment vertical="center"/>
    </xf>
    <xf numFmtId="0" fontId="0" fillId="0" borderId="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2" xfId="6" applyBorder="1" applyAlignment="1">
      <alignment vertical="center"/>
    </xf>
    <xf numFmtId="9" fontId="6" fillId="0" borderId="2" xfId="6" applyNumberFormat="1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181" fontId="0" fillId="0" borderId="2" xfId="0" applyNumberForma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181" fontId="9" fillId="4" borderId="5" xfId="17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13" applyFont="1" applyAlignment="1">
      <alignment horizontal="center" vertical="center"/>
    </xf>
    <xf numFmtId="181" fontId="5" fillId="0" borderId="2" xfId="6" applyNumberFormat="1" applyBorder="1" applyAlignment="1">
      <alignment vertical="center"/>
    </xf>
    <xf numFmtId="181" fontId="4" fillId="0" borderId="2" xfId="6" applyNumberFormat="1" applyFont="1" applyBorder="1" applyAlignment="1">
      <alignment vertical="center"/>
    </xf>
    <xf numFmtId="0" fontId="0" fillId="0" borderId="2" xfId="3" applyNumberFormat="1" applyFont="1" applyBorder="1" applyAlignment="1">
      <alignment vertical="center"/>
    </xf>
    <xf numFmtId="181" fontId="5" fillId="0" borderId="2" xfId="6" applyNumberFormat="1" applyBorder="1" applyAlignment="1" quotePrefix="1">
      <alignment vertical="center"/>
    </xf>
    <xf numFmtId="181" fontId="4" fillId="0" borderId="2" xfId="6" applyNumberFormat="1" applyFont="1" applyBorder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eetMetadata" Target="metadata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853441</xdr:colOff>
      <xdr:row>12</xdr:row>
      <xdr:rowOff>302895</xdr:rowOff>
    </xdr:from>
    <xdr:to>
      <xdr:col>8</xdr:col>
      <xdr:colOff>1017271</xdr:colOff>
      <xdr:row>12</xdr:row>
      <xdr:rowOff>937261</xdr:rowOff>
    </xdr:to>
    <xdr:sp>
      <xdr:nvSpPr>
        <xdr:cNvPr id="2" name="Rectangle: Rounded Corners 1"/>
        <xdr:cNvSpPr/>
      </xdr:nvSpPr>
      <xdr:spPr>
        <a:xfrm>
          <a:off x="4477385" y="3046095"/>
          <a:ext cx="4587240" cy="63436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600">
              <a:latin typeface="Comic Sans MS" panose="030F0702030302020204" pitchFamily="66" charset="0"/>
            </a:rPr>
            <a:t>Select </a:t>
          </a:r>
          <a:r>
            <a:rPr lang="en-US" sz="1600" b="1">
              <a:latin typeface="Comic Sans MS" panose="030F0702030302020204" pitchFamily="66" charset="0"/>
            </a:rPr>
            <a:t>C5</a:t>
          </a:r>
          <a:r>
            <a:rPr lang="en-US" sz="1600">
              <a:latin typeface="Comic Sans MS" panose="030F0702030302020204" pitchFamily="66" charset="0"/>
            </a:rPr>
            <a:t>,</a:t>
          </a:r>
          <a:r>
            <a:rPr lang="en-US" sz="1600" baseline="0">
              <a:latin typeface="Comic Sans MS" panose="030F0702030302020204" pitchFamily="66" charset="0"/>
            </a:rPr>
            <a:t> hold down </a:t>
          </a:r>
          <a:r>
            <a:rPr lang="en-US" sz="1600" b="1" baseline="0">
              <a:latin typeface="Comic Sans MS" panose="030F0702030302020204" pitchFamily="66" charset="0"/>
            </a:rPr>
            <a:t>Shift</a:t>
          </a:r>
          <a:r>
            <a:rPr lang="en-US" sz="1600" baseline="0">
              <a:latin typeface="Comic Sans MS" panose="030F0702030302020204" pitchFamily="66" charset="0"/>
            </a:rPr>
            <a:t> key and click </a:t>
          </a:r>
          <a:r>
            <a:rPr lang="en-US" sz="1600" b="1" baseline="0">
              <a:latin typeface="Comic Sans MS" panose="030F0702030302020204" pitchFamily="66" charset="0"/>
            </a:rPr>
            <a:t>E5</a:t>
          </a:r>
          <a:r>
            <a:rPr lang="en-US" sz="1600" baseline="0">
              <a:latin typeface="Comic Sans MS" panose="030F0702030302020204" pitchFamily="66" charset="0"/>
            </a:rPr>
            <a:t>.</a:t>
          </a:r>
          <a:endParaRPr lang="en-US" sz="1600">
            <a:latin typeface="Comic Sans MS" panose="030F0702030302020204" pitchFamily="66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996315</xdr:colOff>
      <xdr:row>9</xdr:row>
      <xdr:rowOff>211455</xdr:rowOff>
    </xdr:from>
    <xdr:to>
      <xdr:col>7</xdr:col>
      <xdr:colOff>611505</xdr:colOff>
      <xdr:row>11</xdr:row>
      <xdr:rowOff>173355</xdr:rowOff>
    </xdr:to>
    <xdr:sp>
      <xdr:nvSpPr>
        <xdr:cNvPr id="2" name="Rectangle: Rounded Corners 1"/>
        <xdr:cNvSpPr/>
      </xdr:nvSpPr>
      <xdr:spPr>
        <a:xfrm>
          <a:off x="4620260" y="2268855"/>
          <a:ext cx="3650615" cy="4191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Comic Sans MS" panose="030F0702030302020204" pitchFamily="66" charset="0"/>
            </a:rPr>
            <a:t>Type </a:t>
          </a:r>
          <a:r>
            <a:rPr lang="en-US" sz="1100" b="1">
              <a:latin typeface="Comic Sans MS" panose="030F0702030302020204" pitchFamily="66" charset="0"/>
            </a:rPr>
            <a:t>Equal</a:t>
          </a:r>
          <a:r>
            <a:rPr lang="en-US" sz="1100">
              <a:latin typeface="Comic Sans MS" panose="030F0702030302020204" pitchFamily="66" charset="0"/>
            </a:rPr>
            <a:t> (</a:t>
          </a:r>
          <a:r>
            <a:rPr lang="en-US" sz="1100" b="1">
              <a:latin typeface="Comic Sans MS" panose="030F0702030302020204" pitchFamily="66" charset="0"/>
            </a:rPr>
            <a:t>=</a:t>
          </a:r>
          <a:r>
            <a:rPr lang="en-US" sz="1100">
              <a:latin typeface="Comic Sans MS" panose="030F0702030302020204" pitchFamily="66" charset="0"/>
            </a:rPr>
            <a:t>) in </a:t>
          </a:r>
          <a:r>
            <a:rPr lang="en-US" sz="1100" b="1">
              <a:latin typeface="Comic Sans MS" panose="030F0702030302020204" pitchFamily="66" charset="0"/>
            </a:rPr>
            <a:t>D5</a:t>
          </a:r>
          <a:r>
            <a:rPr lang="en-US" sz="1100">
              <a:latin typeface="Comic Sans MS" panose="030F0702030302020204" pitchFamily="66" charset="0"/>
            </a:rPr>
            <a:t> and go to </a:t>
          </a:r>
          <a:r>
            <a:rPr lang="en-US" sz="1100" b="1">
              <a:latin typeface="Comic Sans MS" panose="030F0702030302020204" pitchFamily="66" charset="0"/>
            </a:rPr>
            <a:t>Summary</a:t>
          </a:r>
          <a:r>
            <a:rPr lang="en-US" sz="1100">
              <a:latin typeface="Comic Sans MS" panose="030F0702030302020204" pitchFamily="66" charset="0"/>
            </a:rPr>
            <a:t> Sheet.</a:t>
          </a:r>
          <a:endParaRPr lang="en-US" sz="1100">
            <a:latin typeface="Comic Sans MS" panose="030F0702030302020204" pitchFamily="66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161925</xdr:colOff>
      <xdr:row>12</xdr:row>
      <xdr:rowOff>676275</xdr:rowOff>
    </xdr:from>
    <xdr:to>
      <xdr:col>4</xdr:col>
      <xdr:colOff>180975</xdr:colOff>
      <xdr:row>12</xdr:row>
      <xdr:rowOff>1095375</xdr:rowOff>
    </xdr:to>
    <xdr:sp>
      <xdr:nvSpPr>
        <xdr:cNvPr id="2" name="Rectangle: Rounded Corners 1"/>
        <xdr:cNvSpPr/>
      </xdr:nvSpPr>
      <xdr:spPr>
        <a:xfrm>
          <a:off x="161925" y="3419475"/>
          <a:ext cx="3642995" cy="4191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Comic Sans MS" panose="030F0702030302020204" pitchFamily="66" charset="0"/>
            </a:rPr>
            <a:t>Type </a:t>
          </a:r>
          <a:r>
            <a:rPr lang="en-US" sz="1100" b="1">
              <a:latin typeface="Comic Sans MS" panose="030F0702030302020204" pitchFamily="66" charset="0"/>
            </a:rPr>
            <a:t>Equal</a:t>
          </a:r>
          <a:r>
            <a:rPr lang="en-US" sz="1100">
              <a:latin typeface="Comic Sans MS" panose="030F0702030302020204" pitchFamily="66" charset="0"/>
            </a:rPr>
            <a:t> (</a:t>
          </a:r>
          <a:r>
            <a:rPr lang="en-US" sz="1100" b="1">
              <a:latin typeface="Comic Sans MS" panose="030F0702030302020204" pitchFamily="66" charset="0"/>
            </a:rPr>
            <a:t>=</a:t>
          </a:r>
          <a:r>
            <a:rPr lang="en-US" sz="1100">
              <a:latin typeface="Comic Sans MS" panose="030F0702030302020204" pitchFamily="66" charset="0"/>
            </a:rPr>
            <a:t>) in </a:t>
          </a:r>
          <a:r>
            <a:rPr lang="en-US" sz="1100" b="1">
              <a:latin typeface="Comic Sans MS" panose="030F0702030302020204" pitchFamily="66" charset="0"/>
            </a:rPr>
            <a:t>D5</a:t>
          </a:r>
          <a:r>
            <a:rPr lang="en-US" sz="1100">
              <a:latin typeface="Comic Sans MS" panose="030F0702030302020204" pitchFamily="66" charset="0"/>
            </a:rPr>
            <a:t> and go to </a:t>
          </a:r>
          <a:r>
            <a:rPr lang="en-US" sz="1100" b="1">
              <a:latin typeface="Comic Sans MS" panose="030F0702030302020204" pitchFamily="66" charset="0"/>
            </a:rPr>
            <a:t>Summary</a:t>
          </a:r>
          <a:r>
            <a:rPr lang="en-US" sz="1100">
              <a:latin typeface="Comic Sans MS" panose="030F0702030302020204" pitchFamily="66" charset="0"/>
            </a:rPr>
            <a:t> Sheet.</a:t>
          </a:r>
          <a:endParaRPr lang="en-US" sz="1100">
            <a:latin typeface="Comic Sans MS" panose="030F0702030302020204" pitchFamily="66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95250</xdr:colOff>
      <xdr:row>5</xdr:row>
      <xdr:rowOff>57150</xdr:rowOff>
    </xdr:from>
    <xdr:to>
      <xdr:col>17</xdr:col>
      <xdr:colOff>161925</xdr:colOff>
      <xdr:row>6</xdr:row>
      <xdr:rowOff>228600</xdr:rowOff>
    </xdr:to>
    <xdr:sp>
      <xdr:nvSpPr>
        <xdr:cNvPr id="2" name="Rectangle: Rounded Corners 1"/>
        <xdr:cNvSpPr/>
      </xdr:nvSpPr>
      <xdr:spPr>
        <a:xfrm>
          <a:off x="12216765" y="1316355"/>
          <a:ext cx="1339215" cy="42672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Comic Sans MS" panose="030F0702030302020204" pitchFamily="66" charset="0"/>
            </a:rPr>
            <a:t>Clicking</a:t>
          </a:r>
          <a:r>
            <a:rPr lang="en-US" sz="1100" baseline="0">
              <a:latin typeface="Comic Sans MS" panose="030F0702030302020204" pitchFamily="66" charset="0"/>
            </a:rPr>
            <a:t> on </a:t>
          </a:r>
          <a:r>
            <a:rPr lang="en-US" sz="1100" b="1" baseline="0">
              <a:latin typeface="Comic Sans MS" panose="030F0702030302020204" pitchFamily="66" charset="0"/>
            </a:rPr>
            <a:t>Q3</a:t>
          </a:r>
          <a:r>
            <a:rPr lang="en-US" sz="1100">
              <a:latin typeface="Comic Sans MS" panose="030F0702030302020204" pitchFamily="66" charset="0"/>
            </a:rPr>
            <a:t>.</a:t>
          </a:r>
          <a:endParaRPr lang="en-US" sz="1100">
            <a:latin typeface="Comic Sans MS" panose="030F0702030302020204" pitchFamily="66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2124075</xdr:colOff>
      <xdr:row>9</xdr:row>
      <xdr:rowOff>152400</xdr:rowOff>
    </xdr:from>
    <xdr:to>
      <xdr:col>7</xdr:col>
      <xdr:colOff>733425</xdr:colOff>
      <xdr:row>11</xdr:row>
      <xdr:rowOff>114300</xdr:rowOff>
    </xdr:to>
    <xdr:sp>
      <xdr:nvSpPr>
        <xdr:cNvPr id="2" name="Rectangle: Rounded Corners 1"/>
        <xdr:cNvSpPr/>
      </xdr:nvSpPr>
      <xdr:spPr>
        <a:xfrm>
          <a:off x="5748020" y="2655570"/>
          <a:ext cx="3552825" cy="51816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latin typeface="Comic Sans MS" panose="030F0702030302020204" pitchFamily="66" charset="0"/>
            </a:rPr>
            <a:t>Select </a:t>
          </a:r>
          <a:r>
            <a:rPr lang="en-US" sz="1100" b="1">
              <a:latin typeface="Comic Sans MS" panose="030F0702030302020204" pitchFamily="66" charset="0"/>
            </a:rPr>
            <a:t>B5</a:t>
          </a:r>
          <a:r>
            <a:rPr lang="en-US" sz="1100">
              <a:latin typeface="Comic Sans MS" panose="030F0702030302020204" pitchFamily="66" charset="0"/>
            </a:rPr>
            <a:t> and press </a:t>
          </a:r>
          <a:r>
            <a:rPr lang="en-US" sz="1100" b="1">
              <a:latin typeface="Comic Sans MS" panose="030F0702030302020204" pitchFamily="66" charset="0"/>
            </a:rPr>
            <a:t>Ctrl + K </a:t>
          </a:r>
          <a:r>
            <a:rPr lang="en-US" sz="1100">
              <a:latin typeface="Comic Sans MS" panose="030F0702030302020204" pitchFamily="66" charset="0"/>
            </a:rPr>
            <a:t>shortcut keys.</a:t>
          </a:r>
          <a:endParaRPr lang="en-US" sz="1100">
            <a:latin typeface="Comic Sans MS" panose="030F0702030302020204" pitchFamily="66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Excel+LAB+1+Dataset_Dmart.xlsx" TargetMode="External"/><Relationship Id="rId7" Type="http://schemas.openxmlformats.org/officeDocument/2006/relationships/hyperlink" Target="Excel Assignment (Functions).docx" TargetMode="External"/><Relationship Id="rId6" Type="http://schemas.openxmlformats.org/officeDocument/2006/relationships/hyperlink" Target="Excel_Text_Date_Functions - assignment.xlsx" TargetMode="External"/><Relationship Id="rId5" Type="http://schemas.openxmlformats.org/officeDocument/2006/relationships/hyperlink" Target="8.1 Pivot-Table-Final.xlsx" TargetMode="External"/><Relationship Id="rId4" Type="http://schemas.openxmlformats.org/officeDocument/2006/relationships/hyperlink" Target="Basic.xlsx" TargetMode="External"/><Relationship Id="rId3" Type="http://schemas.openxmlformats.org/officeDocument/2006/relationships/hyperlink" Target="4. Linking-in-Excel.xlsx" TargetMode="External"/><Relationship Id="rId2" Type="http://schemas.openxmlformats.org/officeDocument/2006/relationships/hyperlink" Target="5. Lookup.xlsx" TargetMode="External"/><Relationship Id="rId1" Type="http://schemas.openxmlformats.org/officeDocument/2006/relationships/hyperlink" Target="Advanced-Sorting-in-Excel-2.xlsx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hyperlink" Target="Basic.xlsx" TargetMode="Externa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workbookViewId="0">
      <selection activeCell="D5" sqref="D5:D12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16.3363636363636" style="5" customWidth="1"/>
    <col min="6" max="16384" width="15.6636363636364" style="5"/>
  </cols>
  <sheetData>
    <row r="2" customHeight="1" spans="2:11">
      <c r="B2" s="6" t="s">
        <v>0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E4" s="7" t="s">
        <v>5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8" t="s">
        <v>7</v>
      </c>
      <c r="E5" s="11">
        <v>100</v>
      </c>
      <c r="I5" s="8" t="s">
        <v>6</v>
      </c>
      <c r="J5" s="11">
        <v>950</v>
      </c>
      <c r="K5" s="12" t="str" cm="1">
        <f t="array" ref="K5:K12">D5:D12</f>
        <v>Truck</v>
      </c>
    </row>
    <row r="6" customHeight="1" spans="2:11">
      <c r="B6" s="8" t="s">
        <v>8</v>
      </c>
      <c r="C6" s="9">
        <v>800</v>
      </c>
      <c r="D6" s="8" t="s">
        <v>9</v>
      </c>
      <c r="E6" s="11">
        <v>150</v>
      </c>
      <c r="I6" s="8" t="s">
        <v>8</v>
      </c>
      <c r="J6" s="11">
        <v>800</v>
      </c>
      <c r="K6" s="12" t="str">
        <v>Air</v>
      </c>
    </row>
    <row r="7" customHeight="1" spans="2:11">
      <c r="B7" s="8" t="s">
        <v>10</v>
      </c>
      <c r="C7" s="9">
        <v>350</v>
      </c>
      <c r="D7" s="8" t="s">
        <v>11</v>
      </c>
      <c r="E7" s="11">
        <v>50</v>
      </c>
      <c r="I7" s="8" t="s">
        <v>10</v>
      </c>
      <c r="J7" s="11">
        <v>350</v>
      </c>
      <c r="K7" s="12" t="str">
        <v>Rail</v>
      </c>
    </row>
    <row r="8" customHeight="1" spans="2:11">
      <c r="B8" s="8" t="s">
        <v>12</v>
      </c>
      <c r="C8" s="9">
        <v>550</v>
      </c>
      <c r="D8" s="8" t="s">
        <v>7</v>
      </c>
      <c r="E8" s="11">
        <v>100</v>
      </c>
      <c r="I8" s="8" t="s">
        <v>12</v>
      </c>
      <c r="J8" s="11">
        <v>550</v>
      </c>
      <c r="K8" s="12" t="str">
        <v>Truck</v>
      </c>
    </row>
    <row r="9" customHeight="1" spans="2:11">
      <c r="B9" s="8" t="s">
        <v>13</v>
      </c>
      <c r="C9" s="9">
        <v>499</v>
      </c>
      <c r="D9" s="8" t="s">
        <v>14</v>
      </c>
      <c r="E9" s="11">
        <v>80</v>
      </c>
      <c r="I9" s="8" t="s">
        <v>13</v>
      </c>
      <c r="J9" s="11">
        <v>499</v>
      </c>
      <c r="K9" s="12" t="str">
        <v>Ship</v>
      </c>
    </row>
    <row r="10" customHeight="1" spans="2:11">
      <c r="B10" s="8" t="s">
        <v>15</v>
      </c>
      <c r="C10" s="9">
        <v>150</v>
      </c>
      <c r="D10" s="8" t="s">
        <v>14</v>
      </c>
      <c r="E10" s="11">
        <v>80</v>
      </c>
      <c r="I10" s="8" t="s">
        <v>15</v>
      </c>
      <c r="J10" s="11">
        <v>150</v>
      </c>
      <c r="K10" s="12" t="str">
        <v>Ship</v>
      </c>
    </row>
    <row r="11" customHeight="1" spans="2:11">
      <c r="B11" s="8" t="s">
        <v>16</v>
      </c>
      <c r="C11" s="9">
        <v>350</v>
      </c>
      <c r="D11" s="8" t="s">
        <v>11</v>
      </c>
      <c r="E11" s="11">
        <v>50</v>
      </c>
      <c r="I11" s="8" t="s">
        <v>16</v>
      </c>
      <c r="J11" s="11">
        <v>350</v>
      </c>
      <c r="K11" s="12" t="str">
        <v>Rail</v>
      </c>
    </row>
    <row r="12" customHeight="1" spans="2:11">
      <c r="B12" s="8" t="s">
        <v>17</v>
      </c>
      <c r="C12" s="9">
        <v>270</v>
      </c>
      <c r="D12" s="8" t="s">
        <v>9</v>
      </c>
      <c r="E12" s="11">
        <v>150</v>
      </c>
      <c r="I12" s="8" t="s">
        <v>17</v>
      </c>
      <c r="J12" s="11">
        <v>270</v>
      </c>
      <c r="K12" s="12" t="str">
        <v>Air</v>
      </c>
    </row>
    <row r="13" ht="81.75" customHeight="1"/>
    <row r="14" ht="20.1" customHeight="1"/>
  </sheetData>
  <mergeCells count="2">
    <mergeCell ref="B2:D2"/>
    <mergeCell ref="I2:K2"/>
  </mergeCell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C2" workbookViewId="0">
      <selection activeCell="K6" sqref="K6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26.4454545454545" style="5" customWidth="1"/>
    <col min="6" max="16384" width="15.6636363636364" style="5"/>
  </cols>
  <sheetData>
    <row r="2" customHeight="1" spans="2:11">
      <c r="B2" s="6" t="s">
        <v>18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8" t="str">
        <f>Summary!D5</f>
        <v>Truck</v>
      </c>
      <c r="I5" s="8" t="s">
        <v>6</v>
      </c>
      <c r="J5" s="11">
        <v>950</v>
      </c>
      <c r="K5" s="12" t="str" cm="1">
        <f t="array" ref="K5:K12">_xlfn.ANCHORARRAY(Summary!K5)</f>
        <v>Truck</v>
      </c>
    </row>
    <row r="6" customHeight="1" spans="2:11">
      <c r="B6" s="8" t="s">
        <v>8</v>
      </c>
      <c r="C6" s="9">
        <v>800</v>
      </c>
      <c r="D6" s="8" t="str">
        <f>Summary!D6</f>
        <v>Air</v>
      </c>
      <c r="I6" s="8" t="s">
        <v>8</v>
      </c>
      <c r="J6" s="11">
        <v>800</v>
      </c>
      <c r="K6" s="12" t="str">
        <v>Air</v>
      </c>
    </row>
    <row r="7" customHeight="1" spans="2:11">
      <c r="B7" s="8" t="s">
        <v>10</v>
      </c>
      <c r="C7" s="9">
        <v>350</v>
      </c>
      <c r="D7" s="8"/>
      <c r="I7" s="8" t="s">
        <v>10</v>
      </c>
      <c r="J7" s="11">
        <v>350</v>
      </c>
      <c r="K7" s="12" t="str">
        <v>Rail</v>
      </c>
    </row>
    <row r="8" customHeight="1" spans="2:11">
      <c r="B8" s="8" t="s">
        <v>12</v>
      </c>
      <c r="C8" s="9">
        <v>550</v>
      </c>
      <c r="D8" s="8"/>
      <c r="I8" s="8" t="s">
        <v>12</v>
      </c>
      <c r="J8" s="11">
        <v>550</v>
      </c>
      <c r="K8" s="12" t="str">
        <v>Truck</v>
      </c>
    </row>
    <row r="9" customHeight="1" spans="2:11">
      <c r="B9" s="8" t="s">
        <v>13</v>
      </c>
      <c r="C9" s="9">
        <v>499</v>
      </c>
      <c r="D9" s="8"/>
      <c r="I9" s="8" t="s">
        <v>13</v>
      </c>
      <c r="J9" s="11">
        <v>499</v>
      </c>
      <c r="K9" s="12" t="str">
        <v>Ship</v>
      </c>
    </row>
    <row r="10" customHeight="1" spans="2:11">
      <c r="B10" s="8" t="s">
        <v>15</v>
      </c>
      <c r="C10" s="9">
        <v>150</v>
      </c>
      <c r="D10" s="8"/>
      <c r="I10" s="8" t="s">
        <v>15</v>
      </c>
      <c r="J10" s="11">
        <v>150</v>
      </c>
      <c r="K10" s="12" t="str">
        <v>Ship</v>
      </c>
    </row>
    <row r="11" customHeight="1" spans="2:11">
      <c r="B11" s="8" t="s">
        <v>16</v>
      </c>
      <c r="C11" s="9">
        <v>350</v>
      </c>
      <c r="D11" s="8"/>
      <c r="I11" s="8" t="s">
        <v>16</v>
      </c>
      <c r="J11" s="11">
        <v>350</v>
      </c>
      <c r="K11" s="12" t="str">
        <v>Rail</v>
      </c>
    </row>
    <row r="12" customHeight="1" spans="2:11">
      <c r="B12" s="8" t="s">
        <v>17</v>
      </c>
      <c r="C12" s="9">
        <v>270</v>
      </c>
      <c r="D12" s="8"/>
      <c r="I12" s="8" t="s">
        <v>17</v>
      </c>
      <c r="J12" s="11">
        <v>270</v>
      </c>
      <c r="K12" s="12" t="str">
        <v>Air</v>
      </c>
    </row>
    <row r="13" ht="114" customHeight="1"/>
    <row r="14" ht="20.1" customHeight="1"/>
  </sheetData>
  <mergeCells count="2">
    <mergeCell ref="B2:D2"/>
    <mergeCell ref="I2:K2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B1" workbookViewId="0">
      <selection activeCell="D6" sqref="D6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24.4454545454545" style="5" customWidth="1"/>
    <col min="6" max="16384" width="15.6636363636364" style="5"/>
  </cols>
  <sheetData>
    <row r="2" customHeight="1" spans="2:11">
      <c r="B2" s="6" t="s">
        <v>19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8" t="str" cm="1">
        <f t="array" ref="D5:D12">Summary!D5:D12</f>
        <v>Truck</v>
      </c>
      <c r="I5" s="8" t="s">
        <v>6</v>
      </c>
      <c r="J5" s="11">
        <v>950</v>
      </c>
      <c r="K5" s="12" t="str" cm="1">
        <f t="array" ref="K5:K12">Summary!D5:D12</f>
        <v>Truck</v>
      </c>
    </row>
    <row r="6" customHeight="1" spans="2:11">
      <c r="B6" s="8" t="s">
        <v>8</v>
      </c>
      <c r="C6" s="9">
        <v>800</v>
      </c>
      <c r="D6" s="8" t="str">
        <v>Air</v>
      </c>
      <c r="I6" s="8" t="s">
        <v>8</v>
      </c>
      <c r="J6" s="11">
        <v>800</v>
      </c>
      <c r="K6" s="12" t="str">
        <v>Air</v>
      </c>
    </row>
    <row r="7" customHeight="1" spans="2:11">
      <c r="B7" s="8" t="s">
        <v>10</v>
      </c>
      <c r="C7" s="9">
        <v>350</v>
      </c>
      <c r="D7" s="8" t="str">
        <v>Rail</v>
      </c>
      <c r="I7" s="8" t="s">
        <v>10</v>
      </c>
      <c r="J7" s="11">
        <v>350</v>
      </c>
      <c r="K7" s="12" t="str">
        <v>Rail</v>
      </c>
    </row>
    <row r="8" customHeight="1" spans="2:11">
      <c r="B8" s="8" t="s">
        <v>12</v>
      </c>
      <c r="C8" s="9">
        <v>550</v>
      </c>
      <c r="D8" s="8" t="str">
        <v>Truck</v>
      </c>
      <c r="I8" s="8" t="s">
        <v>12</v>
      </c>
      <c r="J8" s="11">
        <v>550</v>
      </c>
      <c r="K8" s="12" t="str">
        <v>Truck</v>
      </c>
    </row>
    <row r="9" customHeight="1" spans="2:11">
      <c r="B9" s="8" t="s">
        <v>13</v>
      </c>
      <c r="C9" s="9">
        <v>499</v>
      </c>
      <c r="D9" s="8" t="str">
        <v>Ship</v>
      </c>
      <c r="I9" s="8" t="s">
        <v>13</v>
      </c>
      <c r="J9" s="11">
        <v>499</v>
      </c>
      <c r="K9" s="12" t="str">
        <v>Ship</v>
      </c>
    </row>
    <row r="10" customHeight="1" spans="2:11">
      <c r="B10" s="8" t="s">
        <v>15</v>
      </c>
      <c r="C10" s="9">
        <v>150</v>
      </c>
      <c r="D10" s="8" t="str">
        <v>Ship</v>
      </c>
      <c r="I10" s="8" t="s">
        <v>15</v>
      </c>
      <c r="J10" s="11">
        <v>150</v>
      </c>
      <c r="K10" s="12" t="str">
        <v>Ship</v>
      </c>
    </row>
    <row r="11" customHeight="1" spans="2:11">
      <c r="B11" s="8" t="s">
        <v>16</v>
      </c>
      <c r="C11" s="9">
        <v>350</v>
      </c>
      <c r="D11" s="8" t="str">
        <v>Rail</v>
      </c>
      <c r="I11" s="8" t="s">
        <v>16</v>
      </c>
      <c r="J11" s="11">
        <v>350</v>
      </c>
      <c r="K11" s="12" t="str">
        <v>Rail</v>
      </c>
    </row>
    <row r="12" customHeight="1" spans="2:11">
      <c r="B12" s="8" t="s">
        <v>17</v>
      </c>
      <c r="C12" s="9">
        <v>270</v>
      </c>
      <c r="D12" s="8" t="str">
        <v>Air</v>
      </c>
      <c r="I12" s="8" t="s">
        <v>17</v>
      </c>
      <c r="J12" s="11">
        <v>270</v>
      </c>
      <c r="K12" s="12" t="str">
        <v>Air</v>
      </c>
    </row>
    <row r="13" ht="114" customHeight="1"/>
    <row r="14" ht="20.1" customHeight="1"/>
  </sheetData>
  <mergeCells count="2">
    <mergeCell ref="B2:D2"/>
    <mergeCell ref="I2:K2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B1" workbookViewId="0">
      <selection activeCell="D5" sqref="D5:D12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25.5545454545455" style="5" customWidth="1"/>
    <col min="6" max="16384" width="15.6636363636364" style="5"/>
  </cols>
  <sheetData>
    <row r="2" customHeight="1" spans="2:11">
      <c r="B2" s="6" t="s">
        <v>20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8" t="str">
        <f>Summary!D5</f>
        <v>Truck</v>
      </c>
      <c r="I5" s="8" t="s">
        <v>6</v>
      </c>
      <c r="J5" s="11">
        <v>950</v>
      </c>
      <c r="K5" s="12" t="str">
        <f>Summary!D5</f>
        <v>Truck</v>
      </c>
    </row>
    <row r="6" customHeight="1" spans="2:11">
      <c r="B6" s="8" t="s">
        <v>8</v>
      </c>
      <c r="C6" s="9">
        <v>800</v>
      </c>
      <c r="D6" s="8" t="str">
        <f>Summary!D6</f>
        <v>Air</v>
      </c>
      <c r="I6" s="8" t="s">
        <v>8</v>
      </c>
      <c r="J6" s="11">
        <v>800</v>
      </c>
      <c r="K6" s="12" t="str">
        <f>Summary!D6</f>
        <v>Air</v>
      </c>
    </row>
    <row r="7" customHeight="1" spans="2:11">
      <c r="B7" s="8" t="s">
        <v>10</v>
      </c>
      <c r="C7" s="9">
        <v>350</v>
      </c>
      <c r="D7" s="8" t="str">
        <f>Summary!D7</f>
        <v>Rail</v>
      </c>
      <c r="I7" s="8" t="s">
        <v>10</v>
      </c>
      <c r="J7" s="11">
        <v>350</v>
      </c>
      <c r="K7" s="12" t="str">
        <f>Summary!D7</f>
        <v>Rail</v>
      </c>
    </row>
    <row r="8" customHeight="1" spans="2:11">
      <c r="B8" s="8" t="s">
        <v>12</v>
      </c>
      <c r="C8" s="9">
        <v>550</v>
      </c>
      <c r="D8" s="8" t="str">
        <f>Summary!D8</f>
        <v>Truck</v>
      </c>
      <c r="I8" s="8" t="s">
        <v>12</v>
      </c>
      <c r="J8" s="11">
        <v>550</v>
      </c>
      <c r="K8" s="12" t="str">
        <f>Summary!D8</f>
        <v>Truck</v>
      </c>
    </row>
    <row r="9" customHeight="1" spans="2:11">
      <c r="B9" s="8" t="s">
        <v>13</v>
      </c>
      <c r="C9" s="9">
        <v>499</v>
      </c>
      <c r="D9" s="8" t="str">
        <f>Summary!D9</f>
        <v>Ship</v>
      </c>
      <c r="I9" s="8" t="s">
        <v>13</v>
      </c>
      <c r="J9" s="11">
        <v>499</v>
      </c>
      <c r="K9" s="12" t="str">
        <f>Summary!D9</f>
        <v>Ship</v>
      </c>
    </row>
    <row r="10" customHeight="1" spans="2:11">
      <c r="B10" s="8" t="s">
        <v>15</v>
      </c>
      <c r="C10" s="9">
        <v>150</v>
      </c>
      <c r="D10" s="8" t="str">
        <f>Summary!D10</f>
        <v>Ship</v>
      </c>
      <c r="I10" s="8" t="s">
        <v>15</v>
      </c>
      <c r="J10" s="11">
        <v>150</v>
      </c>
      <c r="K10" s="12" t="str">
        <f>Summary!D10</f>
        <v>Ship</v>
      </c>
    </row>
    <row r="11" customHeight="1" spans="2:11">
      <c r="B11" s="8" t="s">
        <v>16</v>
      </c>
      <c r="C11" s="9">
        <v>350</v>
      </c>
      <c r="D11" s="8" t="str">
        <f>Summary!D11</f>
        <v>Rail</v>
      </c>
      <c r="I11" s="8" t="s">
        <v>16</v>
      </c>
      <c r="J11" s="11">
        <v>350</v>
      </c>
      <c r="K11" s="12" t="str">
        <f>Summary!D11</f>
        <v>Rail</v>
      </c>
    </row>
    <row r="12" customHeight="1" spans="2:11">
      <c r="B12" s="8" t="s">
        <v>17</v>
      </c>
      <c r="C12" s="9">
        <v>270</v>
      </c>
      <c r="D12" s="8" t="str">
        <f>Summary!D12</f>
        <v>Air</v>
      </c>
      <c r="I12" s="8" t="s">
        <v>17</v>
      </c>
      <c r="J12" s="11">
        <v>270</v>
      </c>
      <c r="K12" s="12" t="str">
        <f>Summary!D12</f>
        <v>Air</v>
      </c>
    </row>
    <row r="14" ht="20.1" customHeight="1"/>
  </sheetData>
  <mergeCells count="2">
    <mergeCell ref="B2:D2"/>
    <mergeCell ref="I2:K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C1" workbookViewId="0">
      <selection activeCell="E5" sqref="E5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25.4454545454545" style="5" customWidth="1"/>
    <col min="6" max="16384" width="15.6636363636364" style="5"/>
  </cols>
  <sheetData>
    <row r="2" customHeight="1" spans="2:11">
      <c r="B2" s="6" t="s">
        <v>21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8" t="str" cm="1">
        <f t="array" ref="D5:D12">suraj</f>
        <v>Truck</v>
      </c>
      <c r="I5" s="8" t="s">
        <v>6</v>
      </c>
      <c r="J5" s="11">
        <v>950</v>
      </c>
      <c r="K5" s="12" t="str" cm="1">
        <f t="array" ref="K5:K12">suraj</f>
        <v>Truck</v>
      </c>
    </row>
    <row r="6" customHeight="1" spans="2:11">
      <c r="B6" s="8" t="s">
        <v>8</v>
      </c>
      <c r="C6" s="9">
        <v>800</v>
      </c>
      <c r="D6" s="8" t="str">
        <v>Air</v>
      </c>
      <c r="I6" s="8" t="s">
        <v>8</v>
      </c>
      <c r="J6" s="11">
        <v>800</v>
      </c>
      <c r="K6" s="12" t="str">
        <v>Air</v>
      </c>
    </row>
    <row r="7" customHeight="1" spans="2:11">
      <c r="B7" s="8" t="s">
        <v>10</v>
      </c>
      <c r="C7" s="9">
        <v>350</v>
      </c>
      <c r="D7" s="8" t="str">
        <v>Rail</v>
      </c>
      <c r="I7" s="8" t="s">
        <v>10</v>
      </c>
      <c r="J7" s="11">
        <v>350</v>
      </c>
      <c r="K7" s="12" t="str">
        <v>Rail</v>
      </c>
    </row>
    <row r="8" customHeight="1" spans="2:11">
      <c r="B8" s="8" t="s">
        <v>12</v>
      </c>
      <c r="C8" s="9">
        <v>550</v>
      </c>
      <c r="D8" s="8" t="str">
        <v>Truck</v>
      </c>
      <c r="I8" s="8" t="s">
        <v>12</v>
      </c>
      <c r="J8" s="11">
        <v>550</v>
      </c>
      <c r="K8" s="12" t="str">
        <v>Truck</v>
      </c>
    </row>
    <row r="9" customHeight="1" spans="2:11">
      <c r="B9" s="8" t="s">
        <v>13</v>
      </c>
      <c r="C9" s="9">
        <v>499</v>
      </c>
      <c r="D9" s="8" t="str">
        <v>Ship</v>
      </c>
      <c r="I9" s="8" t="s">
        <v>13</v>
      </c>
      <c r="J9" s="11">
        <v>499</v>
      </c>
      <c r="K9" s="12" t="str">
        <v>Ship</v>
      </c>
    </row>
    <row r="10" customHeight="1" spans="2:11">
      <c r="B10" s="8" t="s">
        <v>15</v>
      </c>
      <c r="C10" s="9">
        <v>150</v>
      </c>
      <c r="D10" s="8" t="str">
        <v>Ship</v>
      </c>
      <c r="I10" s="8" t="s">
        <v>15</v>
      </c>
      <c r="J10" s="11">
        <v>150</v>
      </c>
      <c r="K10" s="12" t="str">
        <v>Ship</v>
      </c>
    </row>
    <row r="11" customHeight="1" spans="2:11">
      <c r="B11" s="8" t="s">
        <v>16</v>
      </c>
      <c r="C11" s="9">
        <v>350</v>
      </c>
      <c r="D11" s="8" t="str">
        <v>Rail</v>
      </c>
      <c r="I11" s="8" t="s">
        <v>16</v>
      </c>
      <c r="J11" s="11">
        <v>350</v>
      </c>
      <c r="K11" s="12" t="str">
        <v>Rail</v>
      </c>
    </row>
    <row r="12" customHeight="1" spans="2:11">
      <c r="B12" s="8" t="s">
        <v>17</v>
      </c>
      <c r="C12" s="9">
        <v>270</v>
      </c>
      <c r="D12" s="8" t="str">
        <v>Air</v>
      </c>
      <c r="I12" s="8" t="s">
        <v>17</v>
      </c>
      <c r="J12" s="11">
        <v>270</v>
      </c>
      <c r="K12" s="12" t="str">
        <v>Air</v>
      </c>
    </row>
    <row r="13" ht="75" customHeight="1"/>
    <row r="14" ht="20.1" customHeight="1"/>
  </sheetData>
  <mergeCells count="2">
    <mergeCell ref="B2:D2"/>
    <mergeCell ref="I2:K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C1" workbookViewId="0">
      <selection activeCell="K6" sqref="K6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6.3363636363636" style="5" customWidth="1"/>
    <col min="4" max="4" width="18.1090909090909" style="5" customWidth="1"/>
    <col min="5" max="5" width="18.5545454545455" style="5" customWidth="1"/>
    <col min="6" max="16384" width="15.6636363636364" style="5"/>
  </cols>
  <sheetData>
    <row r="2" customHeight="1" spans="2:11">
      <c r="B2" s="6" t="s">
        <v>22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23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f>Summary!C5+Summary!E5</f>
        <v>1050</v>
      </c>
      <c r="D5" s="8" t="s">
        <v>7</v>
      </c>
      <c r="I5" s="8" t="s">
        <v>6</v>
      </c>
      <c r="J5" s="11">
        <v>950</v>
      </c>
      <c r="K5" s="38" t="str" cm="1">
        <f t="array" ref="K5:K12">D5:D12</f>
        <v>Truck</v>
      </c>
    </row>
    <row r="6" customHeight="1" spans="2:11">
      <c r="B6" s="8" t="s">
        <v>8</v>
      </c>
      <c r="C6" s="9">
        <f>Summary!C6+Summary!E6</f>
        <v>950</v>
      </c>
      <c r="D6" s="8" t="s">
        <v>9</v>
      </c>
      <c r="I6" s="8" t="s">
        <v>8</v>
      </c>
      <c r="J6" s="11">
        <v>800</v>
      </c>
      <c r="K6" s="38" t="str">
        <v>Air</v>
      </c>
    </row>
    <row r="7" customHeight="1" spans="2:11">
      <c r="B7" s="8" t="s">
        <v>10</v>
      </c>
      <c r="C7" s="9">
        <f>Summary!C7+Summary!E7</f>
        <v>400</v>
      </c>
      <c r="D7" s="8" t="s">
        <v>11</v>
      </c>
      <c r="I7" s="8" t="s">
        <v>10</v>
      </c>
      <c r="J7" s="11">
        <v>350</v>
      </c>
      <c r="K7" s="38" t="str">
        <v>Rail</v>
      </c>
    </row>
    <row r="8" customHeight="1" spans="2:11">
      <c r="B8" s="8" t="s">
        <v>12</v>
      </c>
      <c r="C8" s="9">
        <f>Summary!C8+Summary!E8</f>
        <v>650</v>
      </c>
      <c r="D8" s="8" t="s">
        <v>7</v>
      </c>
      <c r="I8" s="8" t="s">
        <v>12</v>
      </c>
      <c r="J8" s="11">
        <v>550</v>
      </c>
      <c r="K8" s="38" t="str">
        <v>Truck</v>
      </c>
    </row>
    <row r="9" customHeight="1" spans="2:11">
      <c r="B9" s="8" t="s">
        <v>13</v>
      </c>
      <c r="C9" s="9">
        <f>Summary!C9+Summary!E9</f>
        <v>579</v>
      </c>
      <c r="D9" s="8" t="s">
        <v>14</v>
      </c>
      <c r="I9" s="8" t="s">
        <v>13</v>
      </c>
      <c r="J9" s="11">
        <v>499</v>
      </c>
      <c r="K9" s="38" t="str">
        <v>Ship</v>
      </c>
    </row>
    <row r="10" customHeight="1" spans="2:11">
      <c r="B10" s="8" t="s">
        <v>15</v>
      </c>
      <c r="C10" s="9">
        <f>Summary!C10+Summary!E10</f>
        <v>230</v>
      </c>
      <c r="D10" s="8" t="s">
        <v>14</v>
      </c>
      <c r="I10" s="8" t="s">
        <v>15</v>
      </c>
      <c r="J10" s="11">
        <v>150</v>
      </c>
      <c r="K10" s="38" t="str">
        <v>Ship</v>
      </c>
    </row>
    <row r="11" customHeight="1" spans="2:11">
      <c r="B11" s="8" t="s">
        <v>16</v>
      </c>
      <c r="C11" s="9">
        <f>Summary!C11+Summary!E11</f>
        <v>400</v>
      </c>
      <c r="D11" s="8" t="s">
        <v>11</v>
      </c>
      <c r="I11" s="8" t="s">
        <v>16</v>
      </c>
      <c r="J11" s="11">
        <v>350</v>
      </c>
      <c r="K11" s="38" t="str">
        <v>Rail</v>
      </c>
    </row>
    <row r="12" customHeight="1" spans="2:11">
      <c r="B12" s="8" t="s">
        <v>17</v>
      </c>
      <c r="C12" s="9">
        <f>Summary!C12+Summary!E12</f>
        <v>420</v>
      </c>
      <c r="D12" s="8" t="s">
        <v>9</v>
      </c>
      <c r="I12" s="8" t="s">
        <v>17</v>
      </c>
      <c r="J12" s="11">
        <v>270</v>
      </c>
      <c r="K12" s="38" t="str">
        <v>Air</v>
      </c>
    </row>
    <row r="13" ht="41.25" customHeight="1"/>
    <row r="14" ht="20.1" customHeight="1"/>
  </sheetData>
  <mergeCells count="2">
    <mergeCell ref="B2:D2"/>
    <mergeCell ref="I2:K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C1" workbookViewId="0">
      <selection activeCell="K5" sqref="K5:K12"/>
    </sheetView>
  </sheetViews>
  <sheetFormatPr defaultColWidth="15.6636363636364" defaultRowHeight="18" customHeight="1"/>
  <cols>
    <col min="1" max="1" width="5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32" style="5" customWidth="1"/>
    <col min="6" max="16384" width="15.6636363636364" style="5"/>
  </cols>
  <sheetData>
    <row r="2" customHeight="1" spans="2:11">
      <c r="B2" s="6" t="s">
        <v>24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f>Summary!C5+Summary!E5</f>
        <v>1050</v>
      </c>
      <c r="D5" s="8" t="s">
        <v>7</v>
      </c>
      <c r="I5" s="8" t="s">
        <v>6</v>
      </c>
      <c r="J5" s="11">
        <v>950</v>
      </c>
      <c r="K5" s="30">
        <f>Summary!C5+Summary!E5</f>
        <v>1050</v>
      </c>
    </row>
    <row r="6" customHeight="1" spans="2:11">
      <c r="B6" s="8" t="s">
        <v>8</v>
      </c>
      <c r="C6" s="9">
        <f>Summary!C6+Summary!E6</f>
        <v>950</v>
      </c>
      <c r="D6" s="8" t="s">
        <v>9</v>
      </c>
      <c r="I6" s="8" t="s">
        <v>8</v>
      </c>
      <c r="J6" s="11">
        <v>800</v>
      </c>
      <c r="K6" s="30">
        <f>Summary!C6+Summary!E6</f>
        <v>950</v>
      </c>
    </row>
    <row r="7" customHeight="1" spans="2:11">
      <c r="B7" s="8" t="s">
        <v>10</v>
      </c>
      <c r="C7" s="9">
        <f>Summary!C7+Summary!E7</f>
        <v>400</v>
      </c>
      <c r="D7" s="8" t="s">
        <v>11</v>
      </c>
      <c r="I7" s="8" t="s">
        <v>10</v>
      </c>
      <c r="J7" s="11">
        <v>350</v>
      </c>
      <c r="K7" s="30">
        <f>Summary!C7+Summary!E7</f>
        <v>400</v>
      </c>
    </row>
    <row r="8" customHeight="1" spans="2:11">
      <c r="B8" s="8" t="s">
        <v>12</v>
      </c>
      <c r="C8" s="9">
        <f>Summary!C8+Summary!E8</f>
        <v>650</v>
      </c>
      <c r="D8" s="8" t="s">
        <v>7</v>
      </c>
      <c r="I8" s="8" t="s">
        <v>12</v>
      </c>
      <c r="J8" s="11">
        <v>550</v>
      </c>
      <c r="K8" s="30">
        <f>Summary!C8+Summary!E8</f>
        <v>650</v>
      </c>
    </row>
    <row r="9" customHeight="1" spans="2:11">
      <c r="B9" s="8" t="s">
        <v>13</v>
      </c>
      <c r="C9" s="9">
        <f>Summary!C9+Summary!E9</f>
        <v>579</v>
      </c>
      <c r="D9" s="8" t="s">
        <v>14</v>
      </c>
      <c r="I9" s="8" t="s">
        <v>13</v>
      </c>
      <c r="J9" s="11">
        <v>499</v>
      </c>
      <c r="K9" s="30">
        <f>Summary!C9+Summary!E9</f>
        <v>579</v>
      </c>
    </row>
    <row r="10" customHeight="1" spans="2:11">
      <c r="B10" s="8" t="s">
        <v>15</v>
      </c>
      <c r="C10" s="9">
        <f>Summary!C10+Summary!E10</f>
        <v>230</v>
      </c>
      <c r="D10" s="8" t="s">
        <v>14</v>
      </c>
      <c r="I10" s="8" t="s">
        <v>15</v>
      </c>
      <c r="J10" s="11">
        <v>150</v>
      </c>
      <c r="K10" s="30">
        <f>Summary!C10+Summary!E10</f>
        <v>230</v>
      </c>
    </row>
    <row r="11" customHeight="1" spans="2:11">
      <c r="B11" s="8" t="s">
        <v>16</v>
      </c>
      <c r="C11" s="9">
        <f>Summary!C11+Summary!E11</f>
        <v>400</v>
      </c>
      <c r="D11" s="8" t="s">
        <v>11</v>
      </c>
      <c r="I11" s="8" t="s">
        <v>16</v>
      </c>
      <c r="J11" s="11">
        <v>350</v>
      </c>
      <c r="K11" s="30">
        <f>Summary!C11+Summary!E11</f>
        <v>400</v>
      </c>
    </row>
    <row r="12" customHeight="1" spans="2:11">
      <c r="B12" s="8" t="s">
        <v>17</v>
      </c>
      <c r="C12" s="9">
        <f>Summary!C12+Summary!E12</f>
        <v>420</v>
      </c>
      <c r="D12" s="8" t="s">
        <v>9</v>
      </c>
      <c r="I12" s="8" t="s">
        <v>17</v>
      </c>
      <c r="J12" s="11">
        <v>270</v>
      </c>
      <c r="K12" s="30">
        <f>Summary!C12+Summary!E12</f>
        <v>420</v>
      </c>
    </row>
    <row r="13" ht="45.75" customHeight="1"/>
    <row r="14" ht="20.1" customHeight="1"/>
  </sheetData>
  <mergeCells count="2">
    <mergeCell ref="B2:D2"/>
    <mergeCell ref="I2:K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9"/>
  <sheetViews>
    <sheetView showGridLines="0" workbookViewId="0">
      <selection activeCell="C8" sqref="C8"/>
    </sheetView>
  </sheetViews>
  <sheetFormatPr defaultColWidth="9.10909090909091" defaultRowHeight="20.1" customHeight="1" outlineLevelCol="2"/>
  <cols>
    <col min="1" max="1" width="4.44545454545455" style="5" customWidth="1"/>
    <col min="2" max="3" width="17.4454545454545" style="5" customWidth="1"/>
    <col min="4" max="4" width="34" style="5" customWidth="1"/>
    <col min="5" max="16384" width="9.10909090909091" style="5"/>
  </cols>
  <sheetData>
    <row r="1" ht="18.75" customHeight="1"/>
    <row r="2" s="34" customFormat="1" customHeight="1" spans="2:3">
      <c r="B2" s="35" t="s">
        <v>25</v>
      </c>
      <c r="C2" s="35"/>
    </row>
    <row r="3" customFormat="1" customHeight="1"/>
    <row r="4" s="34" customFormat="1" customHeight="1" spans="2:3">
      <c r="B4" s="7" t="s">
        <v>26</v>
      </c>
      <c r="C4" s="7" t="s">
        <v>27</v>
      </c>
    </row>
    <row r="5" customHeight="1" spans="2:3">
      <c r="B5" s="19" t="s">
        <v>28</v>
      </c>
      <c r="C5" s="39" t="s">
        <v>29</v>
      </c>
    </row>
    <row r="6" customHeight="1" spans="2:3">
      <c r="B6" s="19" t="s">
        <v>30</v>
      </c>
      <c r="C6" s="39" t="s">
        <v>31</v>
      </c>
    </row>
    <row r="7" customHeight="1" spans="2:3">
      <c r="B7" s="19" t="s">
        <v>32</v>
      </c>
      <c r="C7" s="39" t="s">
        <v>33</v>
      </c>
    </row>
    <row r="8" customHeight="1" spans="2:3">
      <c r="B8" s="19" t="s">
        <v>34</v>
      </c>
      <c r="C8" s="40" t="s">
        <v>35</v>
      </c>
    </row>
    <row r="9" ht="81.75" customHeight="1"/>
  </sheetData>
  <mergeCells count="1">
    <mergeCell ref="B2:C2"/>
  </mergeCells>
  <hyperlinks>
    <hyperlink ref="C5" location="'Quarter 1'!A1" display="Quarter 1'!A1"/>
    <hyperlink ref="C6" location="'Quarter 2'!A1" display="Quarter 2'!A1"/>
    <hyperlink ref="C7" location="'Quarter 3'!A1" display="Quarter 3'!A1"/>
    <hyperlink ref="C8" location="'Quarter 4'!A1" display="Quarter 4'!A1"/>
  </hyperlink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showGridLines="0" workbookViewId="0">
      <selection activeCell="C11" sqref="C11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11.6636363636364" style="5" customWidth="1"/>
    <col min="6" max="16384" width="15.6636363636364" style="5"/>
  </cols>
  <sheetData>
    <row r="2" customHeight="1" spans="2:11">
      <c r="B2" s="6" t="s">
        <v>36</v>
      </c>
      <c r="C2" s="6"/>
      <c r="D2" s="6"/>
      <c r="I2" s="6" t="s">
        <v>37</v>
      </c>
      <c r="J2" s="6"/>
      <c r="K2" s="6"/>
    </row>
    <row r="4" s="4" customFormat="1" customHeight="1" spans="2:11">
      <c r="B4" s="7" t="s">
        <v>38</v>
      </c>
      <c r="C4" s="7" t="s">
        <v>39</v>
      </c>
      <c r="D4" s="7" t="s">
        <v>40</v>
      </c>
      <c r="I4" s="7" t="s">
        <v>38</v>
      </c>
      <c r="J4" s="7" t="s">
        <v>39</v>
      </c>
      <c r="K4" s="7" t="s">
        <v>40</v>
      </c>
    </row>
    <row r="5" customHeight="1" spans="2:11">
      <c r="B5" s="8" t="s">
        <v>41</v>
      </c>
      <c r="C5" s="8" t="s">
        <v>42</v>
      </c>
      <c r="D5" s="30">
        <v>61371</v>
      </c>
      <c r="I5" s="8" t="s">
        <v>41</v>
      </c>
      <c r="J5" s="8" t="s">
        <v>42</v>
      </c>
      <c r="K5" s="30">
        <v>61371</v>
      </c>
    </row>
    <row r="6" customHeight="1" spans="2:11">
      <c r="B6" s="8" t="s">
        <v>43</v>
      </c>
      <c r="C6" s="8" t="s">
        <v>44</v>
      </c>
      <c r="D6" s="30">
        <v>72568</v>
      </c>
      <c r="I6" s="8" t="s">
        <v>43</v>
      </c>
      <c r="J6" s="8" t="s">
        <v>44</v>
      </c>
      <c r="K6" s="30">
        <v>72568</v>
      </c>
    </row>
    <row r="7" customHeight="1" spans="2:11">
      <c r="B7" s="8" t="s">
        <v>45</v>
      </c>
      <c r="C7" s="8" t="s">
        <v>46</v>
      </c>
      <c r="D7" s="30">
        <v>60068</v>
      </c>
      <c r="I7" s="8" t="s">
        <v>45</v>
      </c>
      <c r="J7" s="8" t="s">
        <v>46</v>
      </c>
      <c r="K7" s="30">
        <v>60068</v>
      </c>
    </row>
    <row r="8" customHeight="1" spans="2:11">
      <c r="B8" s="8" t="s">
        <v>47</v>
      </c>
      <c r="C8" s="8" t="s">
        <v>48</v>
      </c>
      <c r="D8" s="30">
        <v>50424</v>
      </c>
      <c r="I8" s="8" t="s">
        <v>47</v>
      </c>
      <c r="J8" s="8" t="s">
        <v>48</v>
      </c>
      <c r="K8" s="30">
        <v>50424</v>
      </c>
    </row>
    <row r="9" customHeight="1" spans="2:11">
      <c r="B9" s="8" t="s">
        <v>49</v>
      </c>
      <c r="C9" s="8" t="s">
        <v>42</v>
      </c>
      <c r="D9" s="30">
        <v>59485</v>
      </c>
      <c r="I9" s="8" t="s">
        <v>49</v>
      </c>
      <c r="J9" s="8" t="s">
        <v>42</v>
      </c>
      <c r="K9" s="30">
        <v>59485</v>
      </c>
    </row>
    <row r="10" customHeight="1" spans="2:11">
      <c r="B10" s="8" t="s">
        <v>50</v>
      </c>
      <c r="C10" s="8" t="s">
        <v>44</v>
      </c>
      <c r="D10" s="30">
        <v>70416</v>
      </c>
      <c r="I10" s="8" t="s">
        <v>50</v>
      </c>
      <c r="J10" s="8" t="s">
        <v>44</v>
      </c>
      <c r="K10" s="30">
        <v>70416</v>
      </c>
    </row>
    <row r="11" customHeight="1" spans="2:11">
      <c r="B11" s="8" t="s">
        <v>51</v>
      </c>
      <c r="C11" s="8" t="s">
        <v>46</v>
      </c>
      <c r="D11" s="30">
        <v>77187</v>
      </c>
      <c r="I11" s="8" t="s">
        <v>51</v>
      </c>
      <c r="J11" s="8" t="s">
        <v>46</v>
      </c>
      <c r="K11" s="30">
        <v>77187</v>
      </c>
    </row>
    <row r="12" customHeight="1" spans="2:11">
      <c r="B12" s="8" t="s">
        <v>52</v>
      </c>
      <c r="C12" s="8" t="s">
        <v>48</v>
      </c>
      <c r="D12" s="30">
        <v>61602</v>
      </c>
      <c r="I12" s="8" t="s">
        <v>52</v>
      </c>
      <c r="J12" s="8" t="s">
        <v>48</v>
      </c>
      <c r="K12" s="30">
        <v>61602</v>
      </c>
    </row>
    <row r="13" customHeight="1" spans="2:11">
      <c r="B13" s="8" t="s">
        <v>50</v>
      </c>
      <c r="C13" s="8" t="s">
        <v>42</v>
      </c>
      <c r="D13" s="30">
        <v>58911</v>
      </c>
      <c r="I13" s="8" t="s">
        <v>50</v>
      </c>
      <c r="J13" s="8" t="s">
        <v>42</v>
      </c>
      <c r="K13" s="30">
        <v>58911</v>
      </c>
    </row>
    <row r="14" ht="20.1" customHeight="1" spans="2:11">
      <c r="B14" s="8" t="s">
        <v>53</v>
      </c>
      <c r="C14" s="8" t="s">
        <v>44</v>
      </c>
      <c r="D14" s="30">
        <v>78408</v>
      </c>
      <c r="I14" s="8" t="s">
        <v>53</v>
      </c>
      <c r="J14" s="8" t="s">
        <v>44</v>
      </c>
      <c r="K14" s="30">
        <v>78408</v>
      </c>
    </row>
    <row r="15" ht="20.1" customHeight="1"/>
    <row r="16" customHeight="1" spans="2:11">
      <c r="B16" s="31" t="s">
        <v>54</v>
      </c>
      <c r="C16" s="32"/>
      <c r="D16" s="33">
        <f>SUM(D5:D14)</f>
        <v>650440</v>
      </c>
      <c r="I16" s="31" t="s">
        <v>54</v>
      </c>
      <c r="J16" s="32"/>
      <c r="K16" s="33">
        <f>SUM(K5:K14)</f>
        <v>650440</v>
      </c>
    </row>
  </sheetData>
  <mergeCells count="4">
    <mergeCell ref="B2:D2"/>
    <mergeCell ref="I2:K2"/>
    <mergeCell ref="B16:C16"/>
    <mergeCell ref="I16:J16"/>
  </mergeCells>
  <pageMargins left="0.7" right="0.7" top="0.75" bottom="0.75" header="0.3" footer="0.3"/>
  <pageSetup paperSize="1" orientation="portrait" horizontalDpi="360" verticalDpi="36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showGridLines="0" workbookViewId="0">
      <selection activeCell="A1" sqref="A1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11.6636363636364" style="5" customWidth="1"/>
    <col min="6" max="16384" width="15.6636363636364" style="5"/>
  </cols>
  <sheetData>
    <row r="2" customHeight="1" spans="2:11">
      <c r="B2" s="6" t="s">
        <v>55</v>
      </c>
      <c r="C2" s="6"/>
      <c r="D2" s="6"/>
      <c r="I2" s="6" t="s">
        <v>37</v>
      </c>
      <c r="J2" s="6"/>
      <c r="K2" s="6"/>
    </row>
    <row r="4" s="4" customFormat="1" customHeight="1" spans="2:11">
      <c r="B4" s="7" t="s">
        <v>38</v>
      </c>
      <c r="C4" s="7" t="s">
        <v>39</v>
      </c>
      <c r="D4" s="7" t="s">
        <v>40</v>
      </c>
      <c r="I4" s="7" t="s">
        <v>38</v>
      </c>
      <c r="J4" s="7" t="s">
        <v>39</v>
      </c>
      <c r="K4" s="7" t="s">
        <v>40</v>
      </c>
    </row>
    <row r="5" customHeight="1" spans="2:11">
      <c r="B5" s="8" t="s">
        <v>41</v>
      </c>
      <c r="C5" s="8" t="s">
        <v>42</v>
      </c>
      <c r="D5" s="30">
        <v>50000</v>
      </c>
      <c r="I5" s="8" t="s">
        <v>41</v>
      </c>
      <c r="J5" s="8" t="s">
        <v>42</v>
      </c>
      <c r="K5" s="30">
        <v>61371</v>
      </c>
    </row>
    <row r="6" customHeight="1" spans="2:11">
      <c r="B6" s="8" t="s">
        <v>43</v>
      </c>
      <c r="C6" s="8" t="s">
        <v>44</v>
      </c>
      <c r="D6" s="30">
        <v>30000</v>
      </c>
      <c r="I6" s="8" t="s">
        <v>43</v>
      </c>
      <c r="J6" s="8" t="s">
        <v>44</v>
      </c>
      <c r="K6" s="30">
        <v>72568</v>
      </c>
    </row>
    <row r="7" customHeight="1" spans="2:11">
      <c r="B7" s="8" t="s">
        <v>45</v>
      </c>
      <c r="C7" s="8" t="s">
        <v>46</v>
      </c>
      <c r="D7" s="30">
        <v>60068</v>
      </c>
      <c r="I7" s="8" t="s">
        <v>45</v>
      </c>
      <c r="J7" s="8" t="s">
        <v>46</v>
      </c>
      <c r="K7" s="30">
        <v>60068</v>
      </c>
    </row>
    <row r="8" customHeight="1" spans="2:11">
      <c r="B8" s="8" t="s">
        <v>47</v>
      </c>
      <c r="C8" s="8" t="s">
        <v>48</v>
      </c>
      <c r="D8" s="30">
        <v>50424</v>
      </c>
      <c r="I8" s="8" t="s">
        <v>47</v>
      </c>
      <c r="J8" s="8" t="s">
        <v>48</v>
      </c>
      <c r="K8" s="30">
        <v>50424</v>
      </c>
    </row>
    <row r="9" customHeight="1" spans="2:11">
      <c r="B9" s="8" t="s">
        <v>49</v>
      </c>
      <c r="C9" s="8" t="s">
        <v>42</v>
      </c>
      <c r="D9" s="30">
        <v>59485</v>
      </c>
      <c r="I9" s="8" t="s">
        <v>49</v>
      </c>
      <c r="J9" s="8" t="s">
        <v>42</v>
      </c>
      <c r="K9" s="30">
        <v>59485</v>
      </c>
    </row>
    <row r="10" customHeight="1" spans="2:11">
      <c r="B10" s="8" t="s">
        <v>50</v>
      </c>
      <c r="C10" s="8" t="s">
        <v>44</v>
      </c>
      <c r="D10" s="30">
        <v>70416</v>
      </c>
      <c r="I10" s="8" t="s">
        <v>50</v>
      </c>
      <c r="J10" s="8" t="s">
        <v>44</v>
      </c>
      <c r="K10" s="30">
        <v>70416</v>
      </c>
    </row>
    <row r="11" customHeight="1" spans="2:11">
      <c r="B11" s="8" t="s">
        <v>51</v>
      </c>
      <c r="C11" s="8" t="s">
        <v>46</v>
      </c>
      <c r="D11" s="30">
        <v>77187</v>
      </c>
      <c r="I11" s="8" t="s">
        <v>51</v>
      </c>
      <c r="J11" s="8" t="s">
        <v>46</v>
      </c>
      <c r="K11" s="30">
        <v>77187</v>
      </c>
    </row>
    <row r="12" customHeight="1" spans="2:11">
      <c r="B12" s="8" t="s">
        <v>52</v>
      </c>
      <c r="C12" s="8" t="s">
        <v>48</v>
      </c>
      <c r="D12" s="30">
        <v>61602</v>
      </c>
      <c r="I12" s="8" t="s">
        <v>52</v>
      </c>
      <c r="J12" s="8" t="s">
        <v>48</v>
      </c>
      <c r="K12" s="30">
        <v>61602</v>
      </c>
    </row>
    <row r="13" customHeight="1" spans="2:11">
      <c r="B13" s="8" t="s">
        <v>50</v>
      </c>
      <c r="C13" s="8" t="s">
        <v>42</v>
      </c>
      <c r="D13" s="30">
        <v>58911</v>
      </c>
      <c r="I13" s="8" t="s">
        <v>50</v>
      </c>
      <c r="J13" s="8" t="s">
        <v>42</v>
      </c>
      <c r="K13" s="30">
        <v>58911</v>
      </c>
    </row>
    <row r="14" ht="20.1" customHeight="1" spans="2:11">
      <c r="B14" s="8" t="s">
        <v>53</v>
      </c>
      <c r="C14" s="8" t="s">
        <v>44</v>
      </c>
      <c r="D14" s="30">
        <v>78408</v>
      </c>
      <c r="I14" s="8" t="s">
        <v>53</v>
      </c>
      <c r="J14" s="8" t="s">
        <v>44</v>
      </c>
      <c r="K14" s="30">
        <v>78408</v>
      </c>
    </row>
    <row r="15" ht="20.1" customHeight="1"/>
    <row r="16" customHeight="1" spans="2:11">
      <c r="B16" s="31" t="s">
        <v>54</v>
      </c>
      <c r="C16" s="32"/>
      <c r="D16" s="33">
        <f>SUM(D5:D14)</f>
        <v>596501</v>
      </c>
      <c r="I16" s="31" t="s">
        <v>54</v>
      </c>
      <c r="J16" s="32"/>
      <c r="K16" s="33">
        <f>SUM(K5:K14)</f>
        <v>650440</v>
      </c>
    </row>
  </sheetData>
  <mergeCells count="4">
    <mergeCell ref="B2:D2"/>
    <mergeCell ref="I2:K2"/>
    <mergeCell ref="B16:C16"/>
    <mergeCell ref="I16:J16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showGridLines="0" topLeftCell="A10" workbookViewId="0">
      <selection activeCell="B5" sqref="B5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11.6636363636364" style="5" customWidth="1"/>
    <col min="6" max="16384" width="15.6636363636364" style="5"/>
  </cols>
  <sheetData>
    <row r="2" customHeight="1" spans="2:11">
      <c r="B2" s="6" t="s">
        <v>56</v>
      </c>
      <c r="C2" s="6"/>
      <c r="D2" s="6"/>
      <c r="I2" s="6" t="s">
        <v>37</v>
      </c>
      <c r="J2" s="6"/>
      <c r="K2" s="6"/>
    </row>
    <row r="4" s="4" customFormat="1" customHeight="1" spans="2:11">
      <c r="B4" s="7" t="s">
        <v>38</v>
      </c>
      <c r="C4" s="7" t="s">
        <v>39</v>
      </c>
      <c r="D4" s="7" t="s">
        <v>40</v>
      </c>
      <c r="I4" s="7" t="s">
        <v>38</v>
      </c>
      <c r="J4" s="7" t="s">
        <v>39</v>
      </c>
      <c r="K4" s="7" t="s">
        <v>40</v>
      </c>
    </row>
    <row r="5" customHeight="1" spans="2:11">
      <c r="B5" s="8" t="s">
        <v>41</v>
      </c>
      <c r="C5" s="8" t="s">
        <v>42</v>
      </c>
      <c r="D5" s="30">
        <v>80000</v>
      </c>
      <c r="I5" s="8" t="s">
        <v>41</v>
      </c>
      <c r="J5" s="8" t="s">
        <v>42</v>
      </c>
      <c r="K5" s="30">
        <v>61371</v>
      </c>
    </row>
    <row r="6" customHeight="1" spans="2:11">
      <c r="B6" s="8" t="s">
        <v>43</v>
      </c>
      <c r="C6" s="8" t="s">
        <v>44</v>
      </c>
      <c r="D6" s="30">
        <v>30000</v>
      </c>
      <c r="I6" s="8" t="s">
        <v>43</v>
      </c>
      <c r="J6" s="8" t="s">
        <v>44</v>
      </c>
      <c r="K6" s="30">
        <v>72568</v>
      </c>
    </row>
    <row r="7" customHeight="1" spans="2:11">
      <c r="B7" s="8" t="s">
        <v>45</v>
      </c>
      <c r="C7" s="8" t="s">
        <v>46</v>
      </c>
      <c r="D7" s="30">
        <v>60068</v>
      </c>
      <c r="I7" s="8" t="s">
        <v>45</v>
      </c>
      <c r="J7" s="8" t="s">
        <v>46</v>
      </c>
      <c r="K7" s="30">
        <v>60068</v>
      </c>
    </row>
    <row r="8" customHeight="1" spans="2:11">
      <c r="B8" s="8" t="s">
        <v>47</v>
      </c>
      <c r="C8" s="8" t="s">
        <v>48</v>
      </c>
      <c r="D8" s="30">
        <v>50424</v>
      </c>
      <c r="I8" s="8" t="s">
        <v>47</v>
      </c>
      <c r="J8" s="8" t="s">
        <v>48</v>
      </c>
      <c r="K8" s="30">
        <v>50424</v>
      </c>
    </row>
    <row r="9" customHeight="1" spans="2:11">
      <c r="B9" s="8" t="s">
        <v>49</v>
      </c>
      <c r="C9" s="8" t="s">
        <v>42</v>
      </c>
      <c r="D9" s="30">
        <v>59485</v>
      </c>
      <c r="I9" s="8" t="s">
        <v>49</v>
      </c>
      <c r="J9" s="8" t="s">
        <v>42</v>
      </c>
      <c r="K9" s="30">
        <v>59485</v>
      </c>
    </row>
    <row r="10" customHeight="1" spans="2:11">
      <c r="B10" s="8" t="s">
        <v>50</v>
      </c>
      <c r="C10" s="8" t="s">
        <v>44</v>
      </c>
      <c r="D10" s="30">
        <v>70416</v>
      </c>
      <c r="I10" s="8" t="s">
        <v>50</v>
      </c>
      <c r="J10" s="8" t="s">
        <v>44</v>
      </c>
      <c r="K10" s="30">
        <v>70416</v>
      </c>
    </row>
    <row r="11" customHeight="1" spans="2:11">
      <c r="B11" s="8" t="s">
        <v>51</v>
      </c>
      <c r="C11" s="8" t="s">
        <v>46</v>
      </c>
      <c r="D11" s="30">
        <v>77187</v>
      </c>
      <c r="I11" s="8" t="s">
        <v>51</v>
      </c>
      <c r="J11" s="8" t="s">
        <v>46</v>
      </c>
      <c r="K11" s="30">
        <v>77187</v>
      </c>
    </row>
    <row r="12" customHeight="1" spans="2:11">
      <c r="B12" s="8" t="s">
        <v>52</v>
      </c>
      <c r="C12" s="8" t="s">
        <v>48</v>
      </c>
      <c r="D12" s="30">
        <v>61602</v>
      </c>
      <c r="I12" s="8" t="s">
        <v>52</v>
      </c>
      <c r="J12" s="8" t="s">
        <v>48</v>
      </c>
      <c r="K12" s="30">
        <v>61602</v>
      </c>
    </row>
    <row r="13" customHeight="1" spans="2:11">
      <c r="B13" s="8" t="s">
        <v>50</v>
      </c>
      <c r="C13" s="8" t="s">
        <v>42</v>
      </c>
      <c r="D13" s="30">
        <v>58911</v>
      </c>
      <c r="I13" s="8" t="s">
        <v>50</v>
      </c>
      <c r="J13" s="8" t="s">
        <v>42</v>
      </c>
      <c r="K13" s="30">
        <v>58911</v>
      </c>
    </row>
    <row r="14" ht="20.1" customHeight="1" spans="2:11">
      <c r="B14" s="8" t="s">
        <v>53</v>
      </c>
      <c r="C14" s="8" t="s">
        <v>44</v>
      </c>
      <c r="D14" s="30">
        <v>78408</v>
      </c>
      <c r="I14" s="8" t="s">
        <v>53</v>
      </c>
      <c r="J14" s="8" t="s">
        <v>44</v>
      </c>
      <c r="K14" s="30">
        <v>78408</v>
      </c>
    </row>
    <row r="15" ht="20.1" customHeight="1"/>
    <row r="16" customHeight="1" spans="2:11">
      <c r="B16" s="31" t="s">
        <v>54</v>
      </c>
      <c r="C16" s="32"/>
      <c r="D16" s="33">
        <f>SUM(D5:D14)</f>
        <v>626501</v>
      </c>
      <c r="I16" s="31" t="s">
        <v>54</v>
      </c>
      <c r="J16" s="32"/>
      <c r="K16" s="33">
        <f>SUM(K5:K14)</f>
        <v>650440</v>
      </c>
    </row>
  </sheetData>
  <mergeCells count="4">
    <mergeCell ref="B2:D2"/>
    <mergeCell ref="I2:K2"/>
    <mergeCell ref="B16:C16"/>
    <mergeCell ref="I16:J16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6"/>
  <sheetViews>
    <sheetView showGridLines="0" workbookViewId="0">
      <selection activeCell="A1" sqref="A1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11.6636363636364" style="5" customWidth="1"/>
    <col min="6" max="16384" width="15.6636363636364" style="5"/>
  </cols>
  <sheetData>
    <row r="2" customHeight="1" spans="2:11">
      <c r="B2" s="6" t="s">
        <v>57</v>
      </c>
      <c r="C2" s="6"/>
      <c r="D2" s="6"/>
      <c r="I2" s="6" t="s">
        <v>37</v>
      </c>
      <c r="J2" s="6"/>
      <c r="K2" s="6"/>
    </row>
    <row r="4" s="4" customFormat="1" customHeight="1" spans="2:11">
      <c r="B4" s="7" t="s">
        <v>38</v>
      </c>
      <c r="C4" s="7" t="s">
        <v>39</v>
      </c>
      <c r="D4" s="7" t="s">
        <v>40</v>
      </c>
      <c r="I4" s="7" t="s">
        <v>38</v>
      </c>
      <c r="J4" s="7" t="s">
        <v>39</v>
      </c>
      <c r="K4" s="7" t="s">
        <v>40</v>
      </c>
    </row>
    <row r="5" customHeight="1" spans="2:11">
      <c r="B5" s="8" t="s">
        <v>41</v>
      </c>
      <c r="C5" s="8" t="s">
        <v>42</v>
      </c>
      <c r="D5" s="30">
        <v>90000</v>
      </c>
      <c r="I5" s="8" t="s">
        <v>41</v>
      </c>
      <c r="J5" s="8" t="s">
        <v>42</v>
      </c>
      <c r="K5" s="30">
        <v>61371</v>
      </c>
    </row>
    <row r="6" customHeight="1" spans="2:11">
      <c r="B6" s="8" t="s">
        <v>43</v>
      </c>
      <c r="C6" s="8" t="s">
        <v>44</v>
      </c>
      <c r="D6" s="30">
        <v>40000</v>
      </c>
      <c r="I6" s="8" t="s">
        <v>43</v>
      </c>
      <c r="J6" s="8" t="s">
        <v>44</v>
      </c>
      <c r="K6" s="30">
        <v>72568</v>
      </c>
    </row>
    <row r="7" customHeight="1" spans="2:11">
      <c r="B7" s="8" t="s">
        <v>45</v>
      </c>
      <c r="C7" s="8" t="s">
        <v>46</v>
      </c>
      <c r="D7" s="30">
        <v>50000</v>
      </c>
      <c r="I7" s="8" t="s">
        <v>45</v>
      </c>
      <c r="J7" s="8" t="s">
        <v>46</v>
      </c>
      <c r="K7" s="30">
        <v>60068</v>
      </c>
    </row>
    <row r="8" customHeight="1" spans="2:11">
      <c r="B8" s="8" t="s">
        <v>47</v>
      </c>
      <c r="C8" s="8" t="s">
        <v>48</v>
      </c>
      <c r="D8" s="30">
        <v>50424</v>
      </c>
      <c r="I8" s="8" t="s">
        <v>47</v>
      </c>
      <c r="J8" s="8" t="s">
        <v>48</v>
      </c>
      <c r="K8" s="30">
        <v>50424</v>
      </c>
    </row>
    <row r="9" customHeight="1" spans="2:11">
      <c r="B9" s="8" t="s">
        <v>49</v>
      </c>
      <c r="C9" s="8" t="s">
        <v>42</v>
      </c>
      <c r="D9" s="30">
        <v>59485</v>
      </c>
      <c r="I9" s="8" t="s">
        <v>49</v>
      </c>
      <c r="J9" s="8" t="s">
        <v>42</v>
      </c>
      <c r="K9" s="30">
        <v>59485</v>
      </c>
    </row>
    <row r="10" customHeight="1" spans="2:11">
      <c r="B10" s="8" t="s">
        <v>50</v>
      </c>
      <c r="C10" s="8" t="s">
        <v>44</v>
      </c>
      <c r="D10" s="30">
        <v>70416</v>
      </c>
      <c r="I10" s="8" t="s">
        <v>50</v>
      </c>
      <c r="J10" s="8" t="s">
        <v>44</v>
      </c>
      <c r="K10" s="30">
        <v>70416</v>
      </c>
    </row>
    <row r="11" customHeight="1" spans="2:11">
      <c r="B11" s="8" t="s">
        <v>51</v>
      </c>
      <c r="C11" s="8" t="s">
        <v>46</v>
      </c>
      <c r="D11" s="30">
        <v>77187</v>
      </c>
      <c r="I11" s="8" t="s">
        <v>51</v>
      </c>
      <c r="J11" s="8" t="s">
        <v>46</v>
      </c>
      <c r="K11" s="30">
        <v>77187</v>
      </c>
    </row>
    <row r="12" customHeight="1" spans="2:11">
      <c r="B12" s="8" t="s">
        <v>52</v>
      </c>
      <c r="C12" s="8" t="s">
        <v>48</v>
      </c>
      <c r="D12" s="30">
        <v>61602</v>
      </c>
      <c r="I12" s="8" t="s">
        <v>52</v>
      </c>
      <c r="J12" s="8" t="s">
        <v>48</v>
      </c>
      <c r="K12" s="30">
        <v>61602</v>
      </c>
    </row>
    <row r="13" customHeight="1" spans="2:11">
      <c r="B13" s="8" t="s">
        <v>50</v>
      </c>
      <c r="C13" s="8" t="s">
        <v>42</v>
      </c>
      <c r="D13" s="30">
        <v>58911</v>
      </c>
      <c r="I13" s="8" t="s">
        <v>50</v>
      </c>
      <c r="J13" s="8" t="s">
        <v>42</v>
      </c>
      <c r="K13" s="30">
        <v>58911</v>
      </c>
    </row>
    <row r="14" ht="20.1" customHeight="1" spans="2:11">
      <c r="B14" s="8" t="s">
        <v>53</v>
      </c>
      <c r="C14" s="8" t="s">
        <v>44</v>
      </c>
      <c r="D14" s="30">
        <v>78408</v>
      </c>
      <c r="I14" s="8" t="s">
        <v>53</v>
      </c>
      <c r="J14" s="8" t="s">
        <v>44</v>
      </c>
      <c r="K14" s="30">
        <v>78408</v>
      </c>
    </row>
    <row r="15" ht="20.1" customHeight="1"/>
    <row r="16" customHeight="1" spans="2:11">
      <c r="B16" s="31" t="s">
        <v>54</v>
      </c>
      <c r="C16" s="32"/>
      <c r="D16" s="33">
        <f>SUM(D5:D14)</f>
        <v>636433</v>
      </c>
      <c r="I16" s="31" t="s">
        <v>54</v>
      </c>
      <c r="J16" s="32"/>
      <c r="K16" s="33">
        <f>SUM(K5:K14)</f>
        <v>650440</v>
      </c>
    </row>
  </sheetData>
  <mergeCells count="4">
    <mergeCell ref="B2:D2"/>
    <mergeCell ref="I2:K2"/>
    <mergeCell ref="B16:C16"/>
    <mergeCell ref="I16:J16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4"/>
  <sheetViews>
    <sheetView showGridLines="0" topLeftCell="B2" workbookViewId="0">
      <selection activeCell="K6" sqref="K6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21.1818181818182" style="5" customWidth="1"/>
    <col min="5" max="5" width="11.6636363636364" style="5" customWidth="1"/>
    <col min="6" max="10" width="15.6636363636364" style="5"/>
    <col min="11" max="11" width="24.0909090909091" style="5" customWidth="1"/>
    <col min="12" max="16384" width="15.6636363636364" style="5"/>
  </cols>
  <sheetData>
    <row r="2" customHeight="1" spans="2:11">
      <c r="B2" s="6" t="s">
        <v>58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4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27" t="s">
        <v>59</v>
      </c>
      <c r="I5" s="8" t="s">
        <v>6</v>
      </c>
      <c r="J5" s="11">
        <v>950</v>
      </c>
      <c r="K5" s="12" t="str" cm="1">
        <f t="array" ref="K5:K12">D5:D12</f>
        <v>Advanced-Sorting</v>
      </c>
    </row>
    <row r="6" customHeight="1" spans="2:11">
      <c r="B6" s="8" t="s">
        <v>8</v>
      </c>
      <c r="C6" s="9">
        <v>800</v>
      </c>
      <c r="D6" s="27" t="s">
        <v>60</v>
      </c>
      <c r="I6" s="8" t="s">
        <v>8</v>
      </c>
      <c r="J6" s="11">
        <v>800</v>
      </c>
      <c r="K6" s="12" t="str">
        <v>5. Lookup.xlsx</v>
      </c>
    </row>
    <row r="7" customHeight="1" spans="2:11">
      <c r="B7" s="8" t="s">
        <v>10</v>
      </c>
      <c r="C7" s="9">
        <v>350</v>
      </c>
      <c r="D7" s="27" t="s">
        <v>61</v>
      </c>
      <c r="I7" s="8" t="s">
        <v>10</v>
      </c>
      <c r="J7" s="11">
        <v>350</v>
      </c>
      <c r="K7" s="12" t="str">
        <v>4. Linking-in-Excel.xlsx</v>
      </c>
    </row>
    <row r="8" customHeight="1" spans="2:11">
      <c r="B8" s="8" t="s">
        <v>12</v>
      </c>
      <c r="C8" s="9">
        <v>550</v>
      </c>
      <c r="D8" s="27" t="s">
        <v>62</v>
      </c>
      <c r="I8" s="8" t="s">
        <v>12</v>
      </c>
      <c r="J8" s="11">
        <v>550</v>
      </c>
      <c r="K8" s="12" t="str">
        <v>Basic.xlsx</v>
      </c>
    </row>
    <row r="9" customHeight="1" spans="2:11">
      <c r="B9" s="8" t="s">
        <v>13</v>
      </c>
      <c r="C9" s="9">
        <v>499</v>
      </c>
      <c r="D9" s="27" t="s">
        <v>63</v>
      </c>
      <c r="I9" s="8" t="s">
        <v>13</v>
      </c>
      <c r="J9" s="11">
        <v>499</v>
      </c>
      <c r="K9" s="12" t="str">
        <v>8.1 Pivot-Table-Final.xlsx</v>
      </c>
    </row>
    <row r="10" customHeight="1" spans="2:11">
      <c r="B10" s="8" t="s">
        <v>15</v>
      </c>
      <c r="C10" s="9">
        <v>150</v>
      </c>
      <c r="D10" s="27" t="s">
        <v>64</v>
      </c>
      <c r="I10" s="8" t="s">
        <v>15</v>
      </c>
      <c r="J10" s="11">
        <v>150</v>
      </c>
      <c r="K10" s="12" t="str">
        <v>Excel_Text_Date_</v>
      </c>
    </row>
    <row r="11" customHeight="1" spans="2:11">
      <c r="B11" s="8" t="s">
        <v>16</v>
      </c>
      <c r="C11" s="9">
        <v>350</v>
      </c>
      <c r="D11" s="27" t="s">
        <v>65</v>
      </c>
      <c r="I11" s="8" t="s">
        <v>16</v>
      </c>
      <c r="J11" s="11">
        <v>350</v>
      </c>
      <c r="K11" s="12" t="str">
        <v>Excel Assignment  </v>
      </c>
    </row>
    <row r="12" customHeight="1" spans="2:11">
      <c r="B12" s="8" t="s">
        <v>17</v>
      </c>
      <c r="C12" s="9">
        <v>270</v>
      </c>
      <c r="D12" s="27" t="s">
        <v>66</v>
      </c>
      <c r="I12" s="8" t="s">
        <v>17</v>
      </c>
      <c r="J12" s="11">
        <v>270</v>
      </c>
      <c r="K12" s="12" t="str">
        <v>Excel Dataset_Dmart.xlsx</v>
      </c>
    </row>
    <row r="13" ht="53.25" customHeight="1"/>
    <row r="14" ht="20.1" customHeight="1"/>
  </sheetData>
  <mergeCells count="2">
    <mergeCell ref="B2:D2"/>
    <mergeCell ref="I2:K2"/>
  </mergeCells>
  <hyperlinks>
    <hyperlink ref="D5" r:id="rId1" display="Advanced-Sorting"/>
    <hyperlink ref="D6" r:id="rId2" display="5. Lookup.xlsx"/>
    <hyperlink ref="D7" r:id="rId3" display="4. Linking-in-Excel.xlsx"/>
    <hyperlink ref="D8" r:id="rId4" display="Basic.xlsx"/>
    <hyperlink ref="D9" r:id="rId5" display="8.1 Pivot-Table-Final.xlsx"/>
    <hyperlink ref="D10" r:id="rId6" display="Excel_Text_Date_"/>
    <hyperlink ref="D11" r:id="rId7" display="Excel Assignment  "/>
    <hyperlink ref="D12" r:id="rId8" display="Excel Dataset_Dmart.xlsx"/>
  </hyperlinks>
  <pageMargins left="0.7" right="0.7" top="0.75" bottom="0.75" header="0.3" footer="0.3"/>
  <pageSetup paperSize="1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9"/>
  <sheetViews>
    <sheetView showGridLines="0" workbookViewId="0">
      <selection activeCell="D6" sqref="D6"/>
    </sheetView>
  </sheetViews>
  <sheetFormatPr defaultColWidth="15.6636363636364" defaultRowHeight="20.1" customHeight="1"/>
  <cols>
    <col min="1" max="1" width="5" style="5" customWidth="1"/>
    <col min="2" max="2" width="16.3363636363636" style="5" customWidth="1"/>
    <col min="3" max="3" width="31.7818181818182" style="5" customWidth="1"/>
    <col min="4" max="4" width="22.1090909090909" style="26" customWidth="1"/>
    <col min="5" max="5" width="23" style="5" customWidth="1"/>
    <col min="6" max="6" width="17.6636363636364" style="5" customWidth="1"/>
    <col min="7" max="7" width="19.4454545454545" style="5" customWidth="1"/>
    <col min="8" max="8" width="15.6636363636364" style="5"/>
    <col min="9" max="9" width="23.1090909090909" style="5" customWidth="1"/>
    <col min="10" max="10" width="27.6636363636364" style="5" customWidth="1"/>
    <col min="11" max="16384" width="15.6636363636364" style="5"/>
  </cols>
  <sheetData>
    <row r="1" customHeight="1" spans="2:11">
      <c r="D1" s="5"/>
    </row>
    <row r="2" ht="17.75" spans="2:11">
      <c r="B2" s="6" t="s">
        <v>67</v>
      </c>
      <c r="C2" s="6"/>
      <c r="D2" s="6"/>
      <c r="I2" s="6" t="s">
        <v>37</v>
      </c>
      <c r="J2" s="6"/>
      <c r="K2" s="6"/>
    </row>
    <row r="3" customHeight="1" spans="2:11">
      <c r="D3" s="5"/>
    </row>
    <row r="4" s="4" customFormat="1" ht="18" customHeight="1" spans="2:11">
      <c r="B4" s="7" t="s">
        <v>68</v>
      </c>
      <c r="C4" s="7" t="s">
        <v>69</v>
      </c>
      <c r="D4" s="7" t="s">
        <v>70</v>
      </c>
      <c r="I4" s="7" t="s">
        <v>68</v>
      </c>
      <c r="J4" s="7" t="s">
        <v>69</v>
      </c>
      <c r="K4" s="7" t="s">
        <v>4</v>
      </c>
    </row>
    <row r="5" ht="14.5" spans="2:11">
      <c r="B5" s="8"/>
      <c r="C5" s="27"/>
      <c r="D5" s="28"/>
      <c r="I5" s="8" t="s">
        <v>71</v>
      </c>
      <c r="J5" s="8" t="s">
        <v>72</v>
      </c>
      <c r="K5" s="20"/>
    </row>
    <row r="6" customHeight="1" spans="2:11">
      <c r="B6" s="8" t="s">
        <v>73</v>
      </c>
      <c r="C6" s="17" t="s">
        <v>74</v>
      </c>
      <c r="D6" s="29"/>
      <c r="I6" s="8" t="s">
        <v>73</v>
      </c>
      <c r="J6" s="5" t="s">
        <v>74</v>
      </c>
      <c r="K6" s="20" t="str">
        <f t="shared" ref="K6:K7" si="0">HYPERLINK(J6,I6)</f>
        <v>Google</v>
      </c>
    </row>
    <row r="7" customHeight="1" spans="2:11">
      <c r="B7" s="8" t="s">
        <v>75</v>
      </c>
      <c r="C7" s="15" t="s">
        <v>76</v>
      </c>
      <c r="D7" s="29"/>
      <c r="I7" s="8" t="s">
        <v>75</v>
      </c>
      <c r="J7" s="8" t="s">
        <v>76</v>
      </c>
      <c r="K7" s="20" t="str">
        <f t="shared" si="0"/>
        <v>Microsoft</v>
      </c>
    </row>
    <row r="8" ht="45.75" customHeight="1"/>
    <row r="9" ht="18" customHeight="1"/>
  </sheetData>
  <mergeCells count="2">
    <mergeCell ref="B2:D2"/>
    <mergeCell ref="I2:K2"/>
  </mergeCells>
  <hyperlinks>
    <hyperlink ref="C6" r:id="rId1" display="https://www.google.com"/>
  </hyperlinks>
  <pageMargins left="0.7" right="0.7" top="0.75" bottom="0.75" header="0.3" footer="0.3"/>
  <pageSetup paperSize="1" orientation="portrait" horizontalDpi="360" verticalDpi="36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5"/>
  <sheetViews>
    <sheetView showGridLines="0" workbookViewId="0">
      <selection activeCell="F6" sqref="F6"/>
    </sheetView>
  </sheetViews>
  <sheetFormatPr defaultColWidth="15.6636363636364" defaultRowHeight="20.1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11.6636363636364" style="5" customWidth="1"/>
    <col min="6" max="16384" width="15.6636363636364" style="5"/>
  </cols>
  <sheetData>
    <row r="1" ht="13.5" customHeight="1"/>
    <row r="2" ht="17.75" spans="2:11">
      <c r="B2" s="6" t="s">
        <v>77</v>
      </c>
      <c r="C2" s="6"/>
      <c r="D2" s="6"/>
      <c r="I2" s="6" t="s">
        <v>1</v>
      </c>
      <c r="J2" s="6"/>
      <c r="K2" s="6"/>
    </row>
    <row r="4" s="4" customFormat="1" ht="18" customHeight="1" spans="2:11">
      <c r="B4" s="7" t="s">
        <v>2</v>
      </c>
      <c r="C4" s="7" t="s">
        <v>3</v>
      </c>
      <c r="D4" s="7" t="s">
        <v>78</v>
      </c>
      <c r="I4" s="7" t="s">
        <v>2</v>
      </c>
      <c r="J4" s="7" t="s">
        <v>3</v>
      </c>
      <c r="K4" s="7" t="s">
        <v>4</v>
      </c>
    </row>
    <row r="5" ht="18.75" customHeight="1" spans="2:11">
      <c r="B5" s="8" t="s">
        <v>6</v>
      </c>
      <c r="C5" s="9">
        <v>950</v>
      </c>
      <c r="D5" s="23"/>
      <c r="I5" s="8" t="s">
        <v>6</v>
      </c>
      <c r="J5" s="11">
        <v>950</v>
      </c>
      <c r="K5" s="20"/>
    </row>
    <row r="6" customHeight="1" spans="2:11">
      <c r="B6" s="8" t="s">
        <v>8</v>
      </c>
      <c r="C6" s="9">
        <v>800</v>
      </c>
      <c r="D6" s="24"/>
      <c r="I6" s="8" t="s">
        <v>8</v>
      </c>
      <c r="J6" s="11">
        <v>800</v>
      </c>
      <c r="K6" s="20"/>
    </row>
    <row r="7" customHeight="1" spans="2:11">
      <c r="B7" s="8" t="s">
        <v>10</v>
      </c>
      <c r="C7" s="9">
        <v>350</v>
      </c>
      <c r="D7" s="25"/>
      <c r="I7" s="8" t="s">
        <v>10</v>
      </c>
      <c r="J7" s="11">
        <v>350</v>
      </c>
      <c r="K7" s="20"/>
    </row>
    <row r="8" customHeight="1" spans="2:11">
      <c r="B8" s="8" t="s">
        <v>12</v>
      </c>
      <c r="C8" s="9">
        <v>550</v>
      </c>
      <c r="D8" s="25"/>
      <c r="I8" s="8" t="s">
        <v>12</v>
      </c>
      <c r="J8" s="11">
        <v>550</v>
      </c>
      <c r="K8" s="20"/>
    </row>
    <row r="9" customHeight="1" spans="2:11">
      <c r="B9" s="8" t="s">
        <v>13</v>
      </c>
      <c r="C9" s="9">
        <v>499</v>
      </c>
      <c r="D9" s="25"/>
      <c r="I9" s="8" t="s">
        <v>13</v>
      </c>
      <c r="J9" s="11">
        <v>499</v>
      </c>
      <c r="K9" s="20"/>
    </row>
    <row r="10" customHeight="1" spans="2:11">
      <c r="B10" s="8" t="s">
        <v>15</v>
      </c>
      <c r="C10" s="9">
        <v>150</v>
      </c>
      <c r="D10" s="25"/>
      <c r="I10" s="8" t="s">
        <v>15</v>
      </c>
      <c r="J10" s="11">
        <v>150</v>
      </c>
      <c r="K10" s="20"/>
    </row>
    <row r="11" customHeight="1" spans="2:11">
      <c r="B11" s="8" t="s">
        <v>16</v>
      </c>
      <c r="C11" s="9">
        <v>350</v>
      </c>
      <c r="D11" s="25"/>
      <c r="I11" s="8" t="s">
        <v>16</v>
      </c>
      <c r="J11" s="11">
        <v>350</v>
      </c>
      <c r="K11" s="20"/>
    </row>
    <row r="12" customHeight="1" spans="2:11">
      <c r="B12" s="8" t="s">
        <v>17</v>
      </c>
      <c r="C12" s="9">
        <v>270</v>
      </c>
      <c r="D12" s="25"/>
      <c r="I12" s="8" t="s">
        <v>17</v>
      </c>
      <c r="J12" s="11">
        <v>270</v>
      </c>
      <c r="K12" s="20"/>
    </row>
    <row r="13" ht="57" customHeight="1"/>
    <row r="15" ht="18" customHeight="1"/>
  </sheetData>
  <mergeCells count="2">
    <mergeCell ref="B2:D2"/>
    <mergeCell ref="I2:K2"/>
  </mergeCells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15"/>
  <sheetViews>
    <sheetView showGridLines="0" workbookViewId="0">
      <selection activeCell="D5" sqref="D5:D12"/>
    </sheetView>
  </sheetViews>
  <sheetFormatPr defaultColWidth="15.6636363636364" defaultRowHeight="14.5"/>
  <cols>
    <col min="1" max="1" width="3.55454545454545" style="5" customWidth="1"/>
    <col min="2" max="2" width="15.6636363636364" style="5"/>
    <col min="3" max="3" width="14.5545454545455" style="5" customWidth="1"/>
    <col min="4" max="4" width="26.1090909090909" style="5" customWidth="1"/>
    <col min="5" max="5" width="11.6636363636364" style="5" customWidth="1"/>
    <col min="6" max="16384" width="15.6636363636364" style="5"/>
  </cols>
  <sheetData>
    <row r="1" ht="13.5" customHeight="1"/>
    <row r="2" ht="17.75" spans="2:11">
      <c r="B2" s="6" t="s">
        <v>77</v>
      </c>
      <c r="C2" s="6"/>
      <c r="D2" s="6"/>
      <c r="I2" s="6" t="s">
        <v>1</v>
      </c>
      <c r="J2" s="6"/>
      <c r="K2" s="6"/>
    </row>
    <row r="3" ht="20.1" customHeight="1"/>
    <row r="4" s="4" customFormat="1" ht="18" customHeight="1" spans="2:11">
      <c r="B4" s="7" t="s">
        <v>2</v>
      </c>
      <c r="C4" s="7" t="s">
        <v>3</v>
      </c>
      <c r="D4" s="7" t="s">
        <v>79</v>
      </c>
      <c r="I4" s="7" t="s">
        <v>2</v>
      </c>
      <c r="J4" s="7" t="s">
        <v>3</v>
      </c>
      <c r="K4" s="7" t="s">
        <v>4</v>
      </c>
    </row>
    <row r="5" ht="18.75" customHeight="1" spans="2:11">
      <c r="B5" s="8" t="s">
        <v>6</v>
      </c>
      <c r="C5" s="9">
        <v>950</v>
      </c>
      <c r="D5" s="19"/>
      <c r="I5" s="8" t="s">
        <v>6</v>
      </c>
      <c r="J5" s="11">
        <v>950</v>
      </c>
      <c r="K5" s="20"/>
    </row>
    <row r="6" ht="20.1" customHeight="1" spans="2:11">
      <c r="B6" s="8" t="s">
        <v>8</v>
      </c>
      <c r="C6" s="9">
        <v>800</v>
      </c>
      <c r="D6" s="21"/>
      <c r="I6" s="8" t="s">
        <v>8</v>
      </c>
      <c r="J6" s="11">
        <v>800</v>
      </c>
      <c r="K6" s="20"/>
    </row>
    <row r="7" ht="20.1" customHeight="1" spans="2:11">
      <c r="B7" s="8" t="s">
        <v>10</v>
      </c>
      <c r="C7" s="9">
        <v>350</v>
      </c>
      <c r="D7" s="22"/>
      <c r="I7" s="8" t="s">
        <v>10</v>
      </c>
      <c r="J7" s="11">
        <v>350</v>
      </c>
      <c r="K7" s="20"/>
    </row>
    <row r="8" ht="20.1" customHeight="1" spans="2:11">
      <c r="B8" s="8" t="s">
        <v>12</v>
      </c>
      <c r="C8" s="9">
        <v>550</v>
      </c>
      <c r="D8" s="22"/>
      <c r="I8" s="8" t="s">
        <v>12</v>
      </c>
      <c r="J8" s="11">
        <v>550</v>
      </c>
      <c r="K8" s="20"/>
    </row>
    <row r="9" ht="20.1" customHeight="1" spans="2:11">
      <c r="B9" s="8" t="s">
        <v>13</v>
      </c>
      <c r="C9" s="9">
        <v>499</v>
      </c>
      <c r="D9" s="22"/>
      <c r="I9" s="8" t="s">
        <v>13</v>
      </c>
      <c r="J9" s="11">
        <v>499</v>
      </c>
      <c r="K9" s="20"/>
    </row>
    <row r="10" ht="20.1" customHeight="1" spans="2:11">
      <c r="B10" s="8" t="s">
        <v>15</v>
      </c>
      <c r="C10" s="9">
        <v>150</v>
      </c>
      <c r="D10" s="22"/>
      <c r="I10" s="8" t="s">
        <v>15</v>
      </c>
      <c r="J10" s="11">
        <v>150</v>
      </c>
      <c r="K10" s="20"/>
    </row>
    <row r="11" ht="20.1" customHeight="1" spans="2:11">
      <c r="B11" s="8" t="s">
        <v>16</v>
      </c>
      <c r="C11" s="9">
        <v>350</v>
      </c>
      <c r="D11" s="22"/>
      <c r="I11" s="8" t="s">
        <v>16</v>
      </c>
      <c r="J11" s="11">
        <v>350</v>
      </c>
      <c r="K11" s="20"/>
    </row>
    <row r="12" ht="20.1" customHeight="1" spans="2:11">
      <c r="B12" s="8" t="s">
        <v>17</v>
      </c>
      <c r="C12" s="9">
        <v>270</v>
      </c>
      <c r="D12" s="22"/>
      <c r="I12" s="8" t="s">
        <v>17</v>
      </c>
      <c r="J12" s="11">
        <v>270</v>
      </c>
      <c r="K12" s="20"/>
    </row>
    <row r="13" ht="57" customHeight="1"/>
    <row r="15" ht="18" customHeight="1"/>
  </sheetData>
  <mergeCells count="2">
    <mergeCell ref="B2:D2"/>
    <mergeCell ref="I2:K2"/>
  </mergeCells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9"/>
  <sheetViews>
    <sheetView showGridLines="0" workbookViewId="0">
      <selection activeCell="D5" sqref="D5"/>
    </sheetView>
  </sheetViews>
  <sheetFormatPr defaultColWidth="15.6636363636364" defaultRowHeight="18" customHeight="1"/>
  <cols>
    <col min="1" max="1" width="3.55454545454545" style="5" customWidth="1"/>
    <col min="2" max="2" width="15.6636363636364" style="5"/>
    <col min="3" max="3" width="27.6636363636364" style="5" customWidth="1"/>
    <col min="4" max="4" width="18.1090909090909" style="5" customWidth="1"/>
    <col min="5" max="5" width="31.8909090909091" style="5" customWidth="1"/>
    <col min="6" max="16384" width="15.6636363636364" style="5"/>
  </cols>
  <sheetData>
    <row r="2" customHeight="1" spans="2:11">
      <c r="B2" s="6" t="s">
        <v>80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68</v>
      </c>
      <c r="C4" s="7" t="s">
        <v>69</v>
      </c>
      <c r="D4" s="7" t="s">
        <v>70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71</v>
      </c>
      <c r="C5" s="15" t="s">
        <v>72</v>
      </c>
      <c r="D5" s="16"/>
      <c r="I5" s="8" t="s">
        <v>6</v>
      </c>
      <c r="J5" s="11">
        <v>950</v>
      </c>
      <c r="K5" s="12"/>
    </row>
    <row r="6" customHeight="1" spans="2:11">
      <c r="B6" s="8" t="s">
        <v>73</v>
      </c>
      <c r="C6" s="17" t="s">
        <v>74</v>
      </c>
      <c r="D6" s="18"/>
      <c r="I6" s="8" t="s">
        <v>8</v>
      </c>
      <c r="J6" s="11">
        <v>800</v>
      </c>
      <c r="K6" s="12"/>
    </row>
    <row r="7" customHeight="1" spans="2:11">
      <c r="B7" s="8" t="s">
        <v>75</v>
      </c>
      <c r="C7" s="15" t="s">
        <v>76</v>
      </c>
      <c r="D7" s="18"/>
      <c r="I7" s="8" t="s">
        <v>10</v>
      </c>
      <c r="J7" s="11">
        <v>350</v>
      </c>
      <c r="K7" s="12"/>
    </row>
    <row r="8" ht="45.75" customHeight="1"/>
    <row r="9" ht="20.1" customHeight="1"/>
  </sheetData>
  <mergeCells count="2">
    <mergeCell ref="B2:D2"/>
    <mergeCell ref="I2:K2"/>
  </mergeCells>
  <hyperlinks>
    <hyperlink ref="C6" r:id="rId1" display="https://www.google.com"/>
  </hyperlinks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K12"/>
  <sheetViews>
    <sheetView showGridLines="0" topLeftCell="B1" workbookViewId="0">
      <selection activeCell="D5" sqref="D5"/>
    </sheetView>
  </sheetViews>
  <sheetFormatPr defaultColWidth="15.6636363636364" defaultRowHeight="21.9" customHeight="1"/>
  <cols>
    <col min="1" max="1" width="3.55454545454545" style="5" customWidth="1"/>
    <col min="2" max="2" width="15.6636363636364" style="5"/>
    <col min="3" max="3" width="14.5545454545455" style="5" customWidth="1"/>
    <col min="4" max="4" width="18.1090909090909" style="5" customWidth="1"/>
    <col min="5" max="5" width="39.4454545454545" style="5" customWidth="1"/>
    <col min="6" max="16384" width="15.6636363636364" style="5"/>
  </cols>
  <sheetData>
    <row r="2" customHeight="1" spans="2:11">
      <c r="B2" s="6" t="s">
        <v>81</v>
      </c>
      <c r="C2" s="6"/>
      <c r="D2" s="6"/>
      <c r="I2" s="6" t="s">
        <v>1</v>
      </c>
      <c r="J2" s="6"/>
      <c r="K2" s="6"/>
    </row>
    <row r="4" s="4" customFormat="1" customHeight="1" spans="2:11">
      <c r="B4" s="7" t="s">
        <v>2</v>
      </c>
      <c r="C4" s="7" t="s">
        <v>3</v>
      </c>
      <c r="D4" s="7" t="s">
        <v>82</v>
      </c>
      <c r="I4" s="7" t="s">
        <v>2</v>
      </c>
      <c r="J4" s="7" t="s">
        <v>3</v>
      </c>
      <c r="K4" s="7" t="s">
        <v>4</v>
      </c>
    </row>
    <row r="5" customHeight="1" spans="2:11">
      <c r="B5" s="8" t="s">
        <v>6</v>
      </c>
      <c r="C5" s="9">
        <v>950</v>
      </c>
      <c r="D5" s="10" t="s">
        <v>6</v>
      </c>
      <c r="I5" s="8" t="s">
        <v>6</v>
      </c>
      <c r="J5" s="11">
        <v>950</v>
      </c>
      <c r="K5" s="12"/>
    </row>
    <row r="6" customHeight="1" spans="2:11">
      <c r="B6" s="8" t="s">
        <v>8</v>
      </c>
      <c r="C6" s="9">
        <v>800</v>
      </c>
      <c r="D6" s="13" t="s">
        <v>8</v>
      </c>
      <c r="I6" s="8" t="s">
        <v>8</v>
      </c>
      <c r="J6" s="11">
        <v>800</v>
      </c>
      <c r="K6" s="12"/>
    </row>
    <row r="7" customHeight="1" spans="2:11">
      <c r="B7" s="8" t="s">
        <v>10</v>
      </c>
      <c r="C7" s="9">
        <v>350</v>
      </c>
      <c r="D7" s="14" t="s">
        <v>10</v>
      </c>
      <c r="I7" s="8" t="s">
        <v>10</v>
      </c>
      <c r="J7" s="11">
        <v>350</v>
      </c>
      <c r="K7" s="12"/>
    </row>
    <row r="8" customHeight="1" spans="2:11">
      <c r="B8" s="8" t="s">
        <v>12</v>
      </c>
      <c r="C8" s="9">
        <v>550</v>
      </c>
      <c r="D8" s="14" t="s">
        <v>12</v>
      </c>
      <c r="I8" s="8" t="s">
        <v>12</v>
      </c>
      <c r="J8" s="11">
        <v>550</v>
      </c>
      <c r="K8" s="12"/>
    </row>
    <row r="9" customHeight="1" spans="2:11">
      <c r="B9" s="8" t="s">
        <v>13</v>
      </c>
      <c r="C9" s="9">
        <v>499</v>
      </c>
      <c r="D9" s="14" t="s">
        <v>13</v>
      </c>
      <c r="I9" s="8" t="s">
        <v>13</v>
      </c>
      <c r="J9" s="11">
        <v>499</v>
      </c>
      <c r="K9" s="12"/>
    </row>
    <row r="10" customHeight="1" spans="2:11">
      <c r="B10" s="8" t="s">
        <v>15</v>
      </c>
      <c r="C10" s="9">
        <v>150</v>
      </c>
      <c r="D10" s="14" t="s">
        <v>15</v>
      </c>
      <c r="I10" s="8" t="s">
        <v>15</v>
      </c>
      <c r="J10" s="11">
        <v>150</v>
      </c>
      <c r="K10" s="12"/>
    </row>
    <row r="11" customHeight="1" spans="2:11">
      <c r="B11" s="8" t="s">
        <v>16</v>
      </c>
      <c r="C11" s="9">
        <v>350</v>
      </c>
      <c r="D11" s="14" t="s">
        <v>16</v>
      </c>
      <c r="I11" s="8" t="s">
        <v>16</v>
      </c>
      <c r="J11" s="11">
        <v>350</v>
      </c>
      <c r="K11" s="12"/>
    </row>
    <row r="12" customHeight="1" spans="2:11">
      <c r="B12" s="8" t="s">
        <v>17</v>
      </c>
      <c r="C12" s="9">
        <v>270</v>
      </c>
      <c r="D12" s="14" t="s">
        <v>17</v>
      </c>
      <c r="I12" s="8" t="s">
        <v>17</v>
      </c>
      <c r="J12" s="11">
        <v>270</v>
      </c>
      <c r="K12" s="12"/>
    </row>
  </sheetData>
  <mergeCells count="2">
    <mergeCell ref="B2:D2"/>
    <mergeCell ref="I2:K2"/>
  </mergeCells>
  <hyperlinks>
    <hyperlink ref="D5" r:id="rId2" display="Computer"/>
    <hyperlink ref="D6" location="Printer!A1" display="Printer"/>
    <hyperlink ref="D7:D12" location="Hyperlink!A1" display="IPS"/>
  </hyperlinks>
  <pageMargins left="0.7" right="0.7" top="0.75" bottom="0.75" header="0.3" footer="0.3"/>
  <pageSetup paperSize="1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E7" sqref="E7"/>
    </sheetView>
  </sheetViews>
  <sheetFormatPr defaultColWidth="9" defaultRowHeight="14.5" outlineLevelCol="1"/>
  <cols>
    <col min="1" max="1" width="12.8909090909091" customWidth="1"/>
    <col min="2" max="2" width="14.2181818181818" customWidth="1"/>
  </cols>
  <sheetData>
    <row r="1" spans="1:2">
      <c r="A1" s="1"/>
      <c r="B1" s="1"/>
    </row>
    <row r="2" spans="1:2">
      <c r="A2" s="2"/>
      <c r="B2" s="3"/>
    </row>
    <row r="3" spans="1:2">
      <c r="A3" s="2"/>
      <c r="B3" s="3"/>
    </row>
    <row r="4" spans="1:2">
      <c r="A4" s="2"/>
      <c r="B4" s="3"/>
    </row>
    <row r="5" spans="1:2">
      <c r="A5" s="2"/>
      <c r="B5" s="3"/>
    </row>
    <row r="6" spans="1:2">
      <c r="A6" s="2"/>
      <c r="B6" s="3"/>
    </row>
    <row r="7" spans="1:2">
      <c r="A7" s="2"/>
      <c r="B7" s="3"/>
    </row>
    <row r="8" spans="1:2">
      <c r="A8" s="2"/>
      <c r="B8" s="3"/>
    </row>
    <row r="9" spans="1:2">
      <c r="A9" s="2"/>
      <c r="B9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Summary</vt:lpstr>
      <vt:lpstr>Single</vt:lpstr>
      <vt:lpstr>Multiple</vt:lpstr>
      <vt:lpstr>Paste Link</vt:lpstr>
      <vt:lpstr>Named</vt:lpstr>
      <vt:lpstr>Multiple Sum</vt:lpstr>
      <vt:lpstr>SUM</vt:lpstr>
      <vt:lpstr>Index</vt:lpstr>
      <vt:lpstr>Quarter 1</vt:lpstr>
      <vt:lpstr>Quarter 2</vt:lpstr>
      <vt:lpstr>Quarter 3</vt:lpstr>
      <vt:lpstr>Quarter 4</vt:lpstr>
      <vt:lpstr>New File</vt:lpstr>
      <vt:lpstr>Web Page</vt:lpstr>
      <vt:lpstr>Image File</vt:lpstr>
      <vt:lpstr>Email</vt:lpstr>
      <vt:lpstr>Link Destination</vt:lpstr>
      <vt:lpstr>Modify</vt:lpstr>
      <vt:lpstr>external linking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YOUSUF</dc:creator>
  <cp:lastModifiedBy>Suraj singh</cp:lastModifiedBy>
  <dcterms:created xsi:type="dcterms:W3CDTF">2023-08-07T03:51:00Z</dcterms:created>
  <dcterms:modified xsi:type="dcterms:W3CDTF">2026-09-02T16:08:32Z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9505BD9C9DE3423A89726DD8F66D2586_12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