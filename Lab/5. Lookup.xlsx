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Vlookup" sheetId="1" r:id="rId1"/>
    <sheet name="Hlookup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<sst xmlns="http://schemas.openxmlformats.org/spreadsheetml/2006/main" count="81" uniqueCount="19">
  <si>
    <t>Name</t>
  </si>
  <si>
    <t>Employee ID</t>
  </si>
  <si>
    <t>Salary</t>
  </si>
  <si>
    <t>Bonus</t>
  </si>
  <si>
    <t>Index+ match</t>
  </si>
  <si>
    <t>Rajat L</t>
  </si>
  <si>
    <t>Kriya V</t>
  </si>
  <si>
    <t>Namit J</t>
  </si>
  <si>
    <t>Neha A</t>
  </si>
  <si>
    <t>Nilesh S</t>
  </si>
  <si>
    <t>Mohd Y</t>
  </si>
  <si>
    <t>Lokesh R</t>
  </si>
  <si>
    <t>Chris G</t>
  </si>
  <si>
    <t>Rakesh B</t>
  </si>
  <si>
    <t>Santosh B</t>
  </si>
  <si>
    <t>Vikas C</t>
  </si>
  <si>
    <t>Vivek D</t>
  </si>
  <si>
    <t>Bharat G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</si>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</sst>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&quot;₹&quot;\ #,##0.0"/>
  </numFmts>
  <fonts count="23"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180" fontId="0" fillId="0" borderId="0" xfId="0" applyNumberFormat="1" applyAlignment="1">
      <alignment horizontal="right"/>
    </xf>
    <xf numFmtId="181" fontId="0" fillId="0" borderId="0" xfId="0" applyNumberFormat="1" applyAlignment="1">
      <alignment horizontal="right"/>
    </xf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2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N50"/>
  <sheetViews>
    <sheetView showGridLines="0" tabSelected="1" zoomScale="99" zoomScaleNormal="99" topLeftCell="A30" workbookViewId="0">
      <selection activeCell="G38" sqref="G38"/>
    </sheetView>
  </sheetViews>
  <sheetFormatPr defaultColWidth="9" defaultRowHeight="14.5"/>
  <cols>
    <col min="4" max="4" width="12.1090909090909" customWidth="1"/>
    <col min="5" max="6" width="9.89090909090909" customWidth="1"/>
    <col min="7" max="7" width="10.5454545454545"/>
    <col min="10" max="10" width="11.7272727272727"/>
    <col min="14" max="14" width="13.1818181818182" customWidth="1"/>
  </cols>
  <sheetData>
    <row r="5" spans="3:14">
      <c r="C5" s="1" t="s">
        <v>0</v>
      </c>
      <c r="D5" s="5" t="s">
        <v>1</v>
      </c>
      <c r="E5" s="5" t="s">
        <v>2</v>
      </c>
      <c r="F5" s="5" t="s">
        <v>3</v>
      </c>
      <c r="I5" s="1" t="s">
        <v>0</v>
      </c>
      <c r="J5" s="1" t="s">
        <v>3</v>
      </c>
      <c r="K5" t="s">
        <v>2</v>
      </c>
      <c r="N5" t="s">
        <v>4</v>
      </c>
    </row>
    <row r="6" spans="3:14">
      <c r="C6" t="s">
        <v>5</v>
      </c>
      <c r="D6" s="2">
        <v>1190</v>
      </c>
      <c r="E6" s="3">
        <v>919738</v>
      </c>
      <c r="F6" s="3">
        <v>206941.05</v>
      </c>
      <c r="I6" t="s">
        <v>6</v>
      </c>
      <c r="J6">
        <f>VLOOKUP(I6,$C$5:$F$18,4,FALSE)</f>
        <v>218315.7</v>
      </c>
      <c r="K6">
        <f>VLOOKUP(I6,$C$5:$F$18,3,FALSE)</f>
        <v>970292</v>
      </c>
      <c r="N6" t="str" cm="1">
        <f t="array" ref="N6">INDEX(C5:F18,MATCH(E6,E5:E18,0),MATCH(C5,C5:F5,0))</f>
        <v>Rajat L</v>
      </c>
    </row>
    <row r="7" spans="3:14">
      <c r="C7" t="s">
        <v>7</v>
      </c>
      <c r="D7" s="2">
        <v>1334</v>
      </c>
      <c r="E7" s="3">
        <v>868450</v>
      </c>
      <c r="F7" s="3">
        <v>195401.25</v>
      </c>
      <c r="I7" t="s">
        <v>8</v>
      </c>
      <c r="J7">
        <f>VLOOKUP(I7,$C$5:$F$18,4,FALSE)</f>
        <v>168189.975</v>
      </c>
      <c r="K7">
        <f>VLOOKUP(I7,$C$5:$F$18,3,FALSE)</f>
        <v>747511</v>
      </c>
      <c r="N7" t="str" cm="1">
        <f t="array" ref="N7">INDEX(C5:F18,MATCH(E7,E5:E18,0),MATCH(C5,C5:F5,0))</f>
        <v>Namit J</v>
      </c>
    </row>
    <row r="8" spans="3:14">
      <c r="C8" t="s">
        <v>6</v>
      </c>
      <c r="D8" s="2">
        <v>1631</v>
      </c>
      <c r="E8" s="3">
        <v>970292</v>
      </c>
      <c r="F8" s="3">
        <v>218315.7</v>
      </c>
      <c r="G8"/>
      <c r="I8" t="s">
        <v>9</v>
      </c>
      <c r="J8">
        <f>VLOOKUP(I8,$C$5:$F$18,4,FALSE)</f>
        <v>159665.4</v>
      </c>
      <c r="K8">
        <f>VLOOKUP(I8,$C$5:$F$18,3,FALSE)</f>
        <v>709624</v>
      </c>
    </row>
    <row r="9" spans="3:14">
      <c r="C9" t="s">
        <v>10</v>
      </c>
      <c r="D9" s="2">
        <v>1163</v>
      </c>
      <c r="E9" s="3">
        <v>974125</v>
      </c>
      <c r="F9" s="3">
        <v>219178.125</v>
      </c>
    </row>
    <row r="10" spans="3:14">
      <c r="C10" t="s">
        <v>11</v>
      </c>
      <c r="D10" s="2">
        <v>1454</v>
      </c>
      <c r="E10" s="3">
        <v>995086</v>
      </c>
      <c r="F10" s="3">
        <v>223894.35</v>
      </c>
      <c r="J10">
        <f>MATCH(J5,C5:F5,0)</f>
        <v>4</v>
      </c>
    </row>
    <row r="11" spans="3:14">
      <c r="C11" t="s">
        <v>12</v>
      </c>
      <c r="D11" s="2">
        <v>1263</v>
      </c>
      <c r="E11" s="3">
        <v>996563</v>
      </c>
      <c r="F11" s="3">
        <v>224226.675</v>
      </c>
    </row>
    <row r="12" spans="3:14">
      <c r="C12" t="s">
        <v>8</v>
      </c>
      <c r="D12" s="2">
        <v>1767</v>
      </c>
      <c r="E12" s="3">
        <v>747511</v>
      </c>
      <c r="F12" s="3">
        <v>168189.975</v>
      </c>
      <c r="I12" t="s">
        <v>10</v>
      </c>
      <c r="J12">
        <f>VLOOKUP(I12,C5:F18,MATCH(F5,C5:F5,0),FALSE)</f>
        <v>219178.125</v>
      </c>
    </row>
    <row r="13" spans="3:14">
      <c r="C13" t="s">
        <v>13</v>
      </c>
      <c r="D13" s="2">
        <v>1666</v>
      </c>
      <c r="E13" s="3">
        <v>735280</v>
      </c>
      <c r="F13" s="3">
        <v>165438</v>
      </c>
      <c r="I13" t="s">
        <v>13</v>
      </c>
      <c r="J13">
        <f>VLOOKUP(I13,C5:F18,MATCH(F5,C5:F5,0),FALSE)</f>
        <v>165438</v>
      </c>
    </row>
    <row r="14" spans="3:14">
      <c r="C14" t="s">
        <v>14</v>
      </c>
      <c r="D14" s="2">
        <v>1255</v>
      </c>
      <c r="E14" s="3">
        <v>764439</v>
      </c>
      <c r="F14" s="3">
        <v>171998.775</v>
      </c>
    </row>
    <row r="15" spans="3:14">
      <c r="C15" t="s">
        <v>15</v>
      </c>
      <c r="D15" s="2">
        <v>1352</v>
      </c>
      <c r="E15" s="3">
        <v>917987</v>
      </c>
      <c r="F15" s="3">
        <v>206547.075</v>
      </c>
      <c r="H15" s="6"/>
    </row>
    <row r="16" spans="3:14">
      <c r="C16" t="s">
        <v>16</v>
      </c>
      <c r="D16" s="2">
        <v>1512</v>
      </c>
      <c r="E16" s="3">
        <v>778095</v>
      </c>
      <c r="F16" s="3">
        <v>175071.375</v>
      </c>
    </row>
    <row r="17" spans="3:11">
      <c r="C17" t="s">
        <v>17</v>
      </c>
      <c r="D17" s="2">
        <v>1120</v>
      </c>
      <c r="E17" s="3">
        <v>963652</v>
      </c>
      <c r="F17" s="3">
        <v>216821.7</v>
      </c>
    </row>
    <row r="18" spans="3:11">
      <c r="C18" t="s">
        <v>9</v>
      </c>
      <c r="D18" s="2">
        <v>1927</v>
      </c>
      <c r="E18" s="3">
        <v>709624</v>
      </c>
      <c r="F18" s="3">
        <v>159665.4</v>
      </c>
    </row>
    <row r="19" spans="3:11">
      <c r="I19" t="s">
        <v>5</v>
      </c>
      <c r="J19">
        <f>VLOOKUP(I19,$C$5:$F$18,MATCH(F5,C5:F5,0),FALSE)</f>
        <v>206941.05</v>
      </c>
      <c r="K19">
        <f>VLOOKUP(I19,C5:F18,MATCH(E5,C5:F5,0),FALSE)</f>
        <v>919738</v>
      </c>
    </row>
    <row r="20" spans="3:11">
      <c r="I20" t="s">
        <v>7</v>
      </c>
      <c r="J20">
        <f t="shared" ref="J20:J31" si="0">VLOOKUP(I20,$C$5:$F$18,MATCH(F6,C6:F6,0),FALSE)</f>
        <v>195401.25</v>
      </c>
      <c r="K20">
        <f t="shared" ref="K20:K31" si="1">VLOOKUP(I20,C6:F19,MATCH(E6,C6:F6,0),FALSE)</f>
        <v>868450</v>
      </c>
    </row>
    <row r="21" spans="3:11">
      <c r="I21" t="s">
        <v>6</v>
      </c>
      <c r="J21">
        <f t="shared" si="0"/>
        <v>218315.7</v>
      </c>
      <c r="K21">
        <f t="shared" si="1"/>
        <v>970292</v>
      </c>
    </row>
    <row r="22" spans="3:11">
      <c r="I22" t="s">
        <v>10</v>
      </c>
      <c r="J22">
        <f t="shared" si="0"/>
        <v>219178.125</v>
      </c>
      <c r="K22">
        <f t="shared" si="1"/>
        <v>974125</v>
      </c>
    </row>
    <row r="23" spans="3:11">
      <c r="I23" t="s">
        <v>11</v>
      </c>
      <c r="J23">
        <f t="shared" si="0"/>
        <v>223894.35</v>
      </c>
      <c r="K23">
        <f t="shared" si="1"/>
        <v>995086</v>
      </c>
    </row>
    <row r="24" spans="3:11">
      <c r="C24" s="7" t="s">
        <v>0</v>
      </c>
      <c r="D24" s="7" t="s">
        <v>3</v>
      </c>
      <c r="I24" t="s">
        <v>12</v>
      </c>
      <c r="J24">
        <f t="shared" si="0"/>
        <v>224226.675</v>
      </c>
      <c r="K24">
        <f t="shared" si="1"/>
        <v>996563</v>
      </c>
    </row>
    <row r="25" spans="3:11">
      <c r="C25" t="str">
        <f>_xlfn.XLOOKUP(F6,F5:F18,C5:C18,)</f>
        <v>Rajat L</v>
      </c>
      <c r="D25" s="3">
        <v>206941.05</v>
      </c>
      <c r="I25" t="s">
        <v>8</v>
      </c>
      <c r="J25">
        <f t="shared" si="0"/>
        <v>168189.975</v>
      </c>
      <c r="K25">
        <f t="shared" si="1"/>
        <v>747511</v>
      </c>
    </row>
    <row r="26" spans="3:11">
      <c r="C26" t="str">
        <f>_xlfn.XLOOKUP(F7,F5:F18,C5:C18,)</f>
        <v>Namit J</v>
      </c>
      <c r="D26" s="3">
        <v>195401.25</v>
      </c>
      <c r="I26" t="s">
        <v>13</v>
      </c>
      <c r="J26">
        <f t="shared" si="0"/>
        <v>165438</v>
      </c>
      <c r="K26">
        <f t="shared" si="1"/>
        <v>735280</v>
      </c>
    </row>
    <row r="27" spans="3:11">
      <c r="I27" t="s">
        <v>14</v>
      </c>
      <c r="J27">
        <f t="shared" si="0"/>
        <v>171998.775</v>
      </c>
      <c r="K27">
        <f t="shared" si="1"/>
        <v>764439</v>
      </c>
    </row>
    <row r="28" spans="3:11">
      <c r="I28" t="s">
        <v>15</v>
      </c>
      <c r="J28">
        <f t="shared" si="0"/>
        <v>206547.075</v>
      </c>
      <c r="K28">
        <f t="shared" si="1"/>
        <v>917987</v>
      </c>
    </row>
    <row r="29" spans="3:11">
      <c r="I29" t="s">
        <v>16</v>
      </c>
      <c r="J29">
        <f t="shared" si="0"/>
        <v>175071.375</v>
      </c>
      <c r="K29">
        <f t="shared" si="1"/>
        <v>778095</v>
      </c>
    </row>
    <row r="30" spans="3:11">
      <c r="D30" s="3">
        <v>974125</v>
      </c>
      <c r="E30">
        <f>_xlfn.XLOOKUP(D30,E5:E18,D5:D18,MATCH(D30,C5:F5,0))</f>
        <v>1163</v>
      </c>
      <c r="I30" t="s">
        <v>17</v>
      </c>
      <c r="J30">
        <f t="shared" si="0"/>
        <v>216821.7</v>
      </c>
      <c r="K30">
        <f t="shared" si="1"/>
        <v>963652</v>
      </c>
    </row>
    <row r="31" spans="3:11">
      <c r="D31" s="3">
        <v>995086</v>
      </c>
      <c r="I31" t="s">
        <v>9</v>
      </c>
      <c r="J31">
        <f t="shared" si="0"/>
        <v>159665.4</v>
      </c>
      <c r="K31">
        <f t="shared" si="1"/>
        <v>709624</v>
      </c>
    </row>
    <row r="32" spans="3:11">
      <c r="D32" s="3">
        <v>996563</v>
      </c>
    </row>
    <row r="37" spans="3:7">
      <c r="C37" s="1" t="s">
        <v>0</v>
      </c>
      <c r="D37" s="5" t="s">
        <v>1</v>
      </c>
      <c r="E37" s="5" t="s">
        <v>2</v>
      </c>
      <c r="F37" s="5" t="s">
        <v>3</v>
      </c>
    </row>
    <row r="38" spans="3:7">
      <c r="D38" cm="1">
        <f t="array" ref="D38">INDEX(C5:F18,MATCH(E6,E5:E18,0),MATCH(D5,C5:F5,0))</f>
        <v>1190</v>
      </c>
      <c r="E38" s="3">
        <v>919738</v>
      </c>
      <c r="F38" cm="1">
        <f t="array" ref="F38:F50">_xlfn.XLOOKUP(E38:E50,E38:E50,F6:F18,)</f>
        <v>206941.05</v>
      </c>
      <c r="G38" cm="1">
        <f t="array" ref="G38:G50">_xlfn.XLOOKUP(E38:E50,E38:E50,F6:F18)</f>
        <v>206941.05</v>
      </c>
    </row>
    <row r="39" spans="3:7">
      <c r="D39" cm="1">
        <f t="array" ref="D39">INDEX(C6:F19,MATCH(E7,E6:E19,0),MATCH(D6,C6:F6,0))</f>
        <v>1334</v>
      </c>
      <c r="E39" s="3">
        <v>868450</v>
      </c>
      <c r="F39">
        <v>195401.25</v>
      </c>
      <c r="G39">
        <v>195401.25</v>
      </c>
    </row>
    <row r="40" spans="3:7">
      <c r="D40" cm="1">
        <f t="array" ref="D40">INDEX(C7:F20,MATCH(E8,E7:E20,0),MATCH(D7,C7:F7,0))</f>
        <v>1631</v>
      </c>
      <c r="E40" s="3">
        <v>970292</v>
      </c>
      <c r="F40">
        <v>218315.7</v>
      </c>
      <c r="G40">
        <v>218315.7</v>
      </c>
    </row>
    <row r="41" spans="3:7">
      <c r="D41" cm="1">
        <f t="array" ref="D41">INDEX(C8:F21,MATCH(E9,E8:E21,0),MATCH(D8,C8:F8,0))</f>
        <v>1163</v>
      </c>
      <c r="E41" s="3">
        <v>974125</v>
      </c>
      <c r="F41">
        <v>219178.125</v>
      </c>
      <c r="G41">
        <v>219178.125</v>
      </c>
    </row>
    <row r="42" spans="3:7">
      <c r="D42" cm="1">
        <f t="array" ref="D42">INDEX(C9:F22,MATCH(E10,E9:E22,0),MATCH(D9,C9:F9,0))</f>
        <v>1454</v>
      </c>
      <c r="E42" s="3">
        <v>995086</v>
      </c>
      <c r="F42">
        <v>223894.35</v>
      </c>
      <c r="G42">
        <v>223894.35</v>
      </c>
    </row>
    <row r="43" spans="3:7">
      <c r="D43" cm="1">
        <f t="array" ref="D43">INDEX(C10:F23,MATCH(E11,E10:E23,0),MATCH(D10,C10:F10,0))</f>
        <v>1263</v>
      </c>
      <c r="E43" s="3">
        <v>996563</v>
      </c>
      <c r="F43">
        <v>224226.675</v>
      </c>
      <c r="G43">
        <v>224226.675</v>
      </c>
    </row>
    <row r="44" spans="3:7">
      <c r="D44" cm="1">
        <f t="array" ref="D44">INDEX(C11:F24,MATCH(E12,E11:E24,0),MATCH(D11,C11:F11,0))</f>
        <v>1767</v>
      </c>
      <c r="E44" s="3">
        <v>747511</v>
      </c>
      <c r="F44">
        <v>168189.975</v>
      </c>
      <c r="G44">
        <v>168189.975</v>
      </c>
    </row>
    <row r="45" spans="3:7">
      <c r="D45" cm="1">
        <f t="array" ref="D45">INDEX(C12:F25,MATCH(E13,E12:E25,0),MATCH(D12,C12:F12,0))</f>
        <v>1666</v>
      </c>
      <c r="E45" s="3">
        <v>735280</v>
      </c>
      <c r="F45">
        <v>165438</v>
      </c>
      <c r="G45">
        <v>165438</v>
      </c>
    </row>
    <row r="46" spans="3:7">
      <c r="D46" cm="1">
        <f t="array" ref="D46">INDEX(C13:F26,MATCH(E14,E13:E26,0),MATCH(D13,C13:F13,0))</f>
        <v>1255</v>
      </c>
      <c r="E46" s="3">
        <v>764439</v>
      </c>
      <c r="F46">
        <v>171998.775</v>
      </c>
      <c r="G46">
        <v>171998.775</v>
      </c>
    </row>
    <row r="47" spans="3:7">
      <c r="D47" cm="1">
        <f t="array" ref="D47">INDEX(C14:F27,MATCH(E15,E14:E27,0),MATCH(D14,C14:F14,0))</f>
        <v>1352</v>
      </c>
      <c r="E47" s="3">
        <v>917987</v>
      </c>
      <c r="F47">
        <v>206547.075</v>
      </c>
      <c r="G47">
        <v>206547.075</v>
      </c>
    </row>
    <row r="48" spans="3:7">
      <c r="D48" cm="1">
        <f t="array" ref="D48">INDEX(C15:F28,MATCH(E16,E15:E28,0),MATCH(D15,C15:F15,0))</f>
        <v>1512</v>
      </c>
      <c r="E48" s="3">
        <v>778095</v>
      </c>
      <c r="F48">
        <v>175071.375</v>
      </c>
      <c r="G48">
        <v>175071.375</v>
      </c>
    </row>
    <row r="49" spans="4:7">
      <c r="D49" cm="1">
        <f t="array" ref="D49">INDEX(C16:F29,MATCH(E17,E16:E29,0),MATCH(D16,C16:F16,0))</f>
        <v>1120</v>
      </c>
      <c r="E49" s="3">
        <v>963652</v>
      </c>
      <c r="F49">
        <v>216821.7</v>
      </c>
      <c r="G49">
        <v>216821.7</v>
      </c>
    </row>
    <row r="50" spans="4:7">
      <c r="D50" cm="1">
        <f t="array" ref="D50">INDEX(C17:F30,MATCH(E18,E17:E30,0),MATCH(D17,C17:F17,0))</f>
        <v>1927</v>
      </c>
      <c r="E50" s="3">
        <v>709624</v>
      </c>
      <c r="F50">
        <v>159665.4</v>
      </c>
      <c r="G50">
        <v>159665.4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R15"/>
  <sheetViews>
    <sheetView showGridLines="0" zoomScale="74" zoomScaleNormal="74" workbookViewId="0">
      <selection activeCell="I15" sqref="I15"/>
    </sheetView>
  </sheetViews>
  <sheetFormatPr defaultColWidth="9" defaultRowHeight="14.5"/>
  <cols>
    <col min="3" max="3" width="12.1090909090909" customWidth="1"/>
    <col min="4" max="4" width="12" customWidth="1"/>
    <col min="5" max="9" width="10.3363636363636" customWidth="1"/>
    <col min="10" max="10" width="11" customWidth="1"/>
    <col min="11" max="16" width="10.3363636363636" customWidth="1"/>
    <col min="17" max="18" width="9.54545454545454"/>
  </cols>
  <sheetData>
    <row r="2" spans="3:18">
      <c r="C2" t="s">
        <v>18</v>
      </c>
    </row>
    <row r="3" spans="3:18">
      <c r="C3" s="1" t="s">
        <v>0</v>
      </c>
      <c r="D3" s="2" t="s">
        <v>5</v>
      </c>
      <c r="E3" s="2" t="s">
        <v>7</v>
      </c>
      <c r="F3" s="2" t="s">
        <v>6</v>
      </c>
      <c r="G3" s="2" t="s">
        <v>10</v>
      </c>
      <c r="H3" s="2" t="s">
        <v>11</v>
      </c>
      <c r="I3" s="2" t="s">
        <v>12</v>
      </c>
      <c r="J3" s="2" t="s">
        <v>8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9</v>
      </c>
    </row>
    <row r="4" spans="3:18">
      <c r="C4" s="1" t="s">
        <v>1</v>
      </c>
      <c r="D4" s="2">
        <v>1190</v>
      </c>
      <c r="E4" s="2">
        <v>1334</v>
      </c>
      <c r="F4" s="2">
        <v>1631</v>
      </c>
      <c r="G4" s="2">
        <v>1163</v>
      </c>
      <c r="H4" s="2">
        <v>1454</v>
      </c>
      <c r="I4" s="2">
        <v>1263</v>
      </c>
      <c r="J4" s="2">
        <v>1767</v>
      </c>
      <c r="K4" s="2">
        <v>1666</v>
      </c>
      <c r="L4" s="2">
        <v>1255</v>
      </c>
      <c r="M4" s="2">
        <v>1352</v>
      </c>
      <c r="N4" s="2">
        <v>1512</v>
      </c>
      <c r="O4" s="2">
        <v>1120</v>
      </c>
      <c r="P4" s="2">
        <v>1927</v>
      </c>
    </row>
    <row r="5" spans="3:18">
      <c r="C5" s="1" t="s">
        <v>2</v>
      </c>
      <c r="D5" s="3">
        <v>919738</v>
      </c>
      <c r="E5" s="3">
        <v>868450</v>
      </c>
      <c r="F5" s="3">
        <v>970292</v>
      </c>
      <c r="G5" s="3">
        <v>974125</v>
      </c>
      <c r="H5" s="3">
        <v>995086</v>
      </c>
      <c r="I5" s="3">
        <v>996563</v>
      </c>
      <c r="J5" s="3">
        <v>747511</v>
      </c>
      <c r="K5" s="3">
        <v>735280</v>
      </c>
      <c r="L5" s="3">
        <v>764439</v>
      </c>
      <c r="M5" s="3">
        <v>917987</v>
      </c>
      <c r="N5" s="3">
        <v>778095</v>
      </c>
      <c r="O5" s="3">
        <v>963652</v>
      </c>
      <c r="P5" s="3">
        <v>709624</v>
      </c>
    </row>
    <row r="6" spans="3:18">
      <c r="C6" s="1" t="s">
        <v>3</v>
      </c>
      <c r="D6" s="3">
        <v>206941.05</v>
      </c>
      <c r="E6" s="3">
        <v>195401.25</v>
      </c>
      <c r="F6" s="3">
        <v>218315.7</v>
      </c>
      <c r="G6" s="3">
        <v>219178.125</v>
      </c>
      <c r="H6" s="3">
        <v>223894.35</v>
      </c>
      <c r="I6" s="3">
        <v>224226.675</v>
      </c>
      <c r="J6" s="4">
        <v>168189.975</v>
      </c>
      <c r="K6" s="3">
        <v>165438</v>
      </c>
      <c r="L6" s="3">
        <v>171998.775</v>
      </c>
      <c r="M6" s="3">
        <v>206547.075</v>
      </c>
      <c r="N6" s="3">
        <v>175071.375</v>
      </c>
      <c r="O6" s="3">
        <v>216821.7</v>
      </c>
      <c r="P6" s="3">
        <v>159665.4</v>
      </c>
    </row>
    <row r="8" spans="3:18">
      <c r="C8" s="1" t="s">
        <v>0</v>
      </c>
      <c r="D8" s="1" t="s">
        <v>3</v>
      </c>
    </row>
    <row r="9" spans="3:18">
      <c r="C9" s="2" t="s">
        <v>10</v>
      </c>
      <c r="D9" s="3">
        <f>HLOOKUP(C9,$C$3:$P$6,4,FALSE)</f>
        <v>219178.125</v>
      </c>
    </row>
    <row r="10" spans="3:18">
      <c r="C10" s="2" t="s">
        <v>14</v>
      </c>
      <c r="D10" s="3">
        <f>HLOOKUP(C10,$C$3:$P$6,4,FALSE)</f>
        <v>171998.775</v>
      </c>
    </row>
    <row r="11" spans="3:18">
      <c r="C11" s="2" t="s">
        <v>17</v>
      </c>
      <c r="D11" s="3">
        <f>HLOOKUP(C11,$C$3:$P$6,4,FALSE)</f>
        <v>216821.7</v>
      </c>
    </row>
    <row r="12" spans="3:18">
      <c r="F12">
        <f>HLOOKUP(C9,C3:P6,MATCH(C6,C3:C6,0),FALSE)</f>
        <v>219178.125</v>
      </c>
    </row>
    <row r="14" spans="3:18">
      <c r="F14" s="2" t="s">
        <v>5</v>
      </c>
      <c r="G14" s="2" t="s">
        <v>7</v>
      </c>
      <c r="H14" s="2" t="s">
        <v>6</v>
      </c>
      <c r="I14" s="2" t="s">
        <v>10</v>
      </c>
      <c r="J14" s="2" t="s">
        <v>11</v>
      </c>
      <c r="K14" s="2" t="s">
        <v>12</v>
      </c>
      <c r="L14" s="2" t="s">
        <v>8</v>
      </c>
      <c r="M14" s="2" t="s">
        <v>13</v>
      </c>
      <c r="N14" s="2" t="s">
        <v>14</v>
      </c>
      <c r="O14" s="2" t="s">
        <v>15</v>
      </c>
      <c r="P14" s="2" t="s">
        <v>16</v>
      </c>
      <c r="Q14" s="2" t="s">
        <v>17</v>
      </c>
      <c r="R14" s="2" t="s">
        <v>9</v>
      </c>
    </row>
    <row r="15" spans="3:18">
      <c r="F15">
        <f>HLOOKUP(F14,$C$3:$P$6,MATCH(C6,C3:C6,0),FALSE)</f>
        <v>206941.05</v>
      </c>
      <c r="G15">
        <f t="shared" ref="G15:R15" si="0">HLOOKUP(G14,$C$3:$P$6,MATCH(D6,D3:D6,0),FALSE)</f>
        <v>195401.25</v>
      </c>
      <c r="H15">
        <f t="shared" si="0"/>
        <v>218315.7</v>
      </c>
      <c r="I15">
        <f t="shared" si="0"/>
        <v>219178.125</v>
      </c>
      <c r="J15">
        <f t="shared" si="0"/>
        <v>223894.35</v>
      </c>
      <c r="K15">
        <f t="shared" si="0"/>
        <v>224226.675</v>
      </c>
      <c r="L15">
        <f t="shared" si="0"/>
        <v>168189.975</v>
      </c>
      <c r="M15">
        <f t="shared" si="0"/>
        <v>165438</v>
      </c>
      <c r="N15">
        <f t="shared" si="0"/>
        <v>171998.775</v>
      </c>
      <c r="O15">
        <f t="shared" si="0"/>
        <v>206547.075</v>
      </c>
      <c r="P15">
        <f t="shared" si="0"/>
        <v>175071.375</v>
      </c>
      <c r="Q15">
        <f t="shared" si="0"/>
        <v>216821.7</v>
      </c>
      <c r="R15">
        <f t="shared" si="0"/>
        <v>159665.4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Vlookup</vt:lpstr>
      <vt:lpstr>Hlookup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Verma</dc:creator>
  <cp:lastModifiedBy>Suraj singh</cp:lastModifiedBy>
  <dcterms:created xsi:type="dcterms:W3CDTF">2023-10-11T06:57:00Z</dcterms:created>
  <dcterms:modified xsi:type="dcterms:W3CDTF">2026-08-24T16:42:28Z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{FA3B27F2-9E52-40A5-BB57-C126BF0D8EE9}</vt:lpwstr>
  </property>
  <property fmtid="{D5CDD505-2E9C-101B-9397-08002B2CF9AE}" pid="3" name="ICV">
    <vt:lpwstr>486CFA3FAAA942D8966B5837FB7F4359_12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