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<sst xmlns="http://schemas.openxmlformats.org/spreadsheetml/2006/main" count="23" uniqueCount="23">
  <si>
    <t xml:space="preserve">Number </t>
  </si>
  <si>
    <t>Student Name</t>
  </si>
  <si>
    <t>Sub 1</t>
  </si>
  <si>
    <t>Sub 2</t>
  </si>
  <si>
    <t>Sub 3</t>
  </si>
  <si>
    <t>Sub 4</t>
  </si>
  <si>
    <t>Sub 5</t>
  </si>
  <si>
    <t>Sub 6</t>
  </si>
  <si>
    <t>Total Marks</t>
  </si>
  <si>
    <t>Average (%)</t>
  </si>
  <si>
    <t>Rank</t>
  </si>
  <si>
    <t>Pass/fail</t>
  </si>
  <si>
    <t>Status</t>
  </si>
  <si>
    <t>Harsh singh</t>
  </si>
  <si>
    <t>Uttam singh</t>
  </si>
  <si>
    <t>Kishan singh</t>
  </si>
  <si>
    <t>Madhav singh</t>
  </si>
  <si>
    <t>Mayank singh</t>
  </si>
  <si>
    <t>Vivek singh</t>
  </si>
  <si>
    <t>Sidhharth singh</t>
  </si>
  <si>
    <t>Abhay singh</t>
  </si>
  <si>
    <t>Satya singh</t>
  </si>
  <si>
    <t>Karan singh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</si>
</sst>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3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4" applyNumberFormat="0" applyFill="0" applyAlignment="0" applyProtection="0">
      <alignment vertical="center"/>
    </xf>
    <xf numFmtId="0" fontId="7" fillId="0" borderId="14" applyNumberFormat="0" applyFill="0" applyAlignment="0" applyProtection="0">
      <alignment vertical="center"/>
    </xf>
    <xf numFmtId="0" fontId="8" fillId="0" borderId="1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16" applyNumberFormat="0" applyAlignment="0" applyProtection="0">
      <alignment vertical="center"/>
    </xf>
    <xf numFmtId="0" fontId="10" fillId="4" borderId="17" applyNumberFormat="0" applyAlignment="0" applyProtection="0">
      <alignment vertical="center"/>
    </xf>
    <xf numFmtId="0" fontId="11" fillId="4" borderId="16" applyNumberFormat="0" applyAlignment="0" applyProtection="0">
      <alignment vertical="center"/>
    </xf>
    <xf numFmtId="0" fontId="12" fillId="5" borderId="18" applyNumberFormat="0" applyAlignment="0" applyProtection="0">
      <alignment vertical="center"/>
    </xf>
    <xf numFmtId="0" fontId="13" fillId="0" borderId="19" applyNumberFormat="0" applyFill="0" applyAlignment="0" applyProtection="0">
      <alignment vertical="center"/>
    </xf>
    <xf numFmtId="0" fontId="14" fillId="0" borderId="20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176" fontId="0" fillId="0" borderId="2" xfId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6" fontId="0" fillId="0" borderId="5" xfId="1" applyBorder="1">
      <alignment vertical="center"/>
    </xf>
    <xf numFmtId="0" fontId="0" fillId="0" borderId="5" xfId="0" applyNumberFormat="1" applyBorder="1">
      <alignment vertical="center"/>
    </xf>
    <xf numFmtId="0" fontId="0" fillId="0" borderId="6" xfId="0" applyNumberForma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176" fontId="0" fillId="0" borderId="8" xfId="1" applyBorder="1">
      <alignment vertical="center"/>
    </xf>
    <xf numFmtId="0" fontId="0" fillId="0" borderId="8" xfId="0" applyNumberFormat="1" applyBorder="1">
      <alignment vertical="center"/>
    </xf>
    <xf numFmtId="0" fontId="0" fillId="0" borderId="9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176" fontId="0" fillId="0" borderId="11" xfId="1" applyBorder="1">
      <alignment vertical="center"/>
    </xf>
    <xf numFmtId="0" fontId="0" fillId="0" borderId="11" xfId="0" applyNumberFormat="1" applyBorder="1">
      <alignment vertical="center"/>
    </xf>
    <xf numFmtId="0" fontId="0" fillId="0" borderId="12" xfId="0" applyNumberForma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M11" totalsRowShown="0">
  <autoFilter xmlns:etc="http://www.wps.cn/officeDocument/2017/etCustomData" ref="A1:M11" etc:filterBottomFollowUsedRange="0"/>
  <tableColumns count="13">
    <tableColumn id="1" name="Number "/>
    <tableColumn id="2" name="Student Name"/>
    <tableColumn id="3" name="Sub 1"/>
    <tableColumn id="4" name="Sub 2"/>
    <tableColumn id="5" name="Sub 3"/>
    <tableColumn id="6" name="Sub 4"/>
    <tableColumn id="7" name="Sub 5"/>
    <tableColumn id="8" name="Sub 6"/>
    <tableColumn id="9" name="Total Marks">
      <calculatedColumnFormula>SUM(C2+D2+E2+F2+G2+H2)</calculatedColumnFormula>
    </tableColumn>
    <tableColumn id="10" name="Average (%)" dataDxfId="0">
      <calculatedColumnFormula>SUM(I2/6)</calculatedColumnFormula>
    </tableColumn>
    <tableColumn id="11" name="Rank" dataDxfId="1">
      <calculatedColumnFormula>RANK(I2,$I$2:$I$11,0)</calculatedColumnFormula>
    </tableColumn>
    <tableColumn id="12" name="Pass/fail" dataDxfId="2">
      <calculatedColumnFormula>IF(AND(C2&gt;=33,D2&gt;=33,E2&gt;=33,F2&gt;=33,G2&gt;=33,H2&gt;=33),"PASS","FAIL")</calculatedColumnFormula>
    </tableColumn>
    <tableColumn id="13" name="Status" dataDxfId="3">
      <calculatedColumnFormula>IF(AND(C2&gt;=33,D2&gt;=33,E2&gt;=33,F2&gt;=33,G2&gt;=33,H2&gt;=33),"Prmoted","Detained")</calculatedColumnFormula>
    </tableColumn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tabSelected="1" workbookViewId="0">
      <selection activeCell="M3" sqref="M3"/>
    </sheetView>
  </sheetViews>
  <sheetFormatPr defaultColWidth="8.72727272727273" defaultRowHeight="14.5"/>
  <cols>
    <col min="1" max="1" width="15" customWidth="1"/>
    <col min="2" max="2" width="13.9090909090909" customWidth="1"/>
    <col min="9" max="9" width="11.6363636363636" customWidth="1"/>
    <col min="10" max="10" width="12.8181818181818"/>
  </cols>
  <sheetData>
    <row r="1" ht="15.25" spans="1:1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4" t="s">
        <v>12</v>
      </c>
    </row>
    <row r="2" ht="15.25" spans="1:13">
      <c r="A2" s="5">
        <v>1</v>
      </c>
      <c r="B2" s="6" t="s">
        <v>13</v>
      </c>
      <c r="C2" s="6">
        <v>73</v>
      </c>
      <c r="D2" s="6">
        <v>35</v>
      </c>
      <c r="E2" s="6">
        <v>94</v>
      </c>
      <c r="F2" s="6">
        <v>67</v>
      </c>
      <c r="G2" s="6">
        <v>91</v>
      </c>
      <c r="H2" s="6">
        <v>71</v>
      </c>
      <c r="I2" s="6">
        <f>SUM(C2:H2)</f>
        <v>431</v>
      </c>
      <c r="J2" s="7">
        <f t="shared" ref="J2:J11" si="0">SUM(I2/6)</f>
        <v>71.8333333333333</v>
      </c>
      <c r="K2" s="8">
        <f>RANK(I2,$I$2:$I$11,0)</f>
        <v>3</v>
      </c>
      <c r="L2" s="8" t="str">
        <f t="shared" ref="L2:L11" si="1">IF(AND(C2&gt;=33,D2&gt;=33,E2&gt;=33,F2&gt;=33,G2&gt;=33,H2&gt;=33),"PASS","FAIL")</f>
        <v>PASS</v>
      </c>
      <c r="M2" s="9" t="str">
        <f t="shared" ref="M2:M11" si="2">IF(AND(C2&gt;=33,D2&gt;=33,E2&gt;=33,F2&gt;=33,G2&gt;=33,H2&gt;=33),"Prmoted","Detained")</f>
        <v>Prmoted</v>
      </c>
    </row>
    <row r="3" ht="15.25" spans="1:13">
      <c r="A3" s="10">
        <v>2</v>
      </c>
      <c r="B3" s="11" t="s">
        <v>14</v>
      </c>
      <c r="C3" s="11">
        <v>97</v>
      </c>
      <c r="D3" s="11">
        <v>90</v>
      </c>
      <c r="E3" s="11">
        <v>83</v>
      </c>
      <c r="F3" s="11">
        <v>76</v>
      </c>
      <c r="G3" s="11">
        <v>69</v>
      </c>
      <c r="H3" s="11">
        <v>62</v>
      </c>
      <c r="I3" s="11">
        <f t="shared" ref="I3:I11" si="3">SUM(C3+D3+E3+F3+G3+H3)</f>
        <v>477</v>
      </c>
      <c r="J3" s="12">
        <f t="shared" si="0"/>
        <v>79.5</v>
      </c>
      <c r="K3" s="8">
        <f t="shared" ref="K3:K11" si="4">RANK(I3,$I$2:$I$11,0)</f>
        <v>1</v>
      </c>
      <c r="L3" s="13" t="str">
        <f t="shared" si="1"/>
        <v>PASS</v>
      </c>
      <c r="M3" s="14" t="str">
        <f t="shared" si="2"/>
        <v>Prmoted</v>
      </c>
    </row>
    <row r="4" ht="15.25" spans="1:13">
      <c r="A4" s="10">
        <v>3</v>
      </c>
      <c r="B4" s="11" t="s">
        <v>15</v>
      </c>
      <c r="C4" s="11">
        <v>92</v>
      </c>
      <c r="D4" s="11">
        <v>85</v>
      </c>
      <c r="E4" s="11">
        <v>78</v>
      </c>
      <c r="F4" s="11">
        <v>71</v>
      </c>
      <c r="G4" s="11">
        <v>64</v>
      </c>
      <c r="H4" s="11">
        <v>57</v>
      </c>
      <c r="I4" s="11">
        <f t="shared" si="3"/>
        <v>447</v>
      </c>
      <c r="J4" s="12">
        <f t="shared" si="0"/>
        <v>74.5</v>
      </c>
      <c r="K4" s="8">
        <f t="shared" si="4"/>
        <v>2</v>
      </c>
      <c r="L4" s="13" t="str">
        <f t="shared" si="1"/>
        <v>PASS</v>
      </c>
      <c r="M4" s="14" t="str">
        <f t="shared" si="2"/>
        <v>Prmoted</v>
      </c>
    </row>
    <row r="5" ht="15.25" spans="1:13">
      <c r="A5" s="10">
        <v>4</v>
      </c>
      <c r="B5" s="11" t="s">
        <v>16</v>
      </c>
      <c r="C5" s="11">
        <v>87</v>
      </c>
      <c r="D5" s="11">
        <v>80</v>
      </c>
      <c r="E5" s="11">
        <v>73</v>
      </c>
      <c r="F5" s="11">
        <v>66</v>
      </c>
      <c r="G5" s="11">
        <v>59</v>
      </c>
      <c r="H5" s="11">
        <v>52</v>
      </c>
      <c r="I5" s="11">
        <f t="shared" si="3"/>
        <v>417</v>
      </c>
      <c r="J5" s="12">
        <f t="shared" si="0"/>
        <v>69.5</v>
      </c>
      <c r="K5" s="8">
        <f t="shared" si="4"/>
        <v>4</v>
      </c>
      <c r="L5" s="13" t="str">
        <f t="shared" si="1"/>
        <v>PASS</v>
      </c>
      <c r="M5" s="14" t="str">
        <f t="shared" si="2"/>
        <v>Prmoted</v>
      </c>
    </row>
    <row r="6" ht="15.25" spans="1:13">
      <c r="A6" s="10">
        <v>5</v>
      </c>
      <c r="B6" s="11" t="s">
        <v>17</v>
      </c>
      <c r="C6" s="11">
        <v>35</v>
      </c>
      <c r="D6" s="11">
        <v>75</v>
      </c>
      <c r="E6" s="11">
        <v>68</v>
      </c>
      <c r="F6" s="11">
        <v>61</v>
      </c>
      <c r="G6" s="11">
        <v>54</v>
      </c>
      <c r="H6" s="11">
        <v>47</v>
      </c>
      <c r="I6" s="11">
        <f t="shared" si="3"/>
        <v>340</v>
      </c>
      <c r="J6" s="12">
        <f t="shared" si="0"/>
        <v>56.6666666666667</v>
      </c>
      <c r="K6" s="8">
        <f t="shared" si="4"/>
        <v>7</v>
      </c>
      <c r="L6" s="13" t="str">
        <f t="shared" si="1"/>
        <v>PASS</v>
      </c>
      <c r="M6" s="14" t="str">
        <f t="shared" si="2"/>
        <v>Prmoted</v>
      </c>
    </row>
    <row r="7" ht="15.25" spans="1:13">
      <c r="A7" s="10">
        <v>6</v>
      </c>
      <c r="B7" s="11" t="s">
        <v>18</v>
      </c>
      <c r="C7" s="11">
        <v>30</v>
      </c>
      <c r="D7" s="11">
        <v>25</v>
      </c>
      <c r="E7" s="11">
        <v>63</v>
      </c>
      <c r="F7" s="11">
        <v>56</v>
      </c>
      <c r="G7" s="11">
        <v>49</v>
      </c>
      <c r="H7" s="11">
        <v>42</v>
      </c>
      <c r="I7" s="11">
        <f t="shared" si="3"/>
        <v>265</v>
      </c>
      <c r="J7" s="12">
        <f t="shared" si="0"/>
        <v>44.1666666666667</v>
      </c>
      <c r="K7" s="8">
        <f t="shared" si="4"/>
        <v>8</v>
      </c>
      <c r="L7" s="13" t="str">
        <f t="shared" si="1"/>
        <v>FAIL</v>
      </c>
      <c r="M7" s="14" t="str">
        <f t="shared" si="2"/>
        <v>Detained</v>
      </c>
    </row>
    <row r="8" ht="15.25" spans="1:13">
      <c r="A8" s="10">
        <v>7</v>
      </c>
      <c r="B8" s="11" t="s">
        <v>19</v>
      </c>
      <c r="C8" s="11">
        <v>25</v>
      </c>
      <c r="D8" s="11">
        <v>20</v>
      </c>
      <c r="E8" s="11">
        <v>58</v>
      </c>
      <c r="F8" s="11">
        <v>51</v>
      </c>
      <c r="G8" s="11">
        <v>44</v>
      </c>
      <c r="H8" s="11">
        <v>37</v>
      </c>
      <c r="I8" s="11">
        <f t="shared" si="3"/>
        <v>235</v>
      </c>
      <c r="J8" s="12">
        <f t="shared" si="0"/>
        <v>39.1666666666667</v>
      </c>
      <c r="K8" s="8">
        <f t="shared" si="4"/>
        <v>9</v>
      </c>
      <c r="L8" s="13" t="str">
        <f t="shared" si="1"/>
        <v>FAIL</v>
      </c>
      <c r="M8" s="14" t="str">
        <f t="shared" si="2"/>
        <v>Detained</v>
      </c>
    </row>
    <row r="9" ht="15.25" spans="1:13">
      <c r="A9" s="10">
        <v>8</v>
      </c>
      <c r="B9" s="11" t="s">
        <v>20</v>
      </c>
      <c r="C9" s="11">
        <v>20</v>
      </c>
      <c r="D9" s="11">
        <v>15</v>
      </c>
      <c r="E9" s="11">
        <v>53</v>
      </c>
      <c r="F9" s="11">
        <v>46</v>
      </c>
      <c r="G9" s="11">
        <v>39</v>
      </c>
      <c r="H9" s="11">
        <v>32</v>
      </c>
      <c r="I9" s="11">
        <f t="shared" si="3"/>
        <v>205</v>
      </c>
      <c r="J9" s="12">
        <f t="shared" si="0"/>
        <v>34.1666666666667</v>
      </c>
      <c r="K9" s="8">
        <f t="shared" si="4"/>
        <v>10</v>
      </c>
      <c r="L9" s="13" t="str">
        <f t="shared" si="1"/>
        <v>FAIL</v>
      </c>
      <c r="M9" s="14" t="str">
        <f t="shared" si="2"/>
        <v>Detained</v>
      </c>
    </row>
    <row r="10" ht="15.25" spans="1:13">
      <c r="A10" s="10">
        <v>9</v>
      </c>
      <c r="B10" s="11" t="s">
        <v>21</v>
      </c>
      <c r="C10" s="11">
        <v>99</v>
      </c>
      <c r="D10" s="11">
        <v>34</v>
      </c>
      <c r="E10" s="11">
        <v>35</v>
      </c>
      <c r="F10" s="11">
        <v>91</v>
      </c>
      <c r="G10" s="11">
        <v>28</v>
      </c>
      <c r="H10" s="11">
        <v>79</v>
      </c>
      <c r="I10" s="11">
        <f t="shared" si="3"/>
        <v>366</v>
      </c>
      <c r="J10" s="12">
        <f t="shared" si="0"/>
        <v>61</v>
      </c>
      <c r="K10" s="8">
        <f t="shared" si="4"/>
        <v>6</v>
      </c>
      <c r="L10" s="13" t="str">
        <f t="shared" si="1"/>
        <v>FAIL</v>
      </c>
      <c r="M10" s="14" t="str">
        <f t="shared" si="2"/>
        <v>Detained</v>
      </c>
    </row>
    <row r="11" ht="15.25" spans="1:13">
      <c r="A11" s="15">
        <v>10</v>
      </c>
      <c r="B11" s="16" t="s">
        <v>22</v>
      </c>
      <c r="C11" s="16">
        <v>80</v>
      </c>
      <c r="D11" s="16">
        <v>80</v>
      </c>
      <c r="E11" s="16">
        <v>0</v>
      </c>
      <c r="F11" s="16">
        <v>80</v>
      </c>
      <c r="G11" s="16">
        <v>80</v>
      </c>
      <c r="H11" s="16">
        <v>80</v>
      </c>
      <c r="I11" s="16">
        <f t="shared" si="3"/>
        <v>400</v>
      </c>
      <c r="J11" s="17">
        <f t="shared" si="0"/>
        <v>66.6666666666667</v>
      </c>
      <c r="K11" s="8">
        <f t="shared" si="4"/>
        <v>5</v>
      </c>
      <c r="L11" s="18" t="str">
        <f t="shared" si="1"/>
        <v>FAIL</v>
      </c>
      <c r="M11" s="19" t="str">
        <f t="shared" si="2"/>
        <v>Detained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sidhh</dc:creator>
  <cp:lastModifiedBy>sidhh</cp:lastModifiedBy>
  <dcterms:created xsi:type="dcterms:W3CDTF">2026-08-04T07:10:00Z</dcterms:created>
  <dcterms:modified xsi:type="dcterms:W3CDTF">2026-08-05T13:53:38Z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3CAF2D891EAF4D6BBFD3E7EC5FC66687_11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