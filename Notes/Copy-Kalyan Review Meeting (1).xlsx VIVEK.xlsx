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 activeTab="5"/>
  </bookViews>
  <sheets>
    <sheet name="Report card" sheetId="1" r:id="rId1"/>
    <sheet name="Perfprmace card" sheetId="2" r:id="rId2"/>
    <sheet name="RM work analysis" sheetId="3" r:id="rId3"/>
    <sheet name="RPS tracker " sheetId="4" r:id="rId4"/>
    <sheet name="MR Gifts" sheetId="5" r:id="rId5"/>
    <sheet name="MR report card" sheetId="6" r:id="rId6"/>
    <sheet name="Focus brand Rxer team" sheetId="7" r:id="rId7"/>
    <sheet name="Focus brand RM" sheetId="8" r:id="rId8"/>
    <sheet name="Focus brand sec trend" sheetId="9" r:id="rId9"/>
    <sheet name="Secondary trend" sheetId="10" r:id="rId10"/>
    <sheet name="Stockistwise sale trend" sheetId="11" r:id="rId11"/>
    <sheet name="Planning" sheetId="12" r:id="rId12"/>
    <sheet name="EXCESS STOCK LIQUIDATION" sheetId="13" r:id="rId13"/>
    <sheet name="Sheet14" sheetId="14" r:id="rId14"/>
  </sheets>
  <definedNames>
    <definedName name="_xlnm._FilterDatabase" localSheetId="4" hidden="1">'MR Gifts'!$A$1:$G$35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<sst xmlns="http://schemas.openxmlformats.org/spreadsheetml/2006/main" count="1003" uniqueCount="377">
  <si>
    <t>S N</t>
  </si>
  <si>
    <t>Month</t>
  </si>
  <si>
    <t>Tgt</t>
  </si>
  <si>
    <t>Primary</t>
  </si>
  <si>
    <t>%Ach</t>
  </si>
  <si>
    <t>Sec</t>
  </si>
  <si>
    <t>last year primary</t>
  </si>
  <si>
    <t>Growth</t>
  </si>
  <si>
    <t>YTD</t>
  </si>
  <si>
    <t>Activity parameters</t>
  </si>
  <si>
    <t>Oct</t>
  </si>
  <si>
    <t>Nov</t>
  </si>
  <si>
    <t>JULY</t>
  </si>
  <si>
    <t>AUGUST</t>
  </si>
  <si>
    <t>SEP</t>
  </si>
  <si>
    <t>Days available</t>
  </si>
  <si>
    <t>Field working days</t>
  </si>
  <si>
    <t>Meeting days</t>
  </si>
  <si>
    <t>Leaves</t>
  </si>
  <si>
    <t>Total Dr calls</t>
  </si>
  <si>
    <t>Consultant calls</t>
  </si>
  <si>
    <t>GP calls</t>
  </si>
  <si>
    <t>Adapted dr meet</t>
  </si>
  <si>
    <t>RPS Dr meet</t>
  </si>
  <si>
    <t>Dr call avg</t>
  </si>
  <si>
    <t>Chemist calls</t>
  </si>
  <si>
    <t>Chemist call avg</t>
  </si>
  <si>
    <t>Stockist calls</t>
  </si>
  <si>
    <t>Reminder Calla done</t>
  </si>
  <si>
    <t>Live OPD camp</t>
  </si>
  <si>
    <t>DAILY WORK ANALYSIS</t>
  </si>
  <si>
    <t xml:space="preserve">Shyam Krishna Shukla </t>
  </si>
  <si>
    <t xml:space="preserve">MONTH </t>
  </si>
  <si>
    <t xml:space="preserve">November </t>
  </si>
  <si>
    <t xml:space="preserve"> DAILY WORK ANALYSIS </t>
  </si>
  <si>
    <t>DATE</t>
  </si>
  <si>
    <t>TOUR PROG.</t>
  </si>
  <si>
    <t>ACTUAL TERRITORY  WORKED IN</t>
  </si>
  <si>
    <t>MR name</t>
  </si>
  <si>
    <t>TOTAL</t>
  </si>
  <si>
    <t>NO OF DRs MET</t>
  </si>
  <si>
    <t>Chem met</t>
  </si>
  <si>
    <t>STOCKIEST MET</t>
  </si>
  <si>
    <t>NON CALL CTIVITIES IMPLEMENTED</t>
  </si>
  <si>
    <t>MORN.</t>
  </si>
  <si>
    <t>EVE.</t>
  </si>
  <si>
    <t>GP</t>
  </si>
  <si>
    <t>CP</t>
  </si>
  <si>
    <r>
      <rPr>
        <b/>
        <sz val="11"/>
        <rFont val="Calibri"/>
        <charset val="134"/>
      </rPr>
      <t>KALYAN EAST</t>
    </r>
  </si>
  <si>
    <r>
      <rPr>
        <b/>
        <sz val="11"/>
        <rFont val="Calibri"/>
        <charset val="134"/>
      </rPr>
      <t>Arvind Bind</t>
    </r>
  </si>
  <si>
    <r>
      <rPr>
        <b/>
        <sz val="11"/>
        <rFont val="Calibri"/>
        <charset val="134"/>
      </rPr>
      <t>SUNDAY</t>
    </r>
  </si>
  <si>
    <t xml:space="preserve">Arvind Bind/Rajesh Sir </t>
  </si>
  <si>
    <t xml:space="preserve">Meeting </t>
  </si>
  <si>
    <r>
      <rPr>
        <b/>
        <sz val="11"/>
        <rFont val="Calibri"/>
        <charset val="134"/>
      </rPr>
      <t xml:space="preserve">Ulhasnagar </t>
    </r>
  </si>
  <si>
    <t xml:space="preserve">Kalyan West </t>
  </si>
  <si>
    <t xml:space="preserve">Rahul Yadav </t>
  </si>
  <si>
    <t xml:space="preserve">Kalyan East </t>
  </si>
  <si>
    <t>Arvind Bind</t>
  </si>
  <si>
    <r>
      <rPr>
        <b/>
        <sz val="11"/>
        <rFont val="Calibri"/>
        <charset val="134"/>
      </rPr>
      <t xml:space="preserve">Kalyan west </t>
    </r>
  </si>
  <si>
    <r>
      <rPr>
        <b/>
        <sz val="11"/>
        <rFont val="Calibri"/>
        <charset val="134"/>
      </rPr>
      <t xml:space="preserve">Rahul yadav </t>
    </r>
  </si>
  <si>
    <r>
      <rPr>
        <b/>
        <sz val="11"/>
        <rFont val="Calibri"/>
        <charset val="134"/>
      </rPr>
      <t>Sunday</t>
    </r>
  </si>
  <si>
    <t>Kalyan East</t>
  </si>
  <si>
    <t xml:space="preserve">Arvind Bind </t>
  </si>
  <si>
    <t>Dombivli</t>
  </si>
  <si>
    <t>Dharmendra Bind+Narendra sir</t>
  </si>
  <si>
    <t>Kalyan west</t>
  </si>
  <si>
    <t>Rahul Yadav/Manoj Sir</t>
  </si>
  <si>
    <t xml:space="preserve">Badlapur </t>
  </si>
  <si>
    <t xml:space="preserve">Ambernath </t>
  </si>
  <si>
    <t>Alone</t>
  </si>
  <si>
    <r>
      <rPr>
        <b/>
        <sz val="11"/>
        <rFont val="Calibri"/>
        <charset val="134"/>
      </rPr>
      <t>Ulhasnagar</t>
    </r>
  </si>
  <si>
    <t>Vacant</t>
  </si>
  <si>
    <t xml:space="preserve">Ulhasnagar </t>
  </si>
  <si>
    <t xml:space="preserve">Vacant </t>
  </si>
  <si>
    <t xml:space="preserve">Dombivli </t>
  </si>
  <si>
    <t xml:space="preserve">Dharmendra Bind </t>
  </si>
  <si>
    <r>
      <rPr>
        <b/>
        <sz val="11"/>
        <rFont val="Calibri"/>
        <charset val="134"/>
      </rPr>
      <t xml:space="preserve">Dombivali </t>
    </r>
  </si>
  <si>
    <r>
      <rPr>
        <b/>
        <sz val="11"/>
        <rFont val="Calibri"/>
        <charset val="134"/>
      </rPr>
      <t xml:space="preserve">Dharmendra Bind </t>
    </r>
  </si>
  <si>
    <t xml:space="preserve">Arvind/Rajesh Sir </t>
  </si>
  <si>
    <t>Dharmendra Bind</t>
  </si>
  <si>
    <r>
      <rPr>
        <sz val="11"/>
        <rFont val="Calibri"/>
        <charset val="134"/>
      </rPr>
      <t>MONDAY</t>
    </r>
  </si>
  <si>
    <t>Total Calls</t>
  </si>
  <si>
    <t>jitendra yadav</t>
  </si>
  <si>
    <t>0</t>
  </si>
  <si>
    <t>SN</t>
  </si>
  <si>
    <t xml:space="preserve">Dr NAME </t>
  </si>
  <si>
    <t>MR</t>
  </si>
  <si>
    <t>Territory</t>
  </si>
  <si>
    <t>RPS amt</t>
  </si>
  <si>
    <t>P1</t>
  </si>
  <si>
    <t>ROI</t>
  </si>
  <si>
    <t>Dec</t>
  </si>
  <si>
    <t>POTENTIAL</t>
  </si>
  <si>
    <t>MAY</t>
  </si>
  <si>
    <t>JUNE</t>
  </si>
  <si>
    <t>SEPTEMBER</t>
  </si>
  <si>
    <t xml:space="preserve">Dr Captain Ramchandani </t>
  </si>
  <si>
    <t xml:space="preserve">Pedia </t>
  </si>
  <si>
    <t xml:space="preserve">Omnicef O </t>
  </si>
  <si>
    <t>3k</t>
  </si>
  <si>
    <t xml:space="preserve">Dr Mayur mahajan </t>
  </si>
  <si>
    <t>Darolac Syp</t>
  </si>
  <si>
    <t>5k</t>
  </si>
  <si>
    <t>7k</t>
  </si>
  <si>
    <t>Dr Rahul Bhirud</t>
  </si>
  <si>
    <t xml:space="preserve">Darolac Syp </t>
  </si>
  <si>
    <t xml:space="preserve">Dr Rahul Eklahare </t>
  </si>
  <si>
    <t>2k</t>
  </si>
  <si>
    <t>Total</t>
  </si>
  <si>
    <t>MONTH 25</t>
  </si>
  <si>
    <t xml:space="preserve">SN </t>
  </si>
  <si>
    <t>Input name</t>
  </si>
  <si>
    <t>Brand</t>
  </si>
  <si>
    <t>Vivek Singh Received/Distributed</t>
  </si>
  <si>
    <t>Nitesh shukla Rec/ Distr</t>
  </si>
  <si>
    <t>Arvind Rec/ Dist</t>
  </si>
  <si>
    <t>MR 4 Rec/Dist</t>
  </si>
  <si>
    <t xml:space="preserve">Ornof Pen Dairy </t>
  </si>
  <si>
    <t xml:space="preserve">ORNOF </t>
  </si>
  <si>
    <r>
      <rPr>
        <sz val="11"/>
        <rFont val="Calibri"/>
        <charset val="134"/>
      </rPr>
      <t>5/5</t>
    </r>
  </si>
  <si>
    <t xml:space="preserve">Azivent File Folder </t>
  </si>
  <si>
    <t xml:space="preserve">AZIVENT </t>
  </si>
  <si>
    <r>
      <rPr>
        <sz val="11"/>
        <rFont val="Calibri"/>
        <charset val="134"/>
      </rPr>
      <t>1/1</t>
    </r>
  </si>
  <si>
    <t xml:space="preserve">Aristozym Gold Pen </t>
  </si>
  <si>
    <t xml:space="preserve">Aristozym Gold </t>
  </si>
  <si>
    <r>
      <rPr>
        <sz val="11"/>
        <rFont val="Calibri"/>
        <charset val="134"/>
      </rPr>
      <t>15/15</t>
    </r>
  </si>
  <si>
    <r>
      <rPr>
        <sz val="11"/>
        <rFont val="Calibri"/>
        <charset val="134"/>
      </rPr>
      <t>15/14</t>
    </r>
  </si>
  <si>
    <t xml:space="preserve">Aristozym Gold File Folder </t>
  </si>
  <si>
    <r>
      <rPr>
        <sz val="11"/>
        <rFont val="Calibri"/>
        <charset val="134"/>
      </rPr>
      <t>8/8</t>
    </r>
  </si>
  <si>
    <t xml:space="preserve">Flexon Mixing Pad </t>
  </si>
  <si>
    <t xml:space="preserve">FLEXON </t>
  </si>
  <si>
    <t xml:space="preserve">Omnicef Plus Satles Satil </t>
  </si>
  <si>
    <t xml:space="preserve">Omnicef Plus </t>
  </si>
  <si>
    <r>
      <rPr>
        <sz val="11"/>
        <rFont val="Calibri"/>
        <charset val="134"/>
      </rPr>
      <t>5/3</t>
    </r>
  </si>
  <si>
    <t xml:space="preserve">DAROLAC KIT </t>
  </si>
  <si>
    <t xml:space="preserve">Darolac </t>
  </si>
  <si>
    <r>
      <rPr>
        <sz val="11"/>
        <rFont val="Calibri"/>
        <charset val="134"/>
      </rPr>
      <t>2/2</t>
    </r>
  </si>
  <si>
    <t xml:space="preserve">Flexon Gel Kit </t>
  </si>
  <si>
    <t xml:space="preserve">Flexon Gel </t>
  </si>
  <si>
    <r>
      <rPr>
        <sz val="11"/>
        <rFont val="Calibri"/>
        <charset val="134"/>
      </rPr>
      <t>3/3</t>
    </r>
  </si>
  <si>
    <t xml:space="preserve">Smuth --L Stationary Kit </t>
  </si>
  <si>
    <t xml:space="preserve">Smuth --L </t>
  </si>
  <si>
    <r>
      <rPr>
        <sz val="11"/>
        <rFont val="Calibri"/>
        <charset val="134"/>
      </rPr>
      <t>12/12</t>
    </r>
  </si>
  <si>
    <t xml:space="preserve">Omnicef O Pen Santand Kit </t>
  </si>
  <si>
    <t>Omnicef O 200</t>
  </si>
  <si>
    <t xml:space="preserve">Ornof -Cotton -Dispenser </t>
  </si>
  <si>
    <t xml:space="preserve">Azivent Pepar Weight </t>
  </si>
  <si>
    <t>AZIVENT</t>
  </si>
  <si>
    <r>
      <rPr>
        <sz val="11"/>
        <rFont val="Calibri"/>
        <charset val="134"/>
      </rPr>
      <t>Flexon ENT kit</t>
    </r>
  </si>
  <si>
    <r>
      <rPr>
        <sz val="11"/>
        <rFont val="Calibri"/>
        <charset val="134"/>
      </rPr>
      <t xml:space="preserve">Flexon </t>
    </r>
  </si>
  <si>
    <r>
      <rPr>
        <sz val="11"/>
        <rFont val="Calibri"/>
        <charset val="134"/>
      </rPr>
      <t>Sumth Stationery kit</t>
    </r>
  </si>
  <si>
    <r>
      <rPr>
        <sz val="11"/>
        <rFont val="Calibri"/>
        <charset val="134"/>
      </rPr>
      <t xml:space="preserve">SMUTH </t>
    </r>
  </si>
  <si>
    <r>
      <rPr>
        <sz val="11"/>
        <rFont val="Calibri"/>
        <charset val="134"/>
      </rPr>
      <t xml:space="preserve">Aristozyme/ Smuth Pepar waight </t>
    </r>
  </si>
  <si>
    <r>
      <rPr>
        <sz val="11"/>
        <rFont val="Calibri"/>
        <charset val="134"/>
      </rPr>
      <t xml:space="preserve">Aristozyme </t>
    </r>
  </si>
  <si>
    <r>
      <rPr>
        <sz val="11"/>
        <rFont val="Calibri"/>
        <charset val="134"/>
      </rPr>
      <t>4/4</t>
    </r>
  </si>
  <si>
    <r>
      <rPr>
        <sz val="11"/>
        <rFont val="Calibri"/>
        <charset val="134"/>
      </rPr>
      <t xml:space="preserve">Flexon Smuth Desk Organiser </t>
    </r>
  </si>
  <si>
    <r>
      <rPr>
        <sz val="11"/>
        <rFont val="Calibri"/>
        <charset val="134"/>
      </rPr>
      <t xml:space="preserve">Smuth </t>
    </r>
  </si>
  <si>
    <r>
      <rPr>
        <sz val="11"/>
        <rFont val="Calibri"/>
        <charset val="134"/>
      </rPr>
      <t xml:space="preserve">Flexon 650 Ball pepar waight </t>
    </r>
  </si>
  <si>
    <r>
      <rPr>
        <sz val="11"/>
        <rFont val="Calibri"/>
        <charset val="134"/>
      </rPr>
      <t>Flexon 650</t>
    </r>
  </si>
  <si>
    <r>
      <rPr>
        <sz val="11"/>
        <rFont val="Calibri"/>
        <charset val="134"/>
      </rPr>
      <t>SMUTH Susp Antifog masks</t>
    </r>
  </si>
  <si>
    <r>
      <rPr>
        <sz val="11"/>
        <rFont val="Calibri"/>
        <charset val="134"/>
      </rPr>
      <t xml:space="preserve">GRANDEM branded Tebal </t>
    </r>
  </si>
  <si>
    <r>
      <rPr>
        <sz val="11"/>
        <rFont val="Calibri"/>
        <charset val="134"/>
      </rPr>
      <t xml:space="preserve">GRANDEM </t>
    </r>
  </si>
  <si>
    <r>
      <rPr>
        <sz val="11"/>
        <color rgb="FF000000"/>
        <rFont val="Calibri"/>
        <charset val="134"/>
      </rPr>
      <t xml:space="preserve">Omnicef Plus Satles Satil </t>
    </r>
  </si>
  <si>
    <r>
      <rPr>
        <sz val="11"/>
        <rFont val="Calibri"/>
        <charset val="134"/>
      </rPr>
      <t xml:space="preserve">Omnicef </t>
    </r>
  </si>
  <si>
    <r>
      <rPr>
        <sz val="11"/>
        <rFont val="Calibri"/>
        <charset val="134"/>
      </rPr>
      <t>Aristozyme Gold Chit pad with costers</t>
    </r>
  </si>
  <si>
    <r>
      <rPr>
        <sz val="11"/>
        <rFont val="Calibri"/>
        <charset val="134"/>
      </rPr>
      <t xml:space="preserve">Aristozyme Gold </t>
    </r>
  </si>
  <si>
    <t>*22</t>
  </si>
  <si>
    <t>Aristozyme Branded Pen</t>
  </si>
  <si>
    <t xml:space="preserve">Aristozyme </t>
  </si>
  <si>
    <r>
      <rPr>
        <sz val="11"/>
        <rFont val="Calibri"/>
        <charset val="134"/>
      </rPr>
      <t>1/0</t>
    </r>
  </si>
  <si>
    <t xml:space="preserve">Aristozyme Gold Branded Inclinic Table </t>
  </si>
  <si>
    <t xml:space="preserve">Aristozyme Gold </t>
  </si>
  <si>
    <t>Flexon/Flexon Gel Branded Stationery Kit</t>
  </si>
  <si>
    <r>
      <rPr>
        <sz val="11"/>
        <rFont val="Calibri"/>
        <charset val="134"/>
      </rPr>
      <t>0/1</t>
    </r>
  </si>
  <si>
    <t>GRANDEM Branded Pen Set</t>
  </si>
  <si>
    <t>GRANDEM</t>
  </si>
  <si>
    <r>
      <rPr>
        <sz val="11"/>
        <rFont val="Calibri"/>
        <charset val="134"/>
      </rPr>
      <t>01/</t>
    </r>
  </si>
  <si>
    <t xml:space="preserve">Darolac syp/mini Branded pen set </t>
  </si>
  <si>
    <t xml:space="preserve">Aristozyme Branded Pineapple Pencil Set </t>
  </si>
  <si>
    <t>Aristozyme Gold Table with Pen Stand</t>
  </si>
  <si>
    <t xml:space="preserve">Smuth Branded Stationery Kit </t>
  </si>
  <si>
    <t>Smuth</t>
  </si>
  <si>
    <t>Smuth Inclinic Torch</t>
  </si>
  <si>
    <t>2/2</t>
  </si>
  <si>
    <t>Smuth Sus Branded Inclinic Hygiene Kit</t>
  </si>
  <si>
    <t xml:space="preserve">Smuth sup </t>
  </si>
  <si>
    <t xml:space="preserve">Smuth Cream Cap Happy Gut Magazine </t>
  </si>
  <si>
    <t xml:space="preserve">Smuth </t>
  </si>
  <si>
    <t>1/1</t>
  </si>
  <si>
    <t>Flexon Chit Box</t>
  </si>
  <si>
    <t xml:space="preserve">Flexon </t>
  </si>
  <si>
    <t xml:space="preserve">MR NAME: Vivek Singh </t>
  </si>
  <si>
    <t>PSR1</t>
  </si>
  <si>
    <t xml:space="preserve">October </t>
  </si>
  <si>
    <t>November</t>
  </si>
  <si>
    <t>MSL coverage</t>
  </si>
  <si>
    <t>MSL freq coverage</t>
  </si>
  <si>
    <t>Missed Dr</t>
  </si>
  <si>
    <t>Missed Dr calls</t>
  </si>
  <si>
    <t>A Class visit</t>
  </si>
  <si>
    <t>A Class repeat visit</t>
  </si>
  <si>
    <t>B class visit</t>
  </si>
  <si>
    <t>No. of chemist visit</t>
  </si>
  <si>
    <t>No. of Dr conversion</t>
  </si>
  <si>
    <t>Discipline compliance</t>
  </si>
  <si>
    <t xml:space="preserve">MR NAME: Nitesh shukla </t>
  </si>
  <si>
    <t xml:space="preserve">MR NAME: Arvind Bind </t>
  </si>
  <si>
    <r>
      <rPr>
        <b/>
        <sz val="11"/>
        <color rgb="FF000000"/>
        <rFont val="Calibri"/>
        <charset val="134"/>
      </rPr>
      <t xml:space="preserve">October </t>
    </r>
  </si>
  <si>
    <r>
      <rPr>
        <b/>
        <sz val="11"/>
        <color rgb="FF000000"/>
        <rFont val="Calibri"/>
        <charset val="134"/>
      </rPr>
      <t xml:space="preserve">November </t>
    </r>
  </si>
  <si>
    <t>MR NAME: Dharmendra Bind</t>
  </si>
  <si>
    <t>MR NAME:</t>
  </si>
  <si>
    <t xml:space="preserve">MR name:  Vivek Singh </t>
  </si>
  <si>
    <t xml:space="preserve">HQ name: Kalyan west </t>
  </si>
  <si>
    <t>Brands A2</t>
  </si>
  <si>
    <t>Rxer</t>
  </si>
  <si>
    <t>Strips/botle</t>
  </si>
  <si>
    <t>Sale</t>
  </si>
  <si>
    <t>OMNICEF O</t>
  </si>
  <si>
    <t>AZIVENT TAB</t>
  </si>
  <si>
    <t>ARISTOZYME GOLD</t>
  </si>
  <si>
    <t>ZYMOFLAM /D</t>
  </si>
  <si>
    <t>DAROLAC SYP</t>
  </si>
  <si>
    <t>SMUTH L</t>
  </si>
  <si>
    <t>SMUTH FIBER</t>
  </si>
  <si>
    <t>ZEROTUSS/D</t>
  </si>
  <si>
    <t>TRANLOK / M</t>
  </si>
  <si>
    <t>MR name:   Vacant</t>
  </si>
  <si>
    <t xml:space="preserve">HQ name: Ulhasnagar </t>
  </si>
  <si>
    <t xml:space="preserve">MR name: Arvind Bind </t>
  </si>
  <si>
    <t xml:space="preserve">HQ name: Kalyan East </t>
  </si>
  <si>
    <r>
      <rPr>
        <sz val="11"/>
        <rFont val="Calibri"/>
        <charset val="134"/>
      </rPr>
      <t xml:space="preserve">October </t>
    </r>
  </si>
  <si>
    <r>
      <rPr>
        <sz val="11"/>
        <rFont val="Calibri"/>
        <charset val="134"/>
      </rPr>
      <t xml:space="preserve">November </t>
    </r>
  </si>
  <si>
    <r>
      <rPr>
        <sz val="11"/>
        <rFont val="Calibri"/>
        <charset val="134"/>
      </rPr>
      <t>Rxer</t>
    </r>
  </si>
  <si>
    <r>
      <rPr>
        <sz val="11"/>
        <rFont val="Calibri"/>
        <charset val="134"/>
      </rPr>
      <t>Strips/botle</t>
    </r>
  </si>
  <si>
    <t>60/70</t>
  </si>
  <si>
    <t>MR name:   Dharmendra Bind</t>
  </si>
  <si>
    <t xml:space="preserve">HQ name: Dombivli </t>
  </si>
  <si>
    <t xml:space="preserve">MR name:   </t>
  </si>
  <si>
    <t>HQ name:</t>
  </si>
  <si>
    <t>RM NAME :</t>
  </si>
  <si>
    <t>Region:</t>
  </si>
  <si>
    <t xml:space="preserve">Brands </t>
  </si>
  <si>
    <t>OCTOBER</t>
  </si>
  <si>
    <t>Secondary</t>
  </si>
  <si>
    <t>9/14</t>
  </si>
  <si>
    <t>11/3</t>
  </si>
  <si>
    <t>7/15</t>
  </si>
  <si>
    <t>133/333</t>
  </si>
  <si>
    <t>3/3</t>
  </si>
  <si>
    <t>89/78</t>
  </si>
  <si>
    <t>1/2</t>
  </si>
  <si>
    <t>4/9</t>
  </si>
  <si>
    <t>3/11</t>
  </si>
  <si>
    <t>Brand name</t>
  </si>
  <si>
    <t>Objective</t>
  </si>
  <si>
    <t>Avg tgt</t>
  </si>
  <si>
    <t>Productwise / Month wise Secondary sales &amp; Cls - 2025 - MF-5</t>
  </si>
  <si>
    <t>BUD</t>
  </si>
  <si>
    <t>SCHEME</t>
  </si>
  <si>
    <t>TYPE</t>
  </si>
  <si>
    <t>CODE</t>
  </si>
  <si>
    <t>PRODUCT NAME</t>
  </si>
  <si>
    <t>PACK</t>
  </si>
  <si>
    <t>RATE</t>
  </si>
  <si>
    <t>SALES</t>
  </si>
  <si>
    <t>VALUE</t>
  </si>
  <si>
    <t>CLS</t>
  </si>
  <si>
    <t>TRANS</t>
  </si>
  <si>
    <r>
      <rPr>
        <sz val="11"/>
        <rFont val="Calibri"/>
        <charset val="134"/>
      </rPr>
      <t>ARISTOZYME CAPS 15S</t>
    </r>
  </si>
  <si>
    <r>
      <rPr>
        <sz val="11"/>
        <rFont val="Calibri"/>
        <charset val="134"/>
      </rPr>
      <t>ARISTOZYME DROPS 15ML</t>
    </r>
  </si>
  <si>
    <r>
      <rPr>
        <sz val="11"/>
        <rFont val="Calibri"/>
        <charset val="134"/>
      </rPr>
      <t>ARISTOZYME LIQUID 200ML</t>
    </r>
  </si>
  <si>
    <r>
      <rPr>
        <b/>
        <sz val="12"/>
        <color rgb="FF000000"/>
        <rFont val="Bookman Old Style"/>
        <charset val="134"/>
      </rPr>
      <t>ARISTOZYME GROUP</t>
    </r>
  </si>
  <si>
    <r>
      <rPr>
        <sz val="11"/>
        <rFont val="Calibri"/>
        <charset val="134"/>
      </rPr>
      <t>ARISTOZYME GOLD TAB 10S</t>
    </r>
  </si>
  <si>
    <r>
      <rPr>
        <b/>
        <sz val="12"/>
        <color rgb="FF000000"/>
        <rFont val="Bookman Old Style"/>
        <charset val="134"/>
      </rPr>
      <t>ARISTOZYME GOLD GROUP</t>
    </r>
  </si>
  <si>
    <r>
      <rPr>
        <sz val="11"/>
        <rFont val="Calibri"/>
        <charset val="134"/>
      </rPr>
      <t>OMNICEF O  200 TAB</t>
    </r>
  </si>
  <si>
    <r>
      <rPr>
        <sz val="11"/>
        <rFont val="Calibri"/>
        <charset val="134"/>
      </rPr>
      <t>OMNICEF O 100DT TABS</t>
    </r>
  </si>
  <si>
    <r>
      <rPr>
        <sz val="11"/>
        <rFont val="Calibri"/>
        <charset val="134"/>
      </rPr>
      <t>OMNICEF O 400MG TAB 10S</t>
    </r>
  </si>
  <si>
    <r>
      <rPr>
        <sz val="11"/>
        <rFont val="Calibri"/>
        <charset val="134"/>
      </rPr>
      <t>OMNICEF O 50MG SUSP 30ML</t>
    </r>
  </si>
  <si>
    <r>
      <rPr>
        <sz val="11"/>
        <rFont val="Calibri"/>
        <charset val="134"/>
      </rPr>
      <t>OMNICEF O 100MG SUSP 30ML</t>
    </r>
  </si>
  <si>
    <r>
      <rPr>
        <sz val="11"/>
        <rFont val="Calibri"/>
        <charset val="134"/>
      </rPr>
      <t>OMNICEF O 50MG ORAL SUSP 60ML</t>
    </r>
  </si>
  <si>
    <r>
      <rPr>
        <sz val="11"/>
        <rFont val="Calibri"/>
        <charset val="134"/>
      </rPr>
      <t>OMNICEF O 100MG ORAL SUSP 60ML</t>
    </r>
  </si>
  <si>
    <r>
      <rPr>
        <b/>
        <sz val="12"/>
        <color rgb="FF000000"/>
        <rFont val="Bookman Old Style"/>
        <charset val="134"/>
      </rPr>
      <t>OMNICEF O GROUP</t>
    </r>
  </si>
  <si>
    <r>
      <rPr>
        <sz val="11"/>
        <rFont val="Calibri"/>
        <charset val="134"/>
      </rPr>
      <t>SMUTH SUSPENSION PINEAPPLE 110ML</t>
    </r>
  </si>
  <si>
    <r>
      <rPr>
        <sz val="11"/>
        <rFont val="Calibri"/>
        <charset val="134"/>
      </rPr>
      <t>SMUTH SUSPENSION MINT 200ML</t>
    </r>
  </si>
  <si>
    <r>
      <rPr>
        <sz val="11"/>
        <rFont val="Calibri"/>
        <charset val="134"/>
      </rPr>
      <t>SMUTH CREAM 30GMS</t>
    </r>
  </si>
  <si>
    <r>
      <rPr>
        <b/>
        <sz val="12"/>
        <color rgb="FF000000"/>
        <rFont val="Bookman Old Style"/>
        <charset val="134"/>
      </rPr>
      <t>SMUTH SUSP &amp;CREAM GROUP</t>
    </r>
  </si>
  <si>
    <r>
      <rPr>
        <sz val="11"/>
        <rFont val="Calibri"/>
        <charset val="134"/>
      </rPr>
      <t>FLEXON TAB 15S</t>
    </r>
  </si>
  <si>
    <r>
      <rPr>
        <sz val="11"/>
        <rFont val="Calibri"/>
        <charset val="134"/>
      </rPr>
      <t>FLEXON MR TABS 10S</t>
    </r>
  </si>
  <si>
    <r>
      <rPr>
        <sz val="11"/>
        <rFont val="Calibri"/>
        <charset val="134"/>
      </rPr>
      <t>FLEXON SUSP 262.5MG 60ML</t>
    </r>
  </si>
  <si>
    <r>
      <rPr>
        <sz val="11"/>
        <rFont val="Calibri"/>
        <charset val="134"/>
      </rPr>
      <t>FLEXON SUSP 262.5MG 100ML</t>
    </r>
  </si>
  <si>
    <r>
      <rPr>
        <b/>
        <sz val="12"/>
        <color rgb="FF000000"/>
        <rFont val="Bookman Old Style"/>
        <charset val="134"/>
      </rPr>
      <t>FLEXON GROUP</t>
    </r>
  </si>
  <si>
    <r>
      <rPr>
        <sz val="11"/>
        <rFont val="Calibri"/>
        <charset val="134"/>
      </rPr>
      <t>GRANDEM INJ 1MG/ML 3ML</t>
    </r>
  </si>
  <si>
    <r>
      <rPr>
        <sz val="11"/>
        <rFont val="Calibri"/>
        <charset val="134"/>
      </rPr>
      <t>GRANDEM INJ 1ML 5S</t>
    </r>
  </si>
  <si>
    <r>
      <rPr>
        <sz val="11"/>
        <rFont val="Calibri"/>
        <charset val="134"/>
      </rPr>
      <t>GRANDEM SYRUP 10ML</t>
    </r>
  </si>
  <si>
    <r>
      <rPr>
        <sz val="11"/>
        <rFont val="Calibri"/>
        <charset val="134"/>
      </rPr>
      <t>GRANDEM MD TABS 10S</t>
    </r>
  </si>
  <si>
    <r>
      <rPr>
        <sz val="11"/>
        <rFont val="Calibri"/>
        <charset val="134"/>
      </rPr>
      <t>GRANDEM 1MG TABS 10S</t>
    </r>
  </si>
  <si>
    <r>
      <rPr>
        <b/>
        <sz val="12"/>
        <color rgb="FF000000"/>
        <rFont val="Bookman Old Style"/>
        <charset val="134"/>
      </rPr>
      <t>GRANDEM GROUP</t>
    </r>
  </si>
  <si>
    <r>
      <rPr>
        <sz val="11"/>
        <rFont val="Calibri"/>
        <charset val="134"/>
      </rPr>
      <t>ZYMOFLAM D TABS 10S</t>
    </r>
  </si>
  <si>
    <r>
      <rPr>
        <sz val="11"/>
        <rFont val="Calibri"/>
        <charset val="134"/>
      </rPr>
      <t>ZYMOFLAM TABS 10S</t>
    </r>
  </si>
  <si>
    <r>
      <rPr>
        <b/>
        <sz val="12"/>
        <color rgb="FF000000"/>
        <rFont val="Bookman Old Style"/>
        <charset val="134"/>
      </rPr>
      <t>ZYMOFLAM GROUP</t>
    </r>
  </si>
  <si>
    <r>
      <rPr>
        <sz val="11"/>
        <rFont val="Calibri"/>
        <charset val="134"/>
      </rPr>
      <t>ORNOF TABS 700 MG 10</t>
    </r>
  </si>
  <si>
    <r>
      <rPr>
        <b/>
        <sz val="12"/>
        <color rgb="FF000000"/>
        <rFont val="Bookman Old Style"/>
        <charset val="134"/>
      </rPr>
      <t>ORNOF GROUP</t>
    </r>
  </si>
  <si>
    <r>
      <rPr>
        <sz val="11"/>
        <rFont val="Calibri"/>
        <charset val="134"/>
      </rPr>
      <t>DAROLAC SYRUP 30ML</t>
    </r>
  </si>
  <si>
    <r>
      <rPr>
        <sz val="11"/>
        <rFont val="Calibri"/>
        <charset val="134"/>
      </rPr>
      <t>DAROLAC MINI 6X5ML</t>
    </r>
  </si>
  <si>
    <r>
      <rPr>
        <b/>
        <sz val="12"/>
        <color rgb="FF000000"/>
        <rFont val="Bookman Old Style"/>
        <charset val="134"/>
      </rPr>
      <t>DAROLAC SYRUP GROUP</t>
    </r>
  </si>
  <si>
    <r>
      <rPr>
        <sz val="11"/>
        <rFont val="Calibri"/>
        <charset val="134"/>
      </rPr>
      <t>ZEROTUSS SUSP 100ML</t>
    </r>
  </si>
  <si>
    <r>
      <rPr>
        <sz val="11"/>
        <rFont val="Calibri"/>
        <charset val="134"/>
      </rPr>
      <t>ZEROTUSS SUSP 60ML</t>
    </r>
  </si>
  <si>
    <r>
      <rPr>
        <b/>
        <sz val="12"/>
        <color rgb="FF000000"/>
        <rFont val="Bookman Old Style"/>
        <charset val="134"/>
      </rPr>
      <t>ZEROTUSS GROUP</t>
    </r>
  </si>
  <si>
    <r>
      <rPr>
        <sz val="11"/>
        <rFont val="Calibri"/>
        <charset val="134"/>
      </rPr>
      <t>ZEROTUSS D SYRUP 100ML</t>
    </r>
  </si>
  <si>
    <r>
      <rPr>
        <sz val="11"/>
        <rFont val="Calibri"/>
        <charset val="134"/>
      </rPr>
      <t>ZEROTUSS D SYRUP 60ML</t>
    </r>
  </si>
  <si>
    <r>
      <rPr>
        <b/>
        <sz val="12"/>
        <color rgb="FF000000"/>
        <rFont val="Bookman Old Style"/>
        <charset val="134"/>
      </rPr>
      <t>ZEROTUSS D GROUP</t>
    </r>
  </si>
  <si>
    <r>
      <rPr>
        <sz val="11"/>
        <rFont val="Calibri"/>
        <charset val="134"/>
      </rPr>
      <t>FLEXON GEL 30GM</t>
    </r>
  </si>
  <si>
    <r>
      <rPr>
        <b/>
        <sz val="12"/>
        <color rgb="FF000000"/>
        <rFont val="Bookman Old Style"/>
        <charset val="134"/>
      </rPr>
      <t>FLEXON GEL GROUP</t>
    </r>
  </si>
  <si>
    <r>
      <rPr>
        <sz val="11"/>
        <rFont val="Calibri"/>
        <charset val="134"/>
      </rPr>
      <t>SMUTH CAPS 10S</t>
    </r>
  </si>
  <si>
    <r>
      <rPr>
        <sz val="11"/>
        <rFont val="Calibri"/>
        <charset val="134"/>
      </rPr>
      <t>SMUTH L SYRUP 150ML</t>
    </r>
  </si>
  <si>
    <r>
      <rPr>
        <sz val="11"/>
        <rFont val="Calibri"/>
        <charset val="134"/>
      </rPr>
      <t>SMUTH FIBER 105GM</t>
    </r>
  </si>
  <si>
    <r>
      <rPr>
        <b/>
        <sz val="12"/>
        <color rgb="FF000000"/>
        <rFont val="Bookman Old Style"/>
        <charset val="134"/>
      </rPr>
      <t>SMUTH GROUP</t>
    </r>
  </si>
  <si>
    <r>
      <rPr>
        <sz val="11"/>
        <rFont val="Calibri"/>
        <charset val="134"/>
      </rPr>
      <t>AZIVENT SUSP 100MG 15ML</t>
    </r>
  </si>
  <si>
    <r>
      <rPr>
        <sz val="11"/>
        <rFont val="Calibri"/>
        <charset val="134"/>
      </rPr>
      <t>AZIVENT SUSP 200MG 15ML</t>
    </r>
  </si>
  <si>
    <r>
      <rPr>
        <sz val="11"/>
        <rFont val="Calibri"/>
        <charset val="134"/>
      </rPr>
      <t>AZIVENT XL SUSP 100MG REDIUSE</t>
    </r>
  </si>
  <si>
    <r>
      <rPr>
        <sz val="11"/>
        <rFont val="Calibri"/>
        <charset val="134"/>
      </rPr>
      <t>AZIVENT XL SUSP 200MG REDIUSE</t>
    </r>
  </si>
  <si>
    <r>
      <rPr>
        <sz val="11"/>
        <rFont val="Calibri"/>
        <charset val="134"/>
      </rPr>
      <t>AZIVENT TABS 500MG 5S</t>
    </r>
  </si>
  <si>
    <r>
      <rPr>
        <sz val="11"/>
        <rFont val="Calibri"/>
        <charset val="134"/>
      </rPr>
      <t>AZIVENT TABS 250MG 10S</t>
    </r>
  </si>
  <si>
    <r>
      <rPr>
        <b/>
        <sz val="12"/>
        <color rgb="FF000000"/>
        <rFont val="Bookman Old Style"/>
        <charset val="134"/>
      </rPr>
      <t>AZIVENT GROUP</t>
    </r>
  </si>
  <si>
    <r>
      <rPr>
        <sz val="11"/>
        <rFont val="Calibri"/>
        <charset val="134"/>
      </rPr>
      <t>TRANLOK E TAB 10s</t>
    </r>
  </si>
  <si>
    <r>
      <rPr>
        <sz val="11"/>
        <rFont val="Calibri"/>
        <charset val="134"/>
      </rPr>
      <t>TRANLOK INJ 5s</t>
    </r>
  </si>
  <si>
    <r>
      <rPr>
        <sz val="11"/>
        <rFont val="Calibri"/>
        <charset val="134"/>
      </rPr>
      <t>TRANLOK M TAB 10s</t>
    </r>
  </si>
  <si>
    <r>
      <rPr>
        <sz val="11"/>
        <rFont val="Calibri"/>
        <charset val="134"/>
      </rPr>
      <t>TRANLOK 500MG TAB 10S</t>
    </r>
  </si>
  <si>
    <r>
      <rPr>
        <b/>
        <sz val="12"/>
        <color rgb="FF000000"/>
        <rFont val="Bookman Old Style"/>
        <charset val="134"/>
      </rPr>
      <t>TRANLOK GROUP</t>
    </r>
  </si>
  <si>
    <r>
      <rPr>
        <sz val="11"/>
        <rFont val="Calibri"/>
        <charset val="134"/>
      </rPr>
      <t xml:space="preserve">MEGA FLEXON TAB 10S </t>
    </r>
  </si>
  <si>
    <r>
      <rPr>
        <b/>
        <sz val="12"/>
        <color rgb="FF000000"/>
        <rFont val="Bookman Old Style"/>
        <charset val="134"/>
      </rPr>
      <t>MEGA FLEXON GROUP</t>
    </r>
  </si>
  <si>
    <r>
      <rPr>
        <sz val="11"/>
        <rFont val="Calibri"/>
        <charset val="134"/>
      </rPr>
      <t>DEZACOR SUSP 6MG 30ML</t>
    </r>
  </si>
  <si>
    <r>
      <rPr>
        <sz val="11"/>
        <rFont val="Calibri"/>
        <charset val="134"/>
      </rPr>
      <t>DEZACOR TAB 6MG 10S</t>
    </r>
  </si>
  <si>
    <r>
      <rPr>
        <b/>
        <sz val="12"/>
        <color rgb="FF000000"/>
        <rFont val="Bookman Old Style"/>
        <charset val="134"/>
      </rPr>
      <t>DEZACOR GROUP</t>
    </r>
  </si>
  <si>
    <r>
      <rPr>
        <sz val="11"/>
        <rFont val="Calibri"/>
        <charset val="134"/>
      </rPr>
      <t>OMNICEF PLUS TABS</t>
    </r>
  </si>
  <si>
    <r>
      <rPr>
        <b/>
        <sz val="12"/>
        <color rgb="FF000000"/>
        <rFont val="Bookman Old Style"/>
        <charset val="134"/>
      </rPr>
      <t>OMNICEF PLUS GROUP</t>
    </r>
  </si>
  <si>
    <r>
      <rPr>
        <sz val="11"/>
        <rFont val="Calibri"/>
        <charset val="134"/>
      </rPr>
      <t>OMNICEF O CV 200 TAB</t>
    </r>
  </si>
  <si>
    <r>
      <rPr>
        <b/>
        <sz val="12"/>
        <color rgb="FF000000"/>
        <rFont val="Bookman Old Style"/>
        <charset val="134"/>
      </rPr>
      <t>OMNICEF O CV GROUP</t>
    </r>
  </si>
  <si>
    <r>
      <rPr>
        <sz val="11"/>
        <rFont val="Calibri"/>
        <charset val="134"/>
      </rPr>
      <t>FLEXON 650MG TAB 15S</t>
    </r>
  </si>
  <si>
    <r>
      <rPr>
        <b/>
        <sz val="12"/>
        <color rgb="FF000000"/>
        <rFont val="Bookman Old Style"/>
        <charset val="134"/>
      </rPr>
      <t>FLEXON 650 GROUP</t>
    </r>
  </si>
  <si>
    <r>
      <rPr>
        <sz val="11"/>
        <rFont val="Calibri"/>
        <charset val="134"/>
      </rPr>
      <t>NON - TARGETED</t>
    </r>
  </si>
  <si>
    <r>
      <rPr>
        <b/>
        <sz val="12"/>
        <color rgb="FF000000"/>
        <rFont val="Bookman Old Style"/>
        <charset val="134"/>
      </rPr>
      <t>NTP GROUP MF-5</t>
    </r>
  </si>
  <si>
    <r>
      <rPr>
        <b/>
        <sz val="12"/>
        <color rgb="FF000000"/>
        <rFont val="Bookman Old Style"/>
        <charset val="134"/>
      </rPr>
      <t>TOTAL</t>
    </r>
  </si>
  <si>
    <t>Stokist name</t>
  </si>
  <si>
    <t>Paras</t>
  </si>
  <si>
    <t>PRIM</t>
  </si>
  <si>
    <t>SEC</t>
  </si>
  <si>
    <t>CLOSING</t>
  </si>
  <si>
    <t>D Plus</t>
  </si>
  <si>
    <t>Chander</t>
  </si>
  <si>
    <t xml:space="preserve">Satyanarayan </t>
  </si>
  <si>
    <t>Drishti</t>
  </si>
  <si>
    <t>Stockistwise Planing</t>
  </si>
  <si>
    <t>Focus prodcts  Planing</t>
  </si>
  <si>
    <t>Previous month :</t>
  </si>
  <si>
    <t>Current month Plan</t>
  </si>
  <si>
    <t>Previous month : Nov</t>
  </si>
  <si>
    <t>Current month</t>
  </si>
  <si>
    <t>Clos+ transit)</t>
  </si>
  <si>
    <t xml:space="preserve">SANGRAM </t>
  </si>
  <si>
    <t xml:space="preserve">SUBURBAN </t>
  </si>
  <si>
    <t xml:space="preserve">SANDEEP </t>
  </si>
  <si>
    <t>GAYATRI</t>
  </si>
  <si>
    <t>SIDDHIMANGAL</t>
  </si>
  <si>
    <t xml:space="preserve">MANAL </t>
  </si>
  <si>
    <t>stockist -7</t>
  </si>
  <si>
    <t>Stockist -8</t>
  </si>
  <si>
    <t>0.05/0.15</t>
  </si>
  <si>
    <t>Stockist -9</t>
  </si>
  <si>
    <t>Stockist -10</t>
  </si>
  <si>
    <t>STOCKIST</t>
  </si>
  <si>
    <t xml:space="preserve">PRODUCTS </t>
  </si>
  <si>
    <t>MORE THAN 30DAYS STOCK QUANTITY</t>
  </si>
  <si>
    <t>ACTION PAN FOR LIQUIDATION</t>
  </si>
  <si>
    <t>REMARK</t>
  </si>
  <si>
    <t xml:space="preserve">Tirupati </t>
  </si>
  <si>
    <t xml:space="preserve">Kamal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</si>
</sst>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mmm/yy"/>
    <numFmt numFmtId="181" formatCode="dd/mmm"/>
    <numFmt numFmtId="182" formatCode="[$-409]d/mmm/yy;@"/>
  </numFmts>
  <fonts count="69">
    <font>
      <sz val="11"/>
      <name val="Calibri"/>
      <charset val="134"/>
    </font>
    <font>
      <sz val="11"/>
      <name val="Calibri"/>
      <charset val="1"/>
    </font>
    <font>
      <sz val="11"/>
      <color rgb="FF000000"/>
      <name val="Calibri"/>
      <charset val="1"/>
    </font>
    <font>
      <sz val="10"/>
      <name val="Arial"/>
      <charset val="1"/>
    </font>
    <font>
      <b/>
      <sz val="11"/>
      <name val="Calibri"/>
      <charset val="134"/>
    </font>
    <font>
      <b/>
      <sz val="11"/>
      <color rgb="FF000000"/>
      <name val="Calibri"/>
      <charset val="134"/>
    </font>
    <font>
      <b/>
      <sz val="10"/>
      <color rgb="FF000000"/>
      <name val="Calibri"/>
      <charset val="1"/>
    </font>
    <font>
      <b/>
      <sz val="14"/>
      <color rgb="FF000000"/>
      <name val="Calibri"/>
      <charset val="1"/>
    </font>
    <font>
      <b/>
      <sz val="9"/>
      <color rgb="FF000000"/>
      <name val="Calibri"/>
      <charset val="1"/>
    </font>
    <font>
      <b/>
      <sz val="11"/>
      <name val="Calibri"/>
      <charset val="1"/>
    </font>
    <font>
      <sz val="9"/>
      <color rgb="FF000000"/>
      <name val="Calibri"/>
      <charset val="1"/>
    </font>
    <font>
      <sz val="12"/>
      <color rgb="FF000000"/>
      <name val="Bookman Old Style"/>
      <charset val="134"/>
    </font>
    <font>
      <sz val="10"/>
      <color rgb="FFFF0000"/>
      <name val="Calibri"/>
      <charset val="1"/>
    </font>
    <font>
      <b/>
      <sz val="12"/>
      <color rgb="FF000000"/>
      <name val="Bookman Old Style"/>
      <charset val="134"/>
    </font>
    <font>
      <sz val="10"/>
      <color rgb="FF000000"/>
      <name val="Calibri"/>
      <charset val="1"/>
    </font>
    <font>
      <b/>
      <sz val="10"/>
      <name val="Calibri"/>
      <charset val="1"/>
    </font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204"/>
    </font>
    <font>
      <b/>
      <sz val="16"/>
      <name val="Calibri"/>
      <charset val="1"/>
    </font>
    <font>
      <b/>
      <sz val="11"/>
      <color rgb="FF000000"/>
      <name val="Arial"/>
      <charset val="1"/>
    </font>
    <font>
      <sz val="12"/>
      <color rgb="FF000000"/>
      <name val="Book Antiqua"/>
      <charset val="1"/>
    </font>
    <font>
      <b/>
      <sz val="12"/>
      <color rgb="FF000000"/>
      <name val="Book Antiqua"/>
      <charset val="134"/>
    </font>
    <font>
      <sz val="12"/>
      <color rgb="FF000000"/>
      <name val="Calibri"/>
      <charset val="1"/>
    </font>
    <font>
      <b/>
      <sz val="12"/>
      <color rgb="FF000000"/>
      <name val="Calibri"/>
      <charset val="134"/>
    </font>
    <font>
      <b/>
      <sz val="12"/>
      <color rgb="FF000000"/>
      <name val="AnjaliOldLipi"/>
      <charset val="1"/>
    </font>
    <font>
      <b/>
      <sz val="12"/>
      <color rgb="FF000000"/>
      <name val="Book Antiqua"/>
      <charset val="1"/>
    </font>
    <font>
      <b/>
      <sz val="14"/>
      <color rgb="FF000000"/>
      <name val="Calibri"/>
      <charset val="134"/>
    </font>
    <font>
      <b/>
      <sz val="16"/>
      <color rgb="FF000000"/>
      <name val="Arial"/>
      <charset val="1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b/>
      <sz val="14"/>
      <name val="Calibri"/>
      <charset val="134"/>
    </font>
    <font>
      <b/>
      <sz val="11"/>
      <color rgb="FF000000"/>
      <name val="Cambria"/>
      <charset val="134"/>
    </font>
    <font>
      <sz val="11"/>
      <color rgb="FF000000"/>
      <name val="Cambria"/>
      <charset val="1"/>
    </font>
    <font>
      <b/>
      <i/>
      <sz val="11"/>
      <color rgb="FF000000"/>
      <name val="Calibri"/>
      <charset val="1"/>
    </font>
    <font>
      <b/>
      <i/>
      <sz val="11"/>
      <color rgb="FF000000"/>
      <name val="Calibri"/>
      <charset val="134"/>
    </font>
    <font>
      <i/>
      <sz val="11"/>
      <color rgb="FF000000"/>
      <name val="Calibri"/>
      <charset val="1"/>
    </font>
    <font>
      <b/>
      <sz val="10"/>
      <color rgb="FFED1C24"/>
      <name val="Cambria"/>
      <charset val="134"/>
    </font>
    <font>
      <b/>
      <sz val="10"/>
      <name val="Cambria"/>
      <charset val="134"/>
    </font>
    <font>
      <b/>
      <sz val="10"/>
      <color rgb="FF000000"/>
      <name val="Cambria"/>
      <charset val="134"/>
    </font>
    <font>
      <sz val="11"/>
      <name val="Aptos Narrow"/>
      <charset val="134"/>
    </font>
    <font>
      <b/>
      <sz val="10"/>
      <color rgb="FF36363D"/>
      <name val="Cambria"/>
      <charset val="134"/>
    </font>
    <font>
      <i/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mbria"/>
      <charset val="134"/>
    </font>
    <font>
      <b/>
      <sz val="12"/>
      <name val="Calibri"/>
      <charset val="134"/>
    </font>
    <font>
      <sz val="14"/>
      <name val="Calibri"/>
      <charset val="134"/>
    </font>
    <font>
      <sz val="14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0000"/>
      <name val="Aptos Narrow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2DCDB"/>
        <bgColor rgb="FFEEECE1"/>
      </patternFill>
    </fill>
    <fill>
      <patternFill patternType="solid">
        <fgColor rgb="FFD6E3BC"/>
        <bgColor rgb="FFF2DCDB"/>
      </patternFill>
    </fill>
    <fill>
      <patternFill patternType="solid">
        <fgColor rgb="FFF2F2F2"/>
        <bgColor rgb="FFEEECE1"/>
      </patternFill>
    </fill>
    <fill>
      <patternFill patternType="solid">
        <fgColor rgb="FFFFFFFF"/>
        <b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EECE1"/>
        <bgColor rgb="FFF2F2F2"/>
      </patternFill>
    </fill>
    <fill>
      <patternFill patternType="solid">
        <fgColor rgb="FFEEECE1"/>
        <bgColor rgb="FFEEECE1"/>
      </patternFill>
    </fill>
    <fill>
      <patternFill patternType="solid">
        <fgColor rgb="FFFFE100"/>
        <bgColor rgb="FFFFE100"/>
      </patternFill>
    </fill>
    <fill>
      <patternFill patternType="solid">
        <fgColor rgb="FFFFE1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 applyBorder="0">
      <alignment vertical="center"/>
    </xf>
    <xf numFmtId="176" fontId="48" fillId="0" borderId="0" applyFont="0" applyFill="0" applyBorder="0" applyAlignment="0" applyProtection="0">
      <alignment vertical="center"/>
    </xf>
    <xf numFmtId="177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178" fontId="48" fillId="0" borderId="0" applyFont="0" applyFill="0" applyBorder="0" applyAlignment="0" applyProtection="0">
      <alignment vertical="center"/>
    </xf>
    <xf numFmtId="179" fontId="48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17" borderId="89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0" applyNumberFormat="0" applyFill="0" applyAlignment="0" applyProtection="0">
      <alignment vertical="center"/>
    </xf>
    <xf numFmtId="0" fontId="55" fillId="0" borderId="90" applyNumberFormat="0" applyFill="0" applyAlignment="0" applyProtection="0">
      <alignment vertical="center"/>
    </xf>
    <xf numFmtId="0" fontId="56" fillId="0" borderId="9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8" borderId="92" applyNumberFormat="0" applyAlignment="0" applyProtection="0">
      <alignment vertical="center"/>
    </xf>
    <xf numFmtId="0" fontId="58" fillId="19" borderId="93" applyNumberFormat="0" applyAlignment="0" applyProtection="0">
      <alignment vertical="center"/>
    </xf>
    <xf numFmtId="0" fontId="59" fillId="19" borderId="92" applyNumberFormat="0" applyAlignment="0" applyProtection="0">
      <alignment vertical="center"/>
    </xf>
    <xf numFmtId="0" fontId="60" fillId="20" borderId="94" applyNumberFormat="0" applyAlignment="0" applyProtection="0">
      <alignment vertical="center"/>
    </xf>
    <xf numFmtId="0" fontId="61" fillId="0" borderId="95" applyNumberFormat="0" applyFill="0" applyAlignment="0" applyProtection="0">
      <alignment vertical="center"/>
    </xf>
    <xf numFmtId="0" fontId="62" fillId="0" borderId="96" applyNumberFormat="0" applyFill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8" fillId="0" borderId="0" applyBorder="0">
      <protection locked="0"/>
    </xf>
    <xf numFmtId="0" fontId="68" fillId="0" borderId="0" applyBorder="0">
      <protection locked="0"/>
    </xf>
    <xf numFmtId="0" fontId="0" fillId="0" borderId="0" applyBorder="0">
      <protection locked="0"/>
    </xf>
    <xf numFmtId="0" fontId="2" fillId="0" borderId="0" applyBorder="0">
      <protection locked="0"/>
    </xf>
    <xf numFmtId="0" fontId="0" fillId="0" borderId="0" applyBorder="0">
      <protection locked="0"/>
    </xf>
  </cellStyleXfs>
  <cellXfs count="48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52" applyBorder="1" applyAlignment="1" applyProtection="1"/>
    <xf numFmtId="0" fontId="2" fillId="0" borderId="1" xfId="52" applyBorder="1" applyAlignment="1" applyProtection="1">
      <alignment horizontal="center"/>
    </xf>
    <xf numFmtId="0" fontId="3" fillId="0" borderId="1" xfId="0" applyFont="1" applyBorder="1" applyAlignment="1"/>
    <xf numFmtId="0" fontId="2" fillId="0" borderId="1" xfId="52" applyFont="1" applyBorder="1" applyAlignment="1" applyProtection="1"/>
    <xf numFmtId="0" fontId="2" fillId="0" borderId="1" xfId="52" applyFont="1" applyBorder="1" applyAlignment="1" applyProtection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/>
    <xf numFmtId="0" fontId="2" fillId="0" borderId="2" xfId="0" applyFont="1" applyBorder="1" applyAlignment="1"/>
    <xf numFmtId="2" fontId="2" fillId="0" borderId="2" xfId="0" applyNumberFormat="1" applyFont="1" applyBorder="1" applyAlignment="1"/>
    <xf numFmtId="0" fontId="5" fillId="0" borderId="2" xfId="0" applyFont="1" applyBorder="1" applyAlignment="1"/>
    <xf numFmtId="180" fontId="5" fillId="4" borderId="2" xfId="0" applyNumberFormat="1" applyFont="1" applyFill="1" applyBorder="1" applyAlignment="1"/>
    <xf numFmtId="0" fontId="2" fillId="0" borderId="4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2" fontId="6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8" fillId="0" borderId="8" xfId="0" applyFont="1" applyBorder="1">
      <alignment vertical="center"/>
    </xf>
    <xf numFmtId="2" fontId="6" fillId="0" borderId="8" xfId="0" applyNumberFormat="1" applyFont="1" applyBorder="1">
      <alignment vertical="center"/>
    </xf>
    <xf numFmtId="0" fontId="6" fillId="0" borderId="9" xfId="0" applyFont="1" applyBorder="1">
      <alignment vertical="center"/>
    </xf>
    <xf numFmtId="0" fontId="6" fillId="0" borderId="8" xfId="0" applyFont="1" applyBorder="1">
      <alignment vertical="center"/>
    </xf>
    <xf numFmtId="180" fontId="9" fillId="5" borderId="10" xfId="0" applyNumberFormat="1" applyFont="1" applyFill="1" applyBorder="1" applyAlignment="1" applyProtection="1">
      <alignment horizontal="center"/>
      <protection locked="0"/>
    </xf>
    <xf numFmtId="0" fontId="6" fillId="4" borderId="2" xfId="0" applyFont="1" applyFill="1" applyBorder="1">
      <alignment vertical="center"/>
    </xf>
    <xf numFmtId="49" fontId="6" fillId="4" borderId="6" xfId="0" applyNumberFormat="1" applyFont="1" applyFill="1" applyBorder="1">
      <alignment vertical="center"/>
    </xf>
    <xf numFmtId="0" fontId="6" fillId="4" borderId="11" xfId="0" applyFont="1" applyFill="1" applyBorder="1">
      <alignment vertical="center"/>
    </xf>
    <xf numFmtId="0" fontId="8" fillId="4" borderId="12" xfId="0" applyFont="1" applyFill="1" applyBorder="1">
      <alignment vertical="center"/>
    </xf>
    <xf numFmtId="2" fontId="6" fillId="4" borderId="12" xfId="0" applyNumberFormat="1" applyFont="1" applyFill="1" applyBorder="1">
      <alignment vertical="center"/>
    </xf>
    <xf numFmtId="0" fontId="6" fillId="0" borderId="13" xfId="0" applyFont="1" applyBorder="1">
      <alignment vertical="center"/>
    </xf>
    <xf numFmtId="0" fontId="6" fillId="0" borderId="12" xfId="0" applyFont="1" applyBorder="1">
      <alignment vertical="center"/>
    </xf>
    <xf numFmtId="2" fontId="9" fillId="5" borderId="14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>
      <alignment vertical="center"/>
    </xf>
    <xf numFmtId="49" fontId="1" fillId="0" borderId="6" xfId="0" applyNumberFormat="1" applyFont="1" applyBorder="1">
      <alignment vertical="center"/>
    </xf>
    <xf numFmtId="0" fontId="0" fillId="0" borderId="15" xfId="0" applyNumberFormat="1" applyFont="1" applyFill="1" applyBorder="1" applyAlignment="1">
      <alignment horizontal="left" vertical="center"/>
    </xf>
    <xf numFmtId="0" fontId="10" fillId="0" borderId="5" xfId="0" applyFont="1" applyBorder="1">
      <alignment vertical="center"/>
    </xf>
    <xf numFmtId="2" fontId="10" fillId="0" borderId="5" xfId="0" applyNumberFormat="1" applyFont="1" applyBorder="1">
      <alignment vertical="center"/>
    </xf>
    <xf numFmtId="2" fontId="10" fillId="0" borderId="16" xfId="0" applyNumberFormat="1" applyFont="1" applyBorder="1">
      <alignment vertical="center"/>
    </xf>
    <xf numFmtId="1" fontId="11" fillId="6" borderId="17" xfId="0" applyNumberFormat="1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2" fontId="10" fillId="0" borderId="2" xfId="0" applyNumberFormat="1" applyFont="1" applyBorder="1">
      <alignment vertical="center"/>
    </xf>
    <xf numFmtId="2" fontId="10" fillId="0" borderId="18" xfId="0" applyNumberFormat="1" applyFont="1" applyBorder="1">
      <alignment vertical="center"/>
    </xf>
    <xf numFmtId="2" fontId="12" fillId="5" borderId="6" xfId="0" applyNumberFormat="1" applyFont="1" applyFill="1" applyBorder="1" applyAlignment="1">
      <alignment horizontal="right"/>
    </xf>
    <xf numFmtId="2" fontId="12" fillId="5" borderId="2" xfId="0" applyNumberFormat="1" applyFont="1" applyFill="1" applyBorder="1" applyAlignment="1">
      <alignment horizontal="right"/>
    </xf>
    <xf numFmtId="0" fontId="0" fillId="7" borderId="15" xfId="0" applyNumberFormat="1" applyFont="1" applyFill="1" applyBorder="1" applyAlignment="1">
      <alignment horizontal="left" vertical="center"/>
    </xf>
    <xf numFmtId="2" fontId="13" fillId="8" borderId="17" xfId="0" applyNumberFormat="1" applyFont="1" applyFill="1" applyBorder="1" applyAlignment="1">
      <alignment horizontal="center" vertical="center"/>
    </xf>
    <xf numFmtId="0" fontId="8" fillId="4" borderId="2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1" fillId="5" borderId="2" xfId="0" applyFont="1" applyFill="1" applyBorder="1">
      <alignment vertical="center"/>
    </xf>
    <xf numFmtId="2" fontId="10" fillId="0" borderId="19" xfId="0" applyNumberFormat="1" applyFont="1" applyBorder="1">
      <alignment vertical="center"/>
    </xf>
    <xf numFmtId="0" fontId="10" fillId="0" borderId="4" xfId="0" applyFont="1" applyBorder="1">
      <alignment vertical="center"/>
    </xf>
    <xf numFmtId="2" fontId="10" fillId="0" borderId="4" xfId="0" applyNumberFormat="1" applyFont="1" applyBorder="1">
      <alignment vertical="center"/>
    </xf>
    <xf numFmtId="0" fontId="6" fillId="9" borderId="2" xfId="0" applyFont="1" applyFill="1" applyBorder="1">
      <alignment vertical="center"/>
    </xf>
    <xf numFmtId="49" fontId="1" fillId="9" borderId="6" xfId="0" applyNumberFormat="1" applyFont="1" applyFill="1" applyBorder="1">
      <alignment vertical="center"/>
    </xf>
    <xf numFmtId="0" fontId="10" fillId="9" borderId="2" xfId="0" applyFont="1" applyFill="1" applyBorder="1">
      <alignment vertical="center"/>
    </xf>
    <xf numFmtId="2" fontId="10" fillId="9" borderId="2" xfId="0" applyNumberFormat="1" applyFont="1" applyFill="1" applyBorder="1">
      <alignment vertical="center"/>
    </xf>
    <xf numFmtId="2" fontId="10" fillId="9" borderId="6" xfId="0" applyNumberFormat="1" applyFont="1" applyFill="1" applyBorder="1">
      <alignment vertical="center"/>
    </xf>
    <xf numFmtId="0" fontId="8" fillId="4" borderId="6" xfId="0" applyFont="1" applyFill="1" applyBorder="1">
      <alignment vertical="center"/>
    </xf>
    <xf numFmtId="0" fontId="0" fillId="7" borderId="20" xfId="0" applyNumberFormat="1" applyFont="1" applyFill="1" applyBorder="1" applyAlignment="1">
      <alignment horizontal="left" vertical="center"/>
    </xf>
    <xf numFmtId="0" fontId="0" fillId="0" borderId="21" xfId="0" applyNumberFormat="1" applyFont="1" applyFill="1" applyBorder="1" applyAlignment="1">
      <alignment horizontal="left" vertical="center"/>
    </xf>
    <xf numFmtId="2" fontId="12" fillId="9" borderId="6" xfId="0" applyNumberFormat="1" applyFont="1" applyFill="1" applyBorder="1" applyAlignment="1">
      <alignment horizontal="right"/>
    </xf>
    <xf numFmtId="2" fontId="10" fillId="0" borderId="22" xfId="0" applyNumberFormat="1" applyFont="1" applyBorder="1">
      <alignment vertical="center"/>
    </xf>
    <xf numFmtId="0" fontId="9" fillId="5" borderId="10" xfId="0" applyFont="1" applyFill="1" applyBorder="1" applyAlignment="1" applyProtection="1">
      <alignment horizontal="center"/>
      <protection locked="0"/>
    </xf>
    <xf numFmtId="2" fontId="9" fillId="5" borderId="12" xfId="0" applyNumberFormat="1" applyFont="1" applyFill="1" applyBorder="1" applyAlignment="1" applyProtection="1">
      <alignment horizontal="center"/>
      <protection locked="0"/>
    </xf>
    <xf numFmtId="2" fontId="9" fillId="0" borderId="12" xfId="0" applyNumberFormat="1" applyFont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2" fontId="9" fillId="5" borderId="11" xfId="0" applyNumberFormat="1" applyFont="1" applyFill="1" applyBorder="1" applyAlignment="1" applyProtection="1">
      <alignment horizontal="center"/>
      <protection locked="0"/>
    </xf>
    <xf numFmtId="1" fontId="14" fillId="0" borderId="5" xfId="0" applyNumberFormat="1" applyFont="1" applyBorder="1">
      <alignment vertical="center"/>
    </xf>
    <xf numFmtId="0" fontId="14" fillId="0" borderId="24" xfId="0" applyFont="1" applyBorder="1">
      <alignment vertical="center"/>
    </xf>
    <xf numFmtId="2" fontId="15" fillId="5" borderId="2" xfId="0" applyNumberFormat="1" applyFont="1" applyFill="1" applyBorder="1" applyAlignment="1">
      <alignment horizontal="right"/>
    </xf>
    <xf numFmtId="1" fontId="15" fillId="5" borderId="2" xfId="0" applyNumberFormat="1" applyFont="1" applyFill="1" applyBorder="1" applyAlignment="1">
      <alignment horizontal="right"/>
    </xf>
    <xf numFmtId="2" fontId="15" fillId="5" borderId="25" xfId="0" applyNumberFormat="1" applyFont="1" applyFill="1" applyBorder="1" applyAlignment="1">
      <alignment horizontal="right"/>
    </xf>
    <xf numFmtId="1" fontId="14" fillId="0" borderId="3" xfId="0" applyNumberFormat="1" applyFont="1" applyBorder="1">
      <alignment vertical="center"/>
    </xf>
    <xf numFmtId="1" fontId="14" fillId="9" borderId="2" xfId="0" applyNumberFormat="1" applyFont="1" applyFill="1" applyBorder="1">
      <alignment vertical="center"/>
    </xf>
    <xf numFmtId="1" fontId="14" fillId="9" borderId="5" xfId="0" applyNumberFormat="1" applyFont="1" applyFill="1" applyBorder="1">
      <alignment vertical="center"/>
    </xf>
    <xf numFmtId="0" fontId="14" fillId="9" borderId="24" xfId="0" applyFont="1" applyFill="1" applyBorder="1">
      <alignment vertical="center"/>
    </xf>
    <xf numFmtId="0" fontId="14" fillId="0" borderId="5" xfId="0" applyFont="1" applyBorder="1">
      <alignment vertical="center"/>
    </xf>
    <xf numFmtId="0" fontId="9" fillId="5" borderId="26" xfId="0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1" fontId="14" fillId="0" borderId="24" xfId="0" applyNumberFormat="1" applyFont="1" applyBorder="1">
      <alignment vertical="center"/>
    </xf>
    <xf numFmtId="1" fontId="14" fillId="9" borderId="24" xfId="0" applyNumberFormat="1" applyFont="1" applyFill="1" applyBorder="1">
      <alignment vertical="center"/>
    </xf>
    <xf numFmtId="2" fontId="13" fillId="8" borderId="27" xfId="0" applyNumberFormat="1" applyFont="1" applyFill="1" applyBorder="1" applyAlignment="1">
      <alignment horizontal="center" vertical="center"/>
    </xf>
    <xf numFmtId="0" fontId="0" fillId="0" borderId="0" xfId="0" applyNumberFormat="1" applyFont="1" applyFill="1">
      <alignment vertical="center"/>
    </xf>
    <xf numFmtId="2" fontId="12" fillId="9" borderId="2" xfId="0" applyNumberFormat="1" applyFont="1" applyFill="1" applyBorder="1" applyAlignment="1">
      <alignment horizontal="right"/>
    </xf>
    <xf numFmtId="1" fontId="14" fillId="0" borderId="28" xfId="0" applyNumberFormat="1" applyFont="1" applyBorder="1">
      <alignment vertical="center"/>
    </xf>
    <xf numFmtId="0" fontId="1" fillId="0" borderId="29" xfId="0" applyFont="1" applyBorder="1">
      <alignment vertical="center"/>
    </xf>
    <xf numFmtId="0" fontId="1" fillId="9" borderId="2" xfId="0" applyFont="1" applyFill="1" applyBorder="1">
      <alignment vertical="center"/>
    </xf>
    <xf numFmtId="49" fontId="6" fillId="4" borderId="29" xfId="0" applyNumberFormat="1" applyFont="1" applyFill="1" applyBorder="1">
      <alignment vertical="center"/>
    </xf>
    <xf numFmtId="1" fontId="15" fillId="5" borderId="30" xfId="0" applyNumberFormat="1" applyFont="1" applyFill="1" applyBorder="1" applyAlignment="1">
      <alignment horizontal="right"/>
    </xf>
    <xf numFmtId="49" fontId="10" fillId="0" borderId="2" xfId="0" applyNumberFormat="1" applyFont="1" applyBorder="1">
      <alignment vertical="center"/>
    </xf>
    <xf numFmtId="0" fontId="1" fillId="0" borderId="6" xfId="0" applyFont="1" applyBorder="1">
      <alignment vertical="center"/>
    </xf>
    <xf numFmtId="0" fontId="6" fillId="4" borderId="4" xfId="0" applyFont="1" applyFill="1" applyBorder="1">
      <alignment vertical="center"/>
    </xf>
    <xf numFmtId="49" fontId="6" fillId="4" borderId="31" xfId="0" applyNumberFormat="1" applyFont="1" applyFill="1" applyBorder="1">
      <alignment vertical="center"/>
    </xf>
    <xf numFmtId="49" fontId="6" fillId="4" borderId="32" xfId="0" applyNumberFormat="1" applyFont="1" applyFill="1" applyBorder="1">
      <alignment vertical="center"/>
    </xf>
    <xf numFmtId="0" fontId="8" fillId="4" borderId="4" xfId="0" applyFont="1" applyFill="1" applyBorder="1">
      <alignment vertical="center"/>
    </xf>
    <xf numFmtId="0" fontId="1" fillId="0" borderId="31" xfId="0" applyFont="1" applyBorder="1">
      <alignment vertical="center"/>
    </xf>
    <xf numFmtId="1" fontId="14" fillId="0" borderId="33" xfId="0" applyNumberFormat="1" applyFont="1" applyBorder="1">
      <alignment vertical="center"/>
    </xf>
    <xf numFmtId="0" fontId="6" fillId="4" borderId="34" xfId="0" applyFont="1" applyFill="1" applyBorder="1">
      <alignment vertical="center"/>
    </xf>
    <xf numFmtId="0" fontId="6" fillId="4" borderId="35" xfId="0" applyFont="1" applyFill="1" applyBorder="1">
      <alignment vertical="center"/>
    </xf>
    <xf numFmtId="49" fontId="8" fillId="4" borderId="34" xfId="0" applyNumberFormat="1" applyFont="1" applyFill="1" applyBorder="1">
      <alignment vertical="center"/>
    </xf>
    <xf numFmtId="0" fontId="6" fillId="4" borderId="36" xfId="0" applyFont="1" applyFill="1" applyBorder="1">
      <alignment vertical="center"/>
    </xf>
    <xf numFmtId="0" fontId="6" fillId="0" borderId="35" xfId="0" applyFont="1" applyBorder="1">
      <alignment vertical="center"/>
    </xf>
    <xf numFmtId="1" fontId="6" fillId="4" borderId="37" xfId="0" applyNumberFormat="1" applyFont="1" applyFill="1" applyBorder="1">
      <alignment vertical="center"/>
    </xf>
    <xf numFmtId="0" fontId="14" fillId="0" borderId="3" xfId="0" applyFont="1" applyBorder="1">
      <alignment vertical="center"/>
    </xf>
    <xf numFmtId="0" fontId="14" fillId="0" borderId="38" xfId="0" applyFont="1" applyBorder="1">
      <alignment vertical="center"/>
    </xf>
    <xf numFmtId="2" fontId="6" fillId="4" borderId="39" xfId="0" applyNumberFormat="1" applyFont="1" applyFill="1" applyBorder="1">
      <alignment vertical="center"/>
    </xf>
    <xf numFmtId="1" fontId="6" fillId="4" borderId="39" xfId="0" applyNumberFormat="1" applyFont="1" applyFill="1" applyBorder="1">
      <alignment vertical="center"/>
    </xf>
    <xf numFmtId="2" fontId="6" fillId="4" borderId="40" xfId="0" applyNumberFormat="1" applyFont="1" applyFill="1" applyBorder="1">
      <alignment vertical="center"/>
    </xf>
    <xf numFmtId="1" fontId="15" fillId="9" borderId="2" xfId="0" applyNumberFormat="1" applyFont="1" applyFill="1" applyBorder="1" applyAlignment="1">
      <alignment horizontal="right"/>
    </xf>
    <xf numFmtId="49" fontId="2" fillId="0" borderId="2" xfId="0" applyNumberFormat="1" applyFont="1" applyBorder="1" applyAlignment="1"/>
    <xf numFmtId="0" fontId="16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/>
    <xf numFmtId="0" fontId="16" fillId="0" borderId="2" xfId="0" applyFont="1" applyBorder="1" applyAlignment="1"/>
    <xf numFmtId="0" fontId="2" fillId="0" borderId="30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49" fontId="2" fillId="0" borderId="28" xfId="0" applyNumberFormat="1" applyFont="1" applyBorder="1" applyAlignment="1">
      <alignment horizontal="right"/>
    </xf>
    <xf numFmtId="0" fontId="2" fillId="0" borderId="0" xfId="0" applyFont="1" applyAlignment="1"/>
    <xf numFmtId="0" fontId="2" fillId="4" borderId="0" xfId="0" applyFont="1" applyFill="1" applyAlignment="1"/>
    <xf numFmtId="0" fontId="2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/>
    <xf numFmtId="0" fontId="5" fillId="0" borderId="41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2" xfId="0" applyNumberFormat="1" applyFont="1" applyFill="1" applyBorder="1" applyAlignment="1">
      <alignment horizontal="right"/>
    </xf>
    <xf numFmtId="0" fontId="16" fillId="0" borderId="42" xfId="0" applyNumberFormat="1" applyFont="1" applyFill="1" applyBorder="1" applyAlignment="1">
      <alignment horizontal="right"/>
    </xf>
    <xf numFmtId="0" fontId="16" fillId="10" borderId="42" xfId="0" applyNumberFormat="1" applyFont="1" applyFill="1" applyBorder="1" applyAlignment="1">
      <alignment horizontal="right"/>
    </xf>
    <xf numFmtId="0" fontId="16" fillId="11" borderId="42" xfId="0" applyNumberFormat="1" applyFont="1" applyFill="1" applyBorder="1" applyAlignment="1">
      <alignment horizontal="right"/>
    </xf>
    <xf numFmtId="0" fontId="0" fillId="0" borderId="42" xfId="0" applyNumberFormat="1" applyFont="1" applyFill="1" applyBorder="1" applyAlignment="1"/>
    <xf numFmtId="0" fontId="16" fillId="0" borderId="43" xfId="0" applyNumberFormat="1" applyFont="1" applyFill="1" applyBorder="1" applyAlignment="1">
      <alignment horizontal="right"/>
    </xf>
    <xf numFmtId="0" fontId="2" fillId="4" borderId="44" xfId="0" applyFont="1" applyFill="1" applyBorder="1" applyAlignment="1">
      <alignment horizontal="center"/>
    </xf>
    <xf numFmtId="0" fontId="16" fillId="0" borderId="45" xfId="0" applyNumberFormat="1" applyFont="1" applyFill="1" applyBorder="1" applyAlignment="1">
      <alignment horizontal="right"/>
    </xf>
    <xf numFmtId="0" fontId="0" fillId="0" borderId="42" xfId="0" applyNumberFormat="1" applyFont="1" applyFill="1" applyBorder="1" applyAlignment="1">
      <alignment horizontal="center"/>
    </xf>
    <xf numFmtId="0" fontId="0" fillId="0" borderId="42" xfId="0" applyNumberFormat="1" applyFont="1" applyFill="1" applyBorder="1" applyAlignment="1">
      <alignment horizontal="left"/>
    </xf>
    <xf numFmtId="0" fontId="0" fillId="10" borderId="42" xfId="0" applyNumberFormat="1" applyFont="1" applyFill="1" applyBorder="1" applyAlignment="1">
      <alignment horizontal="left"/>
    </xf>
    <xf numFmtId="0" fontId="0" fillId="10" borderId="42" xfId="0" applyNumberFormat="1" applyFont="1" applyFill="1" applyBorder="1" applyAlignment="1">
      <alignment horizontal="right"/>
    </xf>
    <xf numFmtId="0" fontId="0" fillId="10" borderId="42" xfId="0" applyNumberFormat="1" applyFont="1" applyFill="1" applyBorder="1" applyAlignment="1"/>
    <xf numFmtId="0" fontId="0" fillId="0" borderId="45" xfId="0" applyNumberFormat="1" applyFont="1" applyFill="1" applyBorder="1" applyAlignment="1">
      <alignment horizontal="right"/>
    </xf>
    <xf numFmtId="0" fontId="0" fillId="0" borderId="43" xfId="0" applyNumberFormat="1" applyFont="1" applyFill="1" applyBorder="1" applyAlignment="1">
      <alignment horizontal="right"/>
    </xf>
    <xf numFmtId="0" fontId="0" fillId="11" borderId="42" xfId="0" applyNumberFormat="1" applyFont="1" applyFill="1" applyBorder="1" applyAlignment="1">
      <alignment horizontal="right"/>
    </xf>
    <xf numFmtId="0" fontId="0" fillId="11" borderId="42" xfId="0" applyNumberFormat="1" applyFont="1" applyFill="1" applyBorder="1" applyAlignment="1"/>
    <xf numFmtId="0" fontId="2" fillId="5" borderId="2" xfId="0" applyFont="1" applyFill="1" applyBorder="1" applyAlignment="1"/>
    <xf numFmtId="0" fontId="2" fillId="0" borderId="5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5" fillId="12" borderId="2" xfId="0" applyFont="1" applyFill="1" applyBorder="1" applyAlignment="1"/>
    <xf numFmtId="0" fontId="18" fillId="0" borderId="2" xfId="0" applyFont="1" applyBorder="1" applyAlignment="1"/>
    <xf numFmtId="2" fontId="0" fillId="0" borderId="42" xfId="0" applyNumberFormat="1" applyFont="1" applyFill="1" applyBorder="1" applyAlignment="1">
      <alignment horizontal="right"/>
    </xf>
    <xf numFmtId="2" fontId="16" fillId="0" borderId="42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42" xfId="0" applyNumberFormat="1" applyFont="1" applyFill="1" applyBorder="1" applyAlignment="1">
      <alignment horizontal="right"/>
    </xf>
    <xf numFmtId="0" fontId="16" fillId="0" borderId="42" xfId="49" applyFont="1" applyBorder="1" applyAlignment="1" applyProtection="1"/>
    <xf numFmtId="0" fontId="0" fillId="13" borderId="42" xfId="0" applyNumberFormat="1" applyFont="1" applyFill="1" applyBorder="1" applyAlignment="1">
      <alignment horizontal="left"/>
    </xf>
    <xf numFmtId="0" fontId="2" fillId="0" borderId="2" xfId="53" applyFont="1" applyBorder="1" applyAlignment="1" applyProtection="1"/>
    <xf numFmtId="0" fontId="9" fillId="0" borderId="0" xfId="0" applyFont="1">
      <alignment vertical="center"/>
    </xf>
    <xf numFmtId="0" fontId="0" fillId="0" borderId="2" xfId="0" applyBorder="1">
      <alignment vertical="center"/>
    </xf>
    <xf numFmtId="0" fontId="17" fillId="0" borderId="2" xfId="0" applyFont="1" applyBorder="1" applyAlignment="1"/>
    <xf numFmtId="0" fontId="5" fillId="0" borderId="6" xfId="0" applyFont="1" applyBorder="1" applyAlignment="1"/>
    <xf numFmtId="0" fontId="4" fillId="0" borderId="2" xfId="0" applyFont="1" applyBorder="1">
      <alignment vertical="center"/>
    </xf>
    <xf numFmtId="49" fontId="0" fillId="0" borderId="42" xfId="0" applyNumberFormat="1" applyFont="1" applyFill="1" applyBorder="1" applyAlignment="1">
      <alignment horizontal="left"/>
    </xf>
    <xf numFmtId="49" fontId="0" fillId="0" borderId="46" xfId="0" applyNumberFormat="1" applyFont="1" applyFill="1" applyBorder="1" applyAlignment="1">
      <alignment horizontal="left"/>
    </xf>
    <xf numFmtId="49" fontId="0" fillId="0" borderId="42" xfId="0" applyNumberFormat="1" applyFont="1" applyFill="1" applyBorder="1" applyAlignment="1">
      <alignment horizontal="left" vertical="center"/>
    </xf>
    <xf numFmtId="0" fontId="0" fillId="0" borderId="42" xfId="0" applyNumberFormat="1" applyFont="1" applyFill="1" applyBorder="1">
      <alignment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0" xfId="0" applyNumberFormat="1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0" fillId="0" borderId="0" xfId="0" applyNumberFormat="1" applyFont="1" applyFill="1">
      <alignment vertical="center"/>
    </xf>
    <xf numFmtId="181" fontId="0" fillId="0" borderId="0" xfId="0" applyNumberFormat="1" applyFont="1" applyFill="1">
      <alignment vertical="center"/>
    </xf>
    <xf numFmtId="0" fontId="16" fillId="0" borderId="42" xfId="0" applyNumberFormat="1" applyFont="1" applyFill="1" applyBorder="1" applyAlignment="1">
      <alignment horizontal="left"/>
    </xf>
    <xf numFmtId="0" fontId="1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17" fillId="0" borderId="2" xfId="0" applyFont="1" applyBorder="1">
      <alignment vertical="center"/>
    </xf>
    <xf numFmtId="0" fontId="20" fillId="0" borderId="0" xfId="0" applyFont="1" applyAlignment="1"/>
    <xf numFmtId="0" fontId="21" fillId="0" borderId="2" xfId="0" applyFont="1" applyBorder="1" applyAlignment="1">
      <alignment horizontal="center" vertical="center"/>
    </xf>
    <xf numFmtId="0" fontId="22" fillId="5" borderId="2" xfId="0" applyFont="1" applyFill="1" applyBorder="1" applyAlignment="1">
      <alignment horizontal="left" wrapText="1"/>
    </xf>
    <xf numFmtId="0" fontId="21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wrapText="1"/>
    </xf>
    <xf numFmtId="0" fontId="2" fillId="0" borderId="6" xfId="0" applyFont="1" applyBorder="1">
      <alignment vertical="center"/>
    </xf>
    <xf numFmtId="0" fontId="1" fillId="0" borderId="2" xfId="0" applyFont="1" applyBorder="1" applyAlignment="1"/>
    <xf numFmtId="0" fontId="1" fillId="0" borderId="6" xfId="0" applyFont="1" applyBorder="1" applyAlignment="1"/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/>
    <xf numFmtId="0" fontId="23" fillId="0" borderId="2" xfId="0" applyFont="1" applyBorder="1" applyAlignment="1"/>
    <xf numFmtId="0" fontId="23" fillId="0" borderId="2" xfId="0" applyFont="1" applyBorder="1" applyAlignment="1">
      <alignment horizontal="center"/>
    </xf>
    <xf numFmtId="0" fontId="24" fillId="0" borderId="2" xfId="0" applyFont="1" applyBorder="1">
      <alignment vertical="center"/>
    </xf>
    <xf numFmtId="0" fontId="25" fillId="0" borderId="2" xfId="0" applyFont="1" applyBorder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6" xfId="0" applyFont="1" applyBorder="1">
      <alignment vertical="center"/>
    </xf>
    <xf numFmtId="0" fontId="26" fillId="0" borderId="2" xfId="0" applyFont="1" applyBorder="1" applyAlignment="1">
      <alignment horizontal="center" wrapText="1"/>
    </xf>
    <xf numFmtId="0" fontId="20" fillId="0" borderId="6" xfId="0" applyFont="1" applyBorder="1" applyAlignment="1"/>
    <xf numFmtId="0" fontId="7" fillId="0" borderId="2" xfId="0" applyFont="1" applyBorder="1" applyAlignment="1">
      <alignment horizontal="center" vertical="center"/>
    </xf>
    <xf numFmtId="0" fontId="27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6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0" fillId="0" borderId="2" xfId="0" applyFont="1" applyBorder="1" applyAlignment="1"/>
    <xf numFmtId="0" fontId="30" fillId="0" borderId="2" xfId="0" applyFont="1" applyBorder="1" applyAlignment="1"/>
    <xf numFmtId="0" fontId="2" fillId="0" borderId="6" xfId="0" applyFont="1" applyBorder="1" applyAlignment="1"/>
    <xf numFmtId="0" fontId="1" fillId="0" borderId="4" xfId="0" applyFont="1" applyBorder="1">
      <alignment vertical="center"/>
    </xf>
    <xf numFmtId="0" fontId="31" fillId="0" borderId="0" xfId="0" applyFont="1">
      <alignment vertical="center"/>
    </xf>
    <xf numFmtId="0" fontId="32" fillId="0" borderId="0" xfId="0" applyFont="1" applyAlignment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Alignment="1"/>
    <xf numFmtId="0" fontId="27" fillId="5" borderId="13" xfId="0" applyFont="1" applyFill="1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4" fillId="5" borderId="48" xfId="0" applyFont="1" applyFill="1" applyBorder="1" applyAlignment="1">
      <alignment horizontal="left" vertical="center"/>
    </xf>
    <xf numFmtId="0" fontId="24" fillId="5" borderId="49" xfId="0" applyFont="1" applyFill="1" applyBorder="1" applyAlignment="1">
      <alignment horizontal="left" vertical="center"/>
    </xf>
    <xf numFmtId="0" fontId="24" fillId="5" borderId="50" xfId="0" applyFont="1" applyFill="1" applyBorder="1" applyAlignment="1">
      <alignment horizontal="left" vertical="center"/>
    </xf>
    <xf numFmtId="0" fontId="24" fillId="5" borderId="8" xfId="0" applyFont="1" applyFill="1" applyBorder="1">
      <alignment vertical="center"/>
    </xf>
    <xf numFmtId="180" fontId="24" fillId="5" borderId="8" xfId="0" applyNumberFormat="1" applyFont="1" applyFill="1" applyBorder="1" applyAlignment="1">
      <alignment horizontal="center" vertical="center"/>
    </xf>
    <xf numFmtId="0" fontId="24" fillId="5" borderId="29" xfId="0" applyFont="1" applyFill="1" applyBorder="1" applyAlignment="1">
      <alignment horizontal="left" vertical="center"/>
    </xf>
    <xf numFmtId="0" fontId="24" fillId="5" borderId="2" xfId="0" applyFont="1" applyFill="1" applyBorder="1">
      <alignment vertical="center"/>
    </xf>
    <xf numFmtId="0" fontId="24" fillId="5" borderId="2" xfId="0" applyFont="1" applyFill="1" applyBorder="1" applyAlignment="1">
      <alignment horizontal="center" vertical="center"/>
    </xf>
    <xf numFmtId="0" fontId="24" fillId="5" borderId="29" xfId="0" applyFont="1" applyFill="1" applyBorder="1" applyAlignment="1">
      <alignment horizontal="center" vertical="center" shrinkToFit="1"/>
    </xf>
    <xf numFmtId="0" fontId="24" fillId="5" borderId="2" xfId="0" applyFont="1" applyFill="1" applyBorder="1" applyAlignment="1">
      <alignment horizontal="center" vertical="center" shrinkToFi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5" borderId="30" xfId="0" applyFont="1" applyFill="1" applyBorder="1" applyAlignment="1">
      <alignment horizontal="center" vertical="center" wrapText="1"/>
    </xf>
    <xf numFmtId="0" fontId="5" fillId="0" borderId="32" xfId="0" applyFont="1" applyBorder="1" applyAlignment="1"/>
    <xf numFmtId="0" fontId="5" fillId="5" borderId="4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/>
    <xf numFmtId="0" fontId="17" fillId="5" borderId="4" xfId="0" applyFont="1" applyFill="1" applyBorder="1" applyAlignment="1">
      <alignment horizontal="center" vertical="center" shrinkToFit="1"/>
    </xf>
    <xf numFmtId="0" fontId="17" fillId="5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shrinkToFit="1"/>
    </xf>
    <xf numFmtId="182" fontId="4" fillId="0" borderId="42" xfId="0" applyNumberFormat="1" applyFont="1" applyFill="1" applyBorder="1" applyAlignment="1">
      <alignment horizontal="center" vertical="center"/>
    </xf>
    <xf numFmtId="182" fontId="4" fillId="0" borderId="42" xfId="0" applyNumberFormat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82" fontId="4" fillId="14" borderId="42" xfId="0" applyNumberFormat="1" applyFont="1" applyFill="1" applyBorder="1" applyAlignment="1">
      <alignment horizontal="center" vertical="center"/>
    </xf>
    <xf numFmtId="182" fontId="0" fillId="14" borderId="42" xfId="0" applyNumberFormat="1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wrapText="1"/>
    </xf>
    <xf numFmtId="0" fontId="34" fillId="0" borderId="2" xfId="0" applyFont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horizontal="center"/>
    </xf>
    <xf numFmtId="182" fontId="4" fillId="10" borderId="42" xfId="0" applyNumberFormat="1" applyFont="1" applyFill="1" applyBorder="1" applyAlignment="1">
      <alignment horizontal="center" vertical="center"/>
    </xf>
    <xf numFmtId="182" fontId="4" fillId="10" borderId="42" xfId="0" applyNumberFormat="1" applyFont="1" applyFill="1" applyBorder="1" applyAlignment="1">
      <alignment horizontal="center" vertical="center" wrapText="1"/>
    </xf>
    <xf numFmtId="182" fontId="4" fillId="14" borderId="42" xfId="0" applyNumberFormat="1" applyFont="1" applyFill="1" applyBorder="1" applyAlignment="1">
      <alignment horizontal="center" vertical="center" wrapText="1"/>
    </xf>
    <xf numFmtId="182" fontId="0" fillId="0" borderId="42" xfId="0" applyNumberFormat="1" applyFont="1" applyFill="1" applyBorder="1" applyAlignment="1">
      <alignment horizontal="left" vertical="center"/>
    </xf>
    <xf numFmtId="0" fontId="35" fillId="5" borderId="29" xfId="0" applyFont="1" applyFill="1" applyBorder="1" applyAlignment="1">
      <alignment horizontal="center" wrapText="1"/>
    </xf>
    <xf numFmtId="0" fontId="34" fillId="5" borderId="4" xfId="0" applyFont="1" applyFill="1" applyBorder="1" applyAlignment="1">
      <alignment horizontal="center" wrapText="1"/>
    </xf>
    <xf numFmtId="0" fontId="34" fillId="5" borderId="2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35" fillId="5" borderId="6" xfId="0" applyFont="1" applyFill="1" applyBorder="1" applyAlignment="1">
      <alignment horizontal="center"/>
    </xf>
    <xf numFmtId="0" fontId="35" fillId="5" borderId="51" xfId="0" applyFont="1" applyFill="1" applyBorder="1" applyAlignment="1">
      <alignment horizontal="center"/>
    </xf>
    <xf numFmtId="0" fontId="36" fillId="5" borderId="52" xfId="0" applyFont="1" applyFill="1" applyBorder="1" applyAlignment="1">
      <alignment horizontal="center" vertical="center"/>
    </xf>
    <xf numFmtId="0" fontId="34" fillId="5" borderId="30" xfId="0" applyFont="1" applyFill="1" applyBorder="1" applyAlignment="1"/>
    <xf numFmtId="0" fontId="34" fillId="5" borderId="2" xfId="0" applyFont="1" applyFill="1" applyBorder="1" applyAlignment="1"/>
    <xf numFmtId="0" fontId="5" fillId="0" borderId="29" xfId="0" applyFont="1" applyBorder="1" applyAlignment="1"/>
    <xf numFmtId="0" fontId="5" fillId="0" borderId="6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2" xfId="0" applyFont="1" applyBorder="1" applyAlignment="1">
      <alignment wrapText="1"/>
    </xf>
    <xf numFmtId="0" fontId="5" fillId="0" borderId="11" xfId="0" applyFont="1" applyBorder="1" applyAlignment="1"/>
    <xf numFmtId="0" fontId="5" fillId="0" borderId="12" xfId="0" applyFont="1" applyBorder="1" applyAlignment="1"/>
    <xf numFmtId="0" fontId="5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7" fillId="0" borderId="12" xfId="0" applyFont="1" applyBorder="1" applyAlignment="1"/>
    <xf numFmtId="0" fontId="27" fillId="5" borderId="4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0" fontId="5" fillId="10" borderId="53" xfId="0" applyNumberFormat="1" applyFont="1" applyFill="1" applyBorder="1" applyAlignment="1">
      <alignment horizontal="center" vertical="center" shrinkToFit="1"/>
    </xf>
    <xf numFmtId="182" fontId="31" fillId="0" borderId="45" xfId="0" applyNumberFormat="1" applyFont="1" applyFill="1" applyBorder="1" applyAlignment="1">
      <alignment horizontal="center" vertical="center"/>
    </xf>
    <xf numFmtId="0" fontId="37" fillId="0" borderId="54" xfId="0" applyNumberFormat="1" applyFont="1" applyFill="1" applyBorder="1" applyAlignment="1">
      <alignment horizontal="left"/>
    </xf>
    <xf numFmtId="0" fontId="5" fillId="0" borderId="55" xfId="0" applyNumberFormat="1" applyFont="1" applyFill="1" applyBorder="1" applyAlignment="1">
      <alignment horizontal="center"/>
    </xf>
    <xf numFmtId="0" fontId="5" fillId="0" borderId="15" xfId="0" applyNumberFormat="1" applyFont="1" applyFill="1" applyBorder="1" applyAlignment="1">
      <alignment horizontal="center"/>
    </xf>
    <xf numFmtId="0" fontId="38" fillId="0" borderId="56" xfId="0" applyNumberFormat="1" applyFont="1" applyFill="1" applyBorder="1" applyAlignment="1">
      <alignment horizontal="left"/>
    </xf>
    <xf numFmtId="0" fontId="35" fillId="10" borderId="42" xfId="0" applyNumberFormat="1" applyFont="1" applyFill="1" applyBorder="1" applyAlignment="1">
      <alignment horizontal="center" wrapText="1"/>
    </xf>
    <xf numFmtId="0" fontId="35" fillId="0" borderId="42" xfId="0" applyNumberFormat="1" applyFont="1" applyFill="1" applyBorder="1" applyAlignment="1">
      <alignment horizontal="center" vertical="center"/>
    </xf>
    <xf numFmtId="0" fontId="5" fillId="10" borderId="15" xfId="0" applyNumberFormat="1" applyFont="1" applyFill="1" applyBorder="1" applyAlignment="1">
      <alignment horizontal="center" vertical="center" shrinkToFit="1"/>
    </xf>
    <xf numFmtId="0" fontId="39" fillId="0" borderId="56" xfId="0" applyNumberFormat="1" applyFont="1" applyFill="1" applyBorder="1" applyAlignment="1">
      <alignment horizontal="left"/>
    </xf>
    <xf numFmtId="0" fontId="5" fillId="0" borderId="42" xfId="0" applyNumberFormat="1" applyFont="1" applyFill="1" applyBorder="1" applyAlignment="1">
      <alignment horizontal="center"/>
    </xf>
    <xf numFmtId="0" fontId="31" fillId="9" borderId="57" xfId="0" applyNumberFormat="1" applyFont="1" applyFill="1" applyBorder="1" applyAlignment="1">
      <alignment horizontal="center"/>
    </xf>
    <xf numFmtId="0" fontId="0" fillId="10" borderId="42" xfId="0" applyNumberFormat="1" applyFont="1" applyFill="1" applyBorder="1" applyAlignment="1">
      <alignment horizontal="center" wrapText="1"/>
    </xf>
    <xf numFmtId="0" fontId="39" fillId="0" borderId="54" xfId="0" applyNumberFormat="1" applyFont="1" applyFill="1" applyBorder="1" applyAlignment="1">
      <alignment horizontal="left"/>
    </xf>
    <xf numFmtId="0" fontId="5" fillId="9" borderId="42" xfId="0" applyNumberFormat="1" applyFont="1" applyFill="1" applyBorder="1" applyAlignment="1">
      <alignment horizontal="center"/>
    </xf>
    <xf numFmtId="0" fontId="38" fillId="0" borderId="54" xfId="0" applyNumberFormat="1" applyFont="1" applyFill="1" applyBorder="1" applyAlignment="1">
      <alignment horizontal="left"/>
    </xf>
    <xf numFmtId="0" fontId="0" fillId="0" borderId="42" xfId="0" applyNumberFormat="1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left" vertical="center"/>
    </xf>
    <xf numFmtId="0" fontId="24" fillId="5" borderId="10" xfId="0" applyFont="1" applyFill="1" applyBorder="1" applyAlignment="1">
      <alignment horizontal="left" vertical="center"/>
    </xf>
    <xf numFmtId="0" fontId="24" fillId="5" borderId="25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 wrapText="1"/>
    </xf>
    <xf numFmtId="0" fontId="36" fillId="5" borderId="58" xfId="0" applyFont="1" applyFill="1" applyBorder="1" applyAlignment="1">
      <alignment horizontal="center" wrapText="1"/>
    </xf>
    <xf numFmtId="0" fontId="17" fillId="0" borderId="8" xfId="0" applyFont="1" applyBorder="1" applyAlignment="1"/>
    <xf numFmtId="0" fontId="2" fillId="0" borderId="59" xfId="0" applyFont="1" applyBorder="1" applyAlignment="1"/>
    <xf numFmtId="0" fontId="36" fillId="5" borderId="25" xfId="0" applyFont="1" applyFill="1" applyBorder="1" applyAlignment="1">
      <alignment horizontal="center" wrapText="1"/>
    </xf>
    <xf numFmtId="0" fontId="34" fillId="5" borderId="25" xfId="0" applyFont="1" applyFill="1" applyBorder="1" applyAlignment="1">
      <alignment horizontal="center" wrapText="1"/>
    </xf>
    <xf numFmtId="0" fontId="36" fillId="5" borderId="2" xfId="0" applyFont="1" applyFill="1" applyBorder="1" applyAlignment="1">
      <alignment horizontal="center" vertical="center"/>
    </xf>
    <xf numFmtId="0" fontId="36" fillId="5" borderId="25" xfId="0" applyFont="1" applyFill="1" applyBorder="1" applyAlignment="1">
      <alignment horizontal="center" vertical="center"/>
    </xf>
    <xf numFmtId="0" fontId="2" fillId="0" borderId="25" xfId="0" applyFont="1" applyBorder="1" applyAlignment="1"/>
    <xf numFmtId="0" fontId="2" fillId="0" borderId="12" xfId="0" applyFont="1" applyBorder="1" applyAlignment="1"/>
    <xf numFmtId="0" fontId="2" fillId="0" borderId="23" xfId="0" applyFont="1" applyBorder="1" applyAlignment="1"/>
    <xf numFmtId="0" fontId="24" fillId="5" borderId="59" xfId="0" applyFont="1" applyFill="1" applyBorder="1" applyAlignment="1">
      <alignment horizontal="left" vertical="center"/>
    </xf>
    <xf numFmtId="0" fontId="0" fillId="0" borderId="55" xfId="0" applyNumberFormat="1" applyFont="1" applyFill="1" applyBorder="1" applyAlignment="1"/>
    <xf numFmtId="0" fontId="35" fillId="10" borderId="46" xfId="0" applyNumberFormat="1" applyFont="1" applyFill="1" applyBorder="1" applyAlignment="1">
      <alignment horizontal="center" wrapText="1"/>
    </xf>
    <xf numFmtId="0" fontId="35" fillId="10" borderId="42" xfId="0" applyNumberFormat="1" applyFont="1" applyFill="1" applyBorder="1" applyAlignment="1">
      <alignment horizontal="center" vertical="center"/>
    </xf>
    <xf numFmtId="0" fontId="0" fillId="10" borderId="42" xfId="0" applyNumberFormat="1" applyFont="1" applyFill="1" applyBorder="1" applyAlignment="1">
      <alignment horizontal="center" vertical="center"/>
    </xf>
    <xf numFmtId="0" fontId="0" fillId="10" borderId="15" xfId="0" applyNumberFormat="1" applyFont="1" applyFill="1" applyBorder="1" applyAlignment="1">
      <alignment horizontal="center"/>
    </xf>
    <xf numFmtId="0" fontId="0" fillId="10" borderId="57" xfId="0" applyNumberFormat="1" applyFont="1" applyFill="1" applyBorder="1" applyAlignment="1">
      <alignment horizontal="center"/>
    </xf>
    <xf numFmtId="0" fontId="0" fillId="0" borderId="54" xfId="0" applyNumberFormat="1" applyFont="1" applyFill="1" applyBorder="1" applyAlignment="1">
      <alignment horizontal="left"/>
    </xf>
    <xf numFmtId="0" fontId="0" fillId="10" borderId="60" xfId="0" applyNumberFormat="1" applyFont="1" applyFill="1" applyBorder="1" applyAlignment="1">
      <alignment horizontal="center" vertical="center"/>
    </xf>
    <xf numFmtId="0" fontId="0" fillId="10" borderId="61" xfId="0" applyNumberFormat="1" applyFont="1" applyFill="1" applyBorder="1" applyAlignment="1"/>
    <xf numFmtId="0" fontId="0" fillId="0" borderId="15" xfId="0" applyNumberFormat="1" applyFont="1" applyFill="1" applyBorder="1" applyAlignment="1"/>
    <xf numFmtId="0" fontId="5" fillId="0" borderId="42" xfId="0" applyNumberFormat="1" applyFont="1" applyFill="1" applyBorder="1" applyAlignment="1">
      <alignment horizontal="left"/>
    </xf>
    <xf numFmtId="0" fontId="0" fillId="0" borderId="57" xfId="0" applyNumberFormat="1" applyFont="1" applyFill="1" applyBorder="1" applyAlignment="1">
      <alignment horizontal="center"/>
    </xf>
    <xf numFmtId="0" fontId="5" fillId="0" borderId="45" xfId="0" applyNumberFormat="1" applyFont="1" applyFill="1" applyBorder="1" applyAlignment="1">
      <alignment horizontal="center"/>
    </xf>
    <xf numFmtId="0" fontId="5" fillId="0" borderId="42" xfId="0" applyNumberFormat="1" applyFont="1" applyFill="1" applyBorder="1" applyAlignment="1">
      <alignment horizontal="right" wrapText="1"/>
    </xf>
    <xf numFmtId="0" fontId="0" fillId="0" borderId="42" xfId="0" applyNumberFormat="1" applyFont="1" applyFill="1" applyBorder="1" applyAlignment="1">
      <alignment wrapText="1"/>
    </xf>
    <xf numFmtId="0" fontId="27" fillId="10" borderId="62" xfId="50" applyFont="1" applyFill="1" applyBorder="1" applyAlignment="1" applyProtection="1">
      <alignment horizontal="center" vertical="center"/>
    </xf>
    <xf numFmtId="0" fontId="40" fillId="0" borderId="63" xfId="50" applyFont="1" applyBorder="1" applyAlignment="1" applyProtection="1">
      <alignment vertical="center"/>
    </xf>
    <xf numFmtId="0" fontId="24" fillId="10" borderId="64" xfId="50" applyFont="1" applyFill="1" applyBorder="1" applyAlignment="1" applyProtection="1">
      <alignment horizontal="left" vertical="center"/>
    </xf>
    <xf numFmtId="0" fontId="40" fillId="0" borderId="65" xfId="50" applyFont="1" applyBorder="1" applyAlignment="1" applyProtection="1">
      <alignment vertical="center"/>
    </xf>
    <xf numFmtId="0" fontId="40" fillId="0" borderId="66" xfId="50" applyFont="1" applyBorder="1" applyAlignment="1" applyProtection="1">
      <alignment vertical="center"/>
    </xf>
    <xf numFmtId="0" fontId="24" fillId="10" borderId="55" xfId="50" applyFont="1" applyFill="1" applyBorder="1" applyAlignment="1" applyProtection="1">
      <alignment vertical="center"/>
    </xf>
    <xf numFmtId="180" fontId="24" fillId="10" borderId="55" xfId="50" applyNumberFormat="1" applyFont="1" applyFill="1" applyBorder="1" applyAlignment="1" applyProtection="1">
      <alignment horizontal="center" vertical="center"/>
    </xf>
    <xf numFmtId="0" fontId="24" fillId="10" borderId="15" xfId="50" applyFont="1" applyFill="1" applyBorder="1" applyAlignment="1" applyProtection="1">
      <alignment horizontal="left" vertical="center"/>
    </xf>
    <xf numFmtId="0" fontId="24" fillId="10" borderId="42" xfId="50" applyFont="1" applyFill="1" applyBorder="1" applyAlignment="1" applyProtection="1">
      <alignment vertical="center"/>
    </xf>
    <xf numFmtId="0" fontId="24" fillId="10" borderId="42" xfId="50" applyFont="1" applyFill="1" applyBorder="1" applyAlignment="1" applyProtection="1">
      <alignment horizontal="center" vertical="center"/>
    </xf>
    <xf numFmtId="0" fontId="24" fillId="10" borderId="15" xfId="50" applyFont="1" applyFill="1" applyBorder="1" applyAlignment="1" applyProtection="1">
      <alignment horizontal="center" vertical="center" shrinkToFit="1"/>
    </xf>
    <xf numFmtId="0" fontId="24" fillId="10" borderId="42" xfId="50" applyFont="1" applyFill="1" applyBorder="1" applyAlignment="1" applyProtection="1">
      <alignment horizontal="center" vertical="center" shrinkToFit="1"/>
    </xf>
    <xf numFmtId="0" fontId="24" fillId="10" borderId="42" xfId="50" applyFont="1" applyFill="1" applyBorder="1" applyAlignment="1" applyProtection="1">
      <alignment horizontal="center" vertical="center" wrapText="1"/>
    </xf>
    <xf numFmtId="0" fontId="24" fillId="10" borderId="57" xfId="50" applyFont="1" applyFill="1" applyBorder="1" applyAlignment="1" applyProtection="1">
      <alignment horizontal="center" vertical="center" wrapText="1"/>
    </xf>
    <xf numFmtId="0" fontId="40" fillId="0" borderId="61" xfId="50" applyFont="1" applyBorder="1" applyAlignment="1" applyProtection="1">
      <alignment vertical="center"/>
    </xf>
    <xf numFmtId="0" fontId="5" fillId="0" borderId="67" xfId="50" applyFont="1" applyBorder="1" applyAlignment="1" applyProtection="1"/>
    <xf numFmtId="0" fontId="5" fillId="10" borderId="46" xfId="50" applyFont="1" applyFill="1" applyBorder="1" applyAlignment="1" applyProtection="1">
      <alignment horizontal="center" vertical="center" shrinkToFit="1"/>
    </xf>
    <xf numFmtId="0" fontId="5" fillId="0" borderId="46" xfId="50" applyFont="1" applyBorder="1" applyAlignment="1" applyProtection="1">
      <alignment horizontal="center"/>
    </xf>
    <xf numFmtId="0" fontId="5" fillId="0" borderId="46" xfId="50" applyFont="1" applyBorder="1" applyAlignment="1" applyProtection="1"/>
    <xf numFmtId="0" fontId="5" fillId="10" borderId="46" xfId="50" applyFont="1" applyFill="1" applyBorder="1" applyAlignment="1" applyProtection="1">
      <alignment horizontal="center" vertical="center"/>
    </xf>
    <xf numFmtId="0" fontId="4" fillId="6" borderId="68" xfId="0" applyNumberFormat="1" applyFont="1" applyFill="1" applyBorder="1" applyAlignment="1">
      <alignment horizontal="center" vertical="center" shrinkToFit="1"/>
    </xf>
    <xf numFmtId="0" fontId="38" fillId="6" borderId="69" xfId="0" applyNumberFormat="1" applyFont="1" applyFill="1" applyBorder="1" applyAlignment="1">
      <alignment horizontal="left"/>
    </xf>
    <xf numFmtId="0" fontId="5" fillId="0" borderId="68" xfId="0" applyNumberFormat="1" applyFont="1" applyBorder="1" applyAlignment="1">
      <alignment horizontal="center"/>
    </xf>
    <xf numFmtId="0" fontId="17" fillId="0" borderId="70" xfId="0" applyNumberFormat="1" applyFont="1" applyBorder="1" applyAlignment="1">
      <alignment horizontal="center"/>
    </xf>
    <xf numFmtId="0" fontId="4" fillId="6" borderId="71" xfId="0" applyNumberFormat="1" applyFont="1" applyFill="1" applyBorder="1" applyAlignment="1">
      <alignment horizontal="center"/>
    </xf>
    <xf numFmtId="0" fontId="38" fillId="6" borderId="72" xfId="0" applyNumberFormat="1" applyFont="1" applyFill="1" applyBorder="1" applyAlignment="1">
      <alignment horizontal="left"/>
    </xf>
    <xf numFmtId="0" fontId="5" fillId="6" borderId="71" xfId="0" applyNumberFormat="1" applyFont="1" applyFill="1" applyBorder="1" applyAlignment="1">
      <alignment horizontal="center" vertical="center" shrinkToFit="1"/>
    </xf>
    <xf numFmtId="0" fontId="34" fillId="6" borderId="17" xfId="0" applyNumberFormat="1" applyFont="1" applyFill="1" applyBorder="1" applyAlignment="1">
      <alignment horizontal="center" wrapText="1"/>
    </xf>
    <xf numFmtId="0" fontId="34" fillId="0" borderId="17" xfId="0" applyNumberFormat="1" applyFont="1" applyBorder="1" applyAlignment="1">
      <alignment horizontal="center" vertical="center"/>
    </xf>
    <xf numFmtId="0" fontId="4" fillId="6" borderId="71" xfId="0" applyNumberFormat="1" applyFont="1" applyFill="1" applyBorder="1" applyAlignment="1">
      <alignment horizontal="center" vertical="center" shrinkToFit="1"/>
    </xf>
    <xf numFmtId="0" fontId="5" fillId="0" borderId="71" xfId="0" applyNumberFormat="1" applyFont="1" applyBorder="1" applyAlignment="1">
      <alignment horizontal="center"/>
    </xf>
    <xf numFmtId="0" fontId="17" fillId="0" borderId="17" xfId="0" applyNumberFormat="1" applyFont="1" applyBorder="1" applyAlignment="1">
      <alignment horizontal="center"/>
    </xf>
    <xf numFmtId="0" fontId="38" fillId="0" borderId="72" xfId="0" applyNumberFormat="1" applyFont="1" applyBorder="1" applyAlignment="1">
      <alignment horizontal="left"/>
    </xf>
    <xf numFmtId="0" fontId="38" fillId="15" borderId="72" xfId="0" applyNumberFormat="1" applyFont="1" applyFill="1" applyBorder="1" applyAlignment="1">
      <alignment horizontal="left"/>
    </xf>
    <xf numFmtId="0" fontId="41" fillId="15" borderId="72" xfId="0" applyNumberFormat="1" applyFont="1" applyFill="1" applyBorder="1" applyAlignment="1">
      <alignment horizontal="left"/>
    </xf>
    <xf numFmtId="0" fontId="38" fillId="6" borderId="73" xfId="0" applyNumberFormat="1" applyFont="1" applyFill="1" applyBorder="1" applyAlignment="1">
      <alignment horizontal="left"/>
    </xf>
    <xf numFmtId="0" fontId="35" fillId="6" borderId="71" xfId="0" applyNumberFormat="1" applyFont="1" applyFill="1" applyBorder="1" applyAlignment="1">
      <alignment horizontal="center" wrapText="1"/>
    </xf>
    <xf numFmtId="0" fontId="34" fillId="6" borderId="74" xfId="0" applyNumberFormat="1" applyFont="1" applyFill="1" applyBorder="1" applyAlignment="1">
      <alignment horizontal="center" wrapText="1"/>
    </xf>
    <xf numFmtId="0" fontId="34" fillId="6" borderId="17" xfId="0" applyNumberFormat="1" applyFont="1" applyFill="1" applyBorder="1" applyAlignment="1">
      <alignment horizontal="center" vertical="center"/>
    </xf>
    <xf numFmtId="0" fontId="5" fillId="6" borderId="71" xfId="0" applyNumberFormat="1" applyFont="1" applyFill="1" applyBorder="1" applyAlignment="1">
      <alignment horizontal="center"/>
    </xf>
    <xf numFmtId="0" fontId="35" fillId="6" borderId="75" xfId="0" applyNumberFormat="1" applyFont="1" applyFill="1" applyBorder="1" applyAlignment="1">
      <alignment horizontal="center"/>
    </xf>
    <xf numFmtId="0" fontId="35" fillId="6" borderId="76" xfId="0" applyNumberFormat="1" applyFont="1" applyFill="1" applyBorder="1" applyAlignment="1">
      <alignment horizontal="center"/>
    </xf>
    <xf numFmtId="0" fontId="36" fillId="6" borderId="77" xfId="0" applyNumberFormat="1" applyFont="1" applyFill="1" applyBorder="1" applyAlignment="1">
      <alignment horizontal="center" vertical="center"/>
    </xf>
    <xf numFmtId="0" fontId="34" fillId="6" borderId="78" xfId="0" applyNumberFormat="1" applyFont="1" applyFill="1" applyBorder="1" applyAlignment="1"/>
    <xf numFmtId="0" fontId="34" fillId="6" borderId="17" xfId="0" applyNumberFormat="1" applyFont="1" applyFill="1" applyBorder="1" applyAlignment="1"/>
    <xf numFmtId="0" fontId="5" fillId="0" borderId="71" xfId="0" applyNumberFormat="1" applyFont="1" applyBorder="1" applyAlignment="1"/>
    <xf numFmtId="0" fontId="5" fillId="0" borderId="17" xfId="0" applyNumberFormat="1" applyFont="1" applyBorder="1" applyAlignment="1"/>
    <xf numFmtId="0" fontId="5" fillId="0" borderId="75" xfId="0" applyNumberFormat="1" applyFont="1" applyBorder="1" applyAlignment="1">
      <alignment horizontal="center"/>
    </xf>
    <xf numFmtId="0" fontId="17" fillId="0" borderId="79" xfId="0" applyNumberFormat="1" applyFont="1" applyBorder="1" applyAlignment="1">
      <alignment horizontal="center"/>
    </xf>
    <xf numFmtId="0" fontId="17" fillId="0" borderId="17" xfId="0" applyNumberFormat="1" applyFont="1" applyBorder="1" applyAlignment="1">
      <alignment wrapText="1"/>
    </xf>
    <xf numFmtId="0" fontId="5" fillId="0" borderId="20" xfId="50" applyFont="1" applyBorder="1" applyAlignment="1" applyProtection="1"/>
    <xf numFmtId="0" fontId="5" fillId="0" borderId="80" xfId="50" applyFont="1" applyBorder="1" applyAlignment="1" applyProtection="1"/>
    <xf numFmtId="0" fontId="16" fillId="0" borderId="80" xfId="50" applyFont="1" applyBorder="1" applyAlignment="1" applyProtection="1">
      <alignment horizontal="center"/>
    </xf>
    <xf numFmtId="0" fontId="42" fillId="10" borderId="42" xfId="0" applyNumberFormat="1" applyFont="1" applyFill="1" applyBorder="1" applyAlignment="1">
      <alignment horizontal="center" vertical="center"/>
    </xf>
    <xf numFmtId="0" fontId="40" fillId="0" borderId="81" xfId="50" applyFont="1" applyBorder="1" applyAlignment="1" applyProtection="1">
      <alignment vertical="center"/>
    </xf>
    <xf numFmtId="0" fontId="24" fillId="10" borderId="82" xfId="50" applyFont="1" applyFill="1" applyBorder="1" applyAlignment="1" applyProtection="1">
      <alignment horizontal="left" vertical="center"/>
    </xf>
    <xf numFmtId="0" fontId="40" fillId="0" borderId="54" xfId="50" applyFont="1" applyBorder="1" applyAlignment="1" applyProtection="1">
      <alignment vertical="center"/>
    </xf>
    <xf numFmtId="0" fontId="24" fillId="10" borderId="83" xfId="50" applyFont="1" applyFill="1" applyBorder="1" applyAlignment="1" applyProtection="1">
      <alignment horizontal="center" vertical="center"/>
    </xf>
    <xf numFmtId="0" fontId="24" fillId="10" borderId="83" xfId="50" applyFont="1" applyFill="1" applyBorder="1" applyAlignment="1" applyProtection="1">
      <alignment horizontal="center" vertical="center" wrapText="1"/>
    </xf>
    <xf numFmtId="0" fontId="42" fillId="10" borderId="84" xfId="50" applyFont="1" applyFill="1" applyBorder="1" applyAlignment="1" applyProtection="1">
      <alignment horizontal="center" wrapText="1"/>
    </xf>
    <xf numFmtId="0" fontId="5" fillId="0" borderId="55" xfId="50" applyFont="1" applyBorder="1" applyAlignment="1" applyProtection="1">
      <alignment horizontal="center"/>
    </xf>
    <xf numFmtId="0" fontId="5" fillId="0" borderId="55" xfId="50" applyFont="1" applyBorder="1" applyAlignment="1" applyProtection="1"/>
    <xf numFmtId="0" fontId="16" fillId="0" borderId="85" xfId="50" applyFont="1" applyBorder="1" applyAlignment="1" applyProtection="1"/>
    <xf numFmtId="0" fontId="35" fillId="0" borderId="42" xfId="50" applyFont="1" applyBorder="1" applyAlignment="1" applyProtection="1">
      <alignment horizontal="center" vertical="center"/>
    </xf>
    <xf numFmtId="0" fontId="42" fillId="10" borderId="83" xfId="50" applyFont="1" applyFill="1" applyBorder="1" applyAlignment="1" applyProtection="1">
      <alignment horizontal="center" wrapText="1"/>
    </xf>
    <xf numFmtId="0" fontId="35" fillId="10" borderId="42" xfId="50" applyFont="1" applyFill="1" applyBorder="1" applyAlignment="1" applyProtection="1">
      <alignment horizontal="center" wrapText="1"/>
    </xf>
    <xf numFmtId="0" fontId="35" fillId="10" borderId="83" xfId="50" applyFont="1" applyFill="1" applyBorder="1" applyAlignment="1" applyProtection="1">
      <alignment horizontal="center" wrapText="1"/>
    </xf>
    <xf numFmtId="0" fontId="5" fillId="0" borderId="42" xfId="50" applyFont="1" applyBorder="1" applyAlignment="1" applyProtection="1">
      <alignment horizontal="center"/>
    </xf>
    <xf numFmtId="0" fontId="35" fillId="10" borderId="42" xfId="50" applyFont="1" applyFill="1" applyBorder="1" applyAlignment="1" applyProtection="1">
      <alignment horizontal="center" vertical="center"/>
    </xf>
    <xf numFmtId="0" fontId="42" fillId="10" borderId="42" xfId="50" applyFont="1" applyFill="1" applyBorder="1" applyAlignment="1" applyProtection="1">
      <alignment horizontal="center" vertical="center"/>
    </xf>
    <xf numFmtId="0" fontId="42" fillId="10" borderId="83" xfId="50" applyFont="1" applyFill="1" applyBorder="1" applyAlignment="1" applyProtection="1">
      <alignment horizontal="center" vertical="center"/>
    </xf>
    <xf numFmtId="0" fontId="5" fillId="0" borderId="42" xfId="50" applyFont="1" applyBorder="1" applyAlignment="1" applyProtection="1">
      <alignment wrapText="1"/>
    </xf>
    <xf numFmtId="0" fontId="16" fillId="0" borderId="83" xfId="50" applyFont="1" applyBorder="1" applyAlignment="1" applyProtection="1"/>
    <xf numFmtId="0" fontId="16" fillId="0" borderId="80" xfId="50" applyFont="1" applyBorder="1" applyAlignment="1" applyProtection="1"/>
    <xf numFmtId="0" fontId="16" fillId="0" borderId="86" xfId="50" applyFont="1" applyBorder="1" applyAlignment="1" applyProtection="1"/>
    <xf numFmtId="0" fontId="27" fillId="5" borderId="4" xfId="51" applyFont="1" applyFill="1" applyBorder="1" applyAlignment="1" applyProtection="1">
      <alignment horizontal="center" vertical="center"/>
    </xf>
    <xf numFmtId="0" fontId="24" fillId="5" borderId="7" xfId="51" applyFont="1" applyFill="1" applyBorder="1" applyAlignment="1" applyProtection="1">
      <alignment horizontal="left" vertical="center"/>
    </xf>
    <xf numFmtId="0" fontId="24" fillId="5" borderId="8" xfId="51" applyFont="1" applyFill="1" applyBorder="1" applyAlignment="1" applyProtection="1">
      <alignment vertical="center"/>
    </xf>
    <xf numFmtId="180" fontId="24" fillId="5" borderId="8" xfId="51" applyNumberFormat="1" applyFont="1" applyFill="1" applyBorder="1" applyAlignment="1" applyProtection="1">
      <alignment horizontal="center" vertical="center"/>
    </xf>
    <xf numFmtId="0" fontId="24" fillId="5" borderId="29" xfId="51" applyFont="1" applyFill="1" applyBorder="1" applyAlignment="1" applyProtection="1">
      <alignment horizontal="left" vertical="center"/>
    </xf>
    <xf numFmtId="0" fontId="24" fillId="5" borderId="2" xfId="51" applyFont="1" applyFill="1" applyBorder="1" applyAlignment="1" applyProtection="1">
      <alignment vertical="center"/>
    </xf>
    <xf numFmtId="0" fontId="24" fillId="5" borderId="2" xfId="51" applyFont="1" applyFill="1" applyBorder="1" applyAlignment="1" applyProtection="1">
      <alignment horizontal="center" vertical="center"/>
    </xf>
    <xf numFmtId="0" fontId="24" fillId="5" borderId="29" xfId="51" applyFont="1" applyFill="1" applyBorder="1" applyAlignment="1" applyProtection="1">
      <alignment horizontal="center" vertical="center" shrinkToFit="1"/>
    </xf>
    <xf numFmtId="0" fontId="24" fillId="5" borderId="2" xfId="51" applyFont="1" applyFill="1" applyBorder="1" applyAlignment="1" applyProtection="1">
      <alignment horizontal="center" vertical="center" shrinkToFit="1"/>
    </xf>
    <xf numFmtId="0" fontId="24" fillId="5" borderId="2" xfId="51" applyFont="1" applyFill="1" applyBorder="1" applyAlignment="1" applyProtection="1">
      <alignment horizontal="center" vertical="center" wrapText="1"/>
    </xf>
    <xf numFmtId="0" fontId="5" fillId="0" borderId="32" xfId="51" applyFont="1" applyBorder="1" applyAlignment="1" applyProtection="1"/>
    <xf numFmtId="0" fontId="5" fillId="5" borderId="4" xfId="51" applyFont="1" applyFill="1" applyBorder="1" applyAlignment="1" applyProtection="1">
      <alignment horizontal="center" vertical="center" shrinkToFit="1"/>
    </xf>
    <xf numFmtId="0" fontId="5" fillId="0" borderId="4" xfId="51" applyFont="1" applyBorder="1" applyAlignment="1" applyProtection="1">
      <alignment horizontal="center"/>
    </xf>
    <xf numFmtId="0" fontId="5" fillId="0" borderId="4" xfId="51" applyFont="1" applyBorder="1" applyAlignment="1" applyProtection="1"/>
    <xf numFmtId="0" fontId="5" fillId="5" borderId="4" xfId="51" applyFont="1" applyFill="1" applyBorder="1" applyAlignment="1" applyProtection="1">
      <alignment horizontal="center" vertical="center"/>
    </xf>
    <xf numFmtId="0" fontId="5" fillId="5" borderId="7" xfId="51" applyFont="1" applyFill="1" applyBorder="1" applyAlignment="1" applyProtection="1">
      <alignment horizontal="center" vertical="center" shrinkToFit="1"/>
    </xf>
    <xf numFmtId="0" fontId="38" fillId="16" borderId="10" xfId="51" applyFont="1" applyFill="1" applyBorder="1" applyAlignment="1" applyProtection="1">
      <alignment horizontal="left"/>
    </xf>
    <xf numFmtId="0" fontId="5" fillId="16" borderId="9" xfId="51" applyFont="1" applyFill="1" applyBorder="1" applyAlignment="1" applyProtection="1">
      <alignment horizontal="center"/>
    </xf>
    <xf numFmtId="0" fontId="5" fillId="16" borderId="7" xfId="51" applyFont="1" applyFill="1" applyBorder="1" applyAlignment="1" applyProtection="1">
      <alignment horizontal="center"/>
    </xf>
    <xf numFmtId="0" fontId="5" fillId="0" borderId="8" xfId="51" applyFont="1" applyBorder="1" applyAlignment="1" applyProtection="1">
      <alignment horizontal="center"/>
    </xf>
    <xf numFmtId="0" fontId="5" fillId="0" borderId="29" xfId="51" applyFont="1" applyBorder="1" applyAlignment="1" applyProtection="1">
      <alignment horizontal="center"/>
    </xf>
    <xf numFmtId="0" fontId="38" fillId="0" borderId="87" xfId="51" applyFont="1" applyBorder="1" applyAlignment="1" applyProtection="1">
      <alignment horizontal="left"/>
    </xf>
    <xf numFmtId="0" fontId="5" fillId="5" borderId="6" xfId="51" applyFont="1" applyFill="1" applyBorder="1" applyAlignment="1" applyProtection="1">
      <alignment horizontal="center" vertical="center" wrapText="1"/>
    </xf>
    <xf numFmtId="0" fontId="5" fillId="5" borderId="29" xfId="51" applyFont="1" applyFill="1" applyBorder="1" applyAlignment="1" applyProtection="1">
      <alignment horizontal="center" vertical="center" shrinkToFit="1"/>
    </xf>
    <xf numFmtId="0" fontId="35" fillId="5" borderId="2" xfId="51" applyFont="1" applyFill="1" applyBorder="1" applyAlignment="1" applyProtection="1">
      <alignment horizontal="center" wrapText="1"/>
    </xf>
    <xf numFmtId="0" fontId="35" fillId="0" borderId="2" xfId="51" applyFont="1" applyBorder="1" applyAlignment="1" applyProtection="1">
      <alignment horizontal="center" vertical="center"/>
    </xf>
    <xf numFmtId="0" fontId="39" fillId="0" borderId="87" xfId="51" applyFont="1" applyBorder="1" applyAlignment="1" applyProtection="1">
      <alignment horizontal="left"/>
    </xf>
    <xf numFmtId="0" fontId="5" fillId="0" borderId="6" xfId="51" applyFont="1" applyBorder="1" applyAlignment="1" applyProtection="1">
      <alignment horizontal="center"/>
    </xf>
    <xf numFmtId="0" fontId="5" fillId="0" borderId="2" xfId="51" applyFont="1" applyBorder="1" applyAlignment="1" applyProtection="1">
      <alignment horizontal="center"/>
    </xf>
    <xf numFmtId="0" fontId="39" fillId="16" borderId="87" xfId="51" applyFont="1" applyFill="1" applyBorder="1" applyAlignment="1" applyProtection="1">
      <alignment horizontal="left"/>
    </xf>
    <xf numFmtId="0" fontId="35" fillId="16" borderId="6" xfId="51" applyFont="1" applyFill="1" applyBorder="1" applyAlignment="1" applyProtection="1">
      <alignment horizontal="center"/>
    </xf>
    <xf numFmtId="0" fontId="5" fillId="16" borderId="29" xfId="51" applyFont="1" applyFill="1" applyBorder="1" applyAlignment="1" applyProtection="1">
      <alignment horizontal="center"/>
    </xf>
    <xf numFmtId="0" fontId="35" fillId="0" borderId="6" xfId="51" applyFont="1" applyBorder="1" applyAlignment="1" applyProtection="1">
      <alignment horizontal="center"/>
    </xf>
    <xf numFmtId="0" fontId="43" fillId="0" borderId="2" xfId="51" applyFont="1" applyBorder="1" applyAlignment="1" applyProtection="1">
      <alignment horizontal="center"/>
    </xf>
    <xf numFmtId="0" fontId="39" fillId="0" borderId="10" xfId="51" applyFont="1" applyBorder="1" applyAlignment="1" applyProtection="1">
      <alignment horizontal="left"/>
    </xf>
    <xf numFmtId="0" fontId="5" fillId="16" borderId="2" xfId="51" applyFont="1" applyFill="1" applyBorder="1" applyAlignment="1" applyProtection="1">
      <alignment horizontal="center"/>
    </xf>
    <xf numFmtId="0" fontId="35" fillId="5" borderId="6" xfId="51" applyFont="1" applyFill="1" applyBorder="1" applyAlignment="1" applyProtection="1">
      <alignment horizontal="center" wrapText="1"/>
    </xf>
    <xf numFmtId="0" fontId="38" fillId="0" borderId="10" xfId="51" applyFont="1" applyBorder="1" applyAlignment="1" applyProtection="1">
      <alignment horizontal="left"/>
    </xf>
    <xf numFmtId="0" fontId="38" fillId="0" borderId="88" xfId="51" applyFont="1" applyBorder="1" applyAlignment="1" applyProtection="1">
      <alignment horizontal="left"/>
    </xf>
    <xf numFmtId="0" fontId="35" fillId="5" borderId="29" xfId="51" applyFont="1" applyFill="1" applyBorder="1" applyAlignment="1" applyProtection="1">
      <alignment horizontal="center" wrapText="1"/>
    </xf>
    <xf numFmtId="0" fontId="35" fillId="5" borderId="2" xfId="51" applyFont="1" applyFill="1" applyBorder="1" applyAlignment="1" applyProtection="1">
      <alignment horizontal="center" vertical="center"/>
    </xf>
    <xf numFmtId="0" fontId="5" fillId="5" borderId="29" xfId="51" applyFont="1" applyFill="1" applyBorder="1" applyAlignment="1" applyProtection="1">
      <alignment horizontal="center"/>
    </xf>
    <xf numFmtId="0" fontId="35" fillId="5" borderId="6" xfId="51" applyFont="1" applyFill="1" applyBorder="1" applyAlignment="1" applyProtection="1">
      <alignment horizontal="center"/>
    </xf>
    <xf numFmtId="0" fontId="35" fillId="5" borderId="29" xfId="51" applyFont="1" applyFill="1" applyBorder="1" applyAlignment="1" applyProtection="1">
      <alignment horizontal="center"/>
    </xf>
    <xf numFmtId="0" fontId="42" fillId="5" borderId="2" xfId="51" applyFont="1" applyFill="1" applyBorder="1" applyAlignment="1" applyProtection="1">
      <alignment horizontal="center" vertical="center"/>
    </xf>
    <xf numFmtId="0" fontId="35" fillId="5" borderId="2" xfId="51" applyFont="1" applyFill="1" applyBorder="1" applyAlignment="1" applyProtection="1"/>
    <xf numFmtId="0" fontId="5" fillId="0" borderId="29" xfId="51" applyFont="1" applyBorder="1" applyAlignment="1" applyProtection="1"/>
    <xf numFmtId="0" fontId="5" fillId="0" borderId="2" xfId="51" applyFont="1" applyBorder="1" applyAlignment="1" applyProtection="1"/>
    <xf numFmtId="0" fontId="5" fillId="0" borderId="2" xfId="51" applyFont="1" applyBorder="1" applyAlignment="1" applyProtection="1">
      <alignment wrapText="1"/>
    </xf>
    <xf numFmtId="0" fontId="5" fillId="0" borderId="11" xfId="51" applyFont="1" applyBorder="1" applyAlignment="1" applyProtection="1"/>
    <xf numFmtId="0" fontId="5" fillId="0" borderId="12" xfId="51" applyFont="1" applyBorder="1" applyAlignment="1" applyProtection="1"/>
    <xf numFmtId="0" fontId="5" fillId="0" borderId="13" xfId="51" applyFont="1" applyBorder="1" applyAlignment="1" applyProtection="1">
      <alignment horizontal="center"/>
    </xf>
    <xf numFmtId="0" fontId="16" fillId="0" borderId="12" xfId="51" applyFont="1" applyBorder="1" applyAlignment="1" applyProtection="1">
      <alignment horizontal="center"/>
    </xf>
    <xf numFmtId="0" fontId="37" fillId="0" borderId="10" xfId="51" applyFont="1" applyBorder="1" applyAlignment="1" applyProtection="1">
      <alignment horizontal="left"/>
    </xf>
    <xf numFmtId="0" fontId="5" fillId="0" borderId="7" xfId="51" applyFont="1" applyBorder="1" applyAlignment="1" applyProtection="1">
      <alignment horizontal="center"/>
    </xf>
    <xf numFmtId="0" fontId="44" fillId="0" borderId="10" xfId="51" applyFont="1" applyBorder="1" applyAlignment="1" applyProtection="1">
      <alignment horizontal="left"/>
    </xf>
    <xf numFmtId="0" fontId="24" fillId="5" borderId="59" xfId="51" applyFont="1" applyFill="1" applyBorder="1" applyAlignment="1" applyProtection="1">
      <alignment horizontal="left" vertical="center"/>
    </xf>
    <xf numFmtId="0" fontId="24" fillId="5" borderId="25" xfId="51" applyFont="1" applyFill="1" applyBorder="1" applyAlignment="1" applyProtection="1">
      <alignment horizontal="center" vertical="center"/>
    </xf>
    <xf numFmtId="0" fontId="24" fillId="5" borderId="25" xfId="51" applyFont="1" applyFill="1" applyBorder="1" applyAlignment="1" applyProtection="1">
      <alignment horizontal="center" vertical="center" wrapText="1"/>
    </xf>
    <xf numFmtId="0" fontId="42" fillId="5" borderId="58" xfId="51" applyFont="1" applyFill="1" applyBorder="1" applyAlignment="1" applyProtection="1">
      <alignment horizontal="center" wrapText="1"/>
    </xf>
    <xf numFmtId="0" fontId="5" fillId="0" borderId="8" xfId="51" applyFont="1" applyBorder="1" applyAlignment="1" applyProtection="1"/>
    <xf numFmtId="0" fontId="16" fillId="0" borderId="59" xfId="51" applyFont="1" applyBorder="1" applyAlignment="1" applyProtection="1"/>
    <xf numFmtId="0" fontId="42" fillId="5" borderId="25" xfId="51" applyFont="1" applyFill="1" applyBorder="1" applyAlignment="1" applyProtection="1">
      <alignment horizontal="center" wrapText="1"/>
    </xf>
    <xf numFmtId="0" fontId="35" fillId="5" borderId="25" xfId="51" applyFont="1" applyFill="1" applyBorder="1" applyAlignment="1" applyProtection="1">
      <alignment horizontal="center" wrapText="1"/>
    </xf>
    <xf numFmtId="0" fontId="42" fillId="5" borderId="25" xfId="51" applyFont="1" applyFill="1" applyBorder="1" applyAlignment="1" applyProtection="1">
      <alignment horizontal="center" vertical="center"/>
    </xf>
    <xf numFmtId="0" fontId="16" fillId="0" borderId="25" xfId="51" applyFont="1" applyBorder="1" applyAlignment="1" applyProtection="1"/>
    <xf numFmtId="0" fontId="16" fillId="0" borderId="12" xfId="51" applyFont="1" applyBorder="1" applyAlignment="1" applyProtection="1"/>
    <xf numFmtId="0" fontId="16" fillId="0" borderId="23" xfId="51" applyFont="1" applyBorder="1" applyAlignment="1" applyProtection="1"/>
    <xf numFmtId="0" fontId="4" fillId="5" borderId="29" xfId="51" applyFont="1" applyFill="1" applyBorder="1" applyAlignment="1" applyProtection="1">
      <alignment horizontal="center" vertical="center" shrinkToFit="1"/>
    </xf>
    <xf numFmtId="0" fontId="4" fillId="0" borderId="29" xfId="51" applyFont="1" applyBorder="1" applyAlignment="1" applyProtection="1">
      <alignment horizontal="center"/>
    </xf>
    <xf numFmtId="0" fontId="38" fillId="16" borderId="87" xfId="51" applyFont="1" applyFill="1" applyBorder="1" applyAlignment="1" applyProtection="1">
      <alignment horizontal="left"/>
    </xf>
    <xf numFmtId="0" fontId="27" fillId="12" borderId="2" xfId="0" applyFont="1" applyFill="1" applyBorder="1" applyAlignment="1"/>
    <xf numFmtId="0" fontId="24" fillId="0" borderId="6" xfId="0" applyFont="1" applyBorder="1" applyAlignment="1"/>
    <xf numFmtId="0" fontId="45" fillId="0" borderId="2" xfId="0" applyFont="1" applyBorder="1">
      <alignment vertical="center"/>
    </xf>
    <xf numFmtId="2" fontId="24" fillId="0" borderId="2" xfId="0" applyNumberFormat="1" applyFont="1" applyBorder="1" applyAlignment="1"/>
    <xf numFmtId="0" fontId="24" fillId="0" borderId="4" xfId="0" applyFont="1" applyBorder="1" applyAlignment="1"/>
    <xf numFmtId="0" fontId="24" fillId="0" borderId="31" xfId="0" applyFont="1" applyBorder="1" applyAlignment="1"/>
    <xf numFmtId="0" fontId="45" fillId="0" borderId="6" xfId="0" applyFont="1" applyBorder="1">
      <alignment vertical="center"/>
    </xf>
    <xf numFmtId="0" fontId="46" fillId="0" borderId="0" xfId="0" applyFont="1">
      <alignment vertical="center"/>
    </xf>
    <xf numFmtId="0" fontId="27" fillId="0" borderId="2" xfId="0" applyFont="1" applyBorder="1" applyAlignment="1"/>
    <xf numFmtId="180" fontId="27" fillId="0" borderId="2" xfId="0" applyNumberFormat="1" applyFont="1" applyBorder="1" applyAlignment="1"/>
    <xf numFmtId="1" fontId="24" fillId="0" borderId="2" xfId="0" applyNumberFormat="1" applyFont="1" applyBorder="1" applyAlignment="1"/>
    <xf numFmtId="10" fontId="24" fillId="0" borderId="2" xfId="0" applyNumberFormat="1" applyFont="1" applyBorder="1" applyAlignment="1"/>
    <xf numFmtId="0" fontId="47" fillId="0" borderId="2" xfId="0" applyFont="1" applyBorder="1" applyAlignme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4" xfId="50"/>
    <cellStyle name="Normal 5" xfId="51"/>
    <cellStyle name="Explanatory Text" xfId="52"/>
    <cellStyle name="Normal 3" xfId="53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EEECE1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6E3BC"/>
      <rgbColor rgb="00FFFF99"/>
      <rgbColor rgb="0099CCFF"/>
      <rgbColor rgb="00FF99CC"/>
      <rgbColor rgb="00CC99FF"/>
      <rgbColor rgb="00F2DCDB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ED1C24"/>
      <rgbColor rgb="00993366"/>
      <rgbColor rgb="00333399"/>
      <rgbColor rgb="004C4C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="76" zoomScaleNormal="76" topLeftCell="A17" workbookViewId="0">
      <selection activeCell="D28" sqref="D28"/>
    </sheetView>
  </sheetViews>
  <sheetFormatPr defaultColWidth="9.64545454545454" defaultRowHeight="18.5" outlineLevelRow="7" outlineLevelCol="7"/>
  <cols>
    <col min="1" max="1" width="10.7727272727273" style="217"/>
    <col min="2" max="6" width="10.7727272727273" style="480"/>
    <col min="7" max="7" width="19.1090909090909" style="480" customWidth="1"/>
    <col min="8" max="16384" width="10.7727272727273" style="480"/>
  </cols>
  <sheetData>
    <row r="1" spans="1:8">
      <c r="A1" s="481" t="s">
        <v>0</v>
      </c>
      <c r="B1" s="481" t="s">
        <v>1</v>
      </c>
      <c r="C1" s="481" t="s">
        <v>2</v>
      </c>
      <c r="D1" s="481" t="s">
        <v>3</v>
      </c>
      <c r="E1" s="481" t="s">
        <v>4</v>
      </c>
      <c r="F1" s="481" t="s">
        <v>5</v>
      </c>
      <c r="G1" s="481" t="s">
        <v>6</v>
      </c>
      <c r="H1" s="481" t="s">
        <v>7</v>
      </c>
    </row>
    <row r="2" spans="1:8">
      <c r="A2" s="481">
        <v>1</v>
      </c>
      <c r="B2" s="482">
        <v>45931</v>
      </c>
      <c r="C2" s="196">
        <v>8.36</v>
      </c>
      <c r="D2" s="196">
        <v>8.51</v>
      </c>
      <c r="E2" s="483">
        <v>101.82</v>
      </c>
      <c r="F2" s="476">
        <v>7.2</v>
      </c>
      <c r="G2" s="196"/>
      <c r="H2" s="196"/>
    </row>
    <row r="3" spans="1:8">
      <c r="A3" s="481">
        <v>2</v>
      </c>
      <c r="B3" s="482">
        <v>45962</v>
      </c>
      <c r="C3" s="196">
        <v>8.36</v>
      </c>
      <c r="D3" s="196">
        <v>8.46</v>
      </c>
      <c r="E3" s="196">
        <v>101.17</v>
      </c>
      <c r="F3" s="196">
        <v>7.77</v>
      </c>
      <c r="G3" s="196"/>
      <c r="H3" s="196"/>
    </row>
    <row r="4" spans="1:8">
      <c r="A4" s="481">
        <v>3</v>
      </c>
      <c r="B4" s="482"/>
      <c r="C4" s="196"/>
      <c r="D4" s="196"/>
      <c r="E4" s="484"/>
      <c r="F4" s="476"/>
      <c r="G4" s="196"/>
      <c r="H4" s="196"/>
    </row>
    <row r="5" spans="1:8">
      <c r="A5" s="481">
        <v>4</v>
      </c>
      <c r="B5" s="482"/>
      <c r="C5" s="476"/>
      <c r="D5" s="196"/>
      <c r="E5" s="196"/>
      <c r="F5" s="196"/>
      <c r="G5" s="196"/>
      <c r="H5" s="196"/>
    </row>
    <row r="6" spans="1:8">
      <c r="A6" s="481">
        <v>5</v>
      </c>
      <c r="B6" s="482"/>
      <c r="C6" s="196"/>
      <c r="D6" s="196"/>
      <c r="E6" s="196"/>
      <c r="F6" s="196"/>
      <c r="G6" s="196"/>
      <c r="H6" s="196"/>
    </row>
    <row r="7" spans="1:8">
      <c r="A7" s="481">
        <v>6</v>
      </c>
      <c r="B7" s="485"/>
      <c r="C7" s="485"/>
      <c r="D7" s="485"/>
      <c r="E7" s="485"/>
      <c r="F7" s="485"/>
      <c r="G7" s="485"/>
      <c r="H7" s="485"/>
    </row>
    <row r="8" spans="1:8">
      <c r="A8" s="481" t="s">
        <v>8</v>
      </c>
      <c r="B8" s="485"/>
      <c r="C8" s="485" t="e">
        <f>C2+C3+C4+C5+C6+C7+#REF!+#REF!+#REF!+#REF!+#REF!+#REF!</f>
        <v>#REF!</v>
      </c>
      <c r="D8" s="485" t="e">
        <f>D2+D3+D4+D5+D6+D7+#REF!+#REF!+#REF!+#REF!+#REF!+#REF!</f>
        <v>#REF!</v>
      </c>
      <c r="E8" s="485" t="e">
        <f t="shared" ref="E8" si="0">D8/C8*100</f>
        <v>#REF!</v>
      </c>
      <c r="F8" s="485" t="e">
        <f>F2+F3+F4+F5+F6+F7+#REF!+#REF!+#REF!+#REF!+#REF!+#REF!</f>
        <v>#REF!</v>
      </c>
      <c r="G8" s="485" t="e">
        <f>G2+G3+G4+G5+G6+G7+#REF!+#REF!+#REF!+#REF!+#REF!+#REF!</f>
        <v>#REF!</v>
      </c>
      <c r="H8" s="485" t="e">
        <f t="shared" ref="H8" si="1">(D8/G8)*100-100</f>
        <v>#REF!</v>
      </c>
    </row>
  </sheetData>
  <pageMargins left="0.699305555555556" right="0.699305555555556" top="0.75" bottom="0.75" header="0.511111111111111" footer="0.51111111111111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09" zoomScaleNormal="109" workbookViewId="0">
      <selection activeCell="E20" sqref="E20"/>
    </sheetView>
  </sheetViews>
  <sheetFormatPr defaultColWidth="9.64545454545454" defaultRowHeight="14.5"/>
  <cols>
    <col min="1" max="1" width="18.7727272727273" style="10" customWidth="1"/>
    <col min="2" max="2" width="7.10909090909091" customWidth="1"/>
    <col min="3" max="3" width="7.55454545454545" customWidth="1"/>
    <col min="4" max="256" width="10" customWidth="1"/>
    <col min="257" max="1025" width="9" customWidth="1"/>
  </cols>
  <sheetData>
    <row r="1" s="217" customFormat="1" ht="18.5" spans="1:9">
      <c r="A1" s="473" t="s">
        <v>9</v>
      </c>
      <c r="B1" s="473" t="s">
        <v>10</v>
      </c>
      <c r="C1" s="473" t="s">
        <v>11</v>
      </c>
      <c r="D1" s="473" t="s">
        <v>12</v>
      </c>
      <c r="E1" s="473" t="s">
        <v>13</v>
      </c>
      <c r="F1" s="473" t="s">
        <v>14</v>
      </c>
      <c r="G1" s="473"/>
      <c r="H1" s="473"/>
      <c r="I1" s="473"/>
    </row>
    <row r="2" ht="15.5" spans="1:9">
      <c r="A2" s="18" t="s">
        <v>15</v>
      </c>
      <c r="B2" s="196">
        <v>31</v>
      </c>
      <c r="C2" s="196">
        <v>30</v>
      </c>
      <c r="D2" s="196"/>
      <c r="E2" s="474"/>
      <c r="F2" s="475"/>
      <c r="G2" s="26"/>
      <c r="H2" s="26"/>
      <c r="I2" s="26"/>
    </row>
    <row r="3" ht="15.5" spans="1:9">
      <c r="A3" s="18" t="s">
        <v>16</v>
      </c>
      <c r="B3" s="196">
        <v>23</v>
      </c>
      <c r="C3" s="196">
        <v>25</v>
      </c>
      <c r="D3" s="196"/>
      <c r="E3" s="474"/>
      <c r="F3" s="475"/>
      <c r="G3" s="26"/>
      <c r="H3" s="26"/>
      <c r="I3" s="26"/>
    </row>
    <row r="4" ht="15.5" spans="1:9">
      <c r="A4" s="18" t="s">
        <v>17</v>
      </c>
      <c r="B4" s="196"/>
      <c r="C4" s="196">
        <v>2</v>
      </c>
      <c r="D4" s="196"/>
      <c r="E4" s="474"/>
      <c r="F4" s="475"/>
      <c r="G4" s="26"/>
      <c r="H4" s="26"/>
      <c r="I4" s="26"/>
    </row>
    <row r="5" ht="15.5" spans="1:9">
      <c r="A5" s="18" t="s">
        <v>18</v>
      </c>
      <c r="B5" s="196"/>
      <c r="C5" s="196"/>
      <c r="D5" s="196"/>
      <c r="E5" s="474"/>
      <c r="F5" s="475"/>
      <c r="G5" s="26"/>
      <c r="H5" s="26"/>
      <c r="I5" s="26"/>
    </row>
    <row r="6" ht="15.5" spans="1:9">
      <c r="A6" s="18" t="s">
        <v>19</v>
      </c>
      <c r="B6" s="196">
        <v>278</v>
      </c>
      <c r="C6" s="196">
        <v>284</v>
      </c>
      <c r="D6" s="196"/>
      <c r="E6" s="474"/>
      <c r="F6" s="475"/>
      <c r="G6" s="26"/>
      <c r="H6" s="26"/>
      <c r="I6" s="26"/>
    </row>
    <row r="7" ht="15.5" spans="1:9">
      <c r="A7" s="18" t="s">
        <v>20</v>
      </c>
      <c r="B7" s="196">
        <v>151</v>
      </c>
      <c r="C7" s="196">
        <v>163</v>
      </c>
      <c r="D7" s="196"/>
      <c r="E7" s="474"/>
      <c r="F7" s="475"/>
      <c r="G7" s="26"/>
      <c r="H7" s="26"/>
      <c r="I7" s="26"/>
    </row>
    <row r="8" ht="15.5" spans="1:9">
      <c r="A8" s="18" t="s">
        <v>21</v>
      </c>
      <c r="B8" s="196">
        <v>127</v>
      </c>
      <c r="C8" s="196">
        <v>121</v>
      </c>
      <c r="D8" s="196"/>
      <c r="E8" s="474"/>
      <c r="F8" s="475"/>
      <c r="G8" s="26"/>
      <c r="H8" s="26"/>
      <c r="I8" s="26"/>
    </row>
    <row r="9" ht="15.5" spans="1:9">
      <c r="A9" s="18" t="s">
        <v>22</v>
      </c>
      <c r="B9" s="196">
        <v>95</v>
      </c>
      <c r="C9" s="196">
        <v>85</v>
      </c>
      <c r="D9" s="196"/>
      <c r="E9" s="474"/>
      <c r="F9" s="475"/>
      <c r="G9" s="26"/>
      <c r="H9" s="26"/>
      <c r="I9" s="26"/>
    </row>
    <row r="10" ht="15.5" spans="1:9">
      <c r="A10" s="18" t="s">
        <v>23</v>
      </c>
      <c r="B10" s="196">
        <v>2</v>
      </c>
      <c r="C10" s="196">
        <v>2</v>
      </c>
      <c r="D10" s="196"/>
      <c r="E10" s="474"/>
      <c r="F10" s="475"/>
      <c r="G10" s="26"/>
      <c r="H10" s="26"/>
      <c r="I10" s="26"/>
    </row>
    <row r="11" ht="15.5" spans="1:9">
      <c r="A11" s="18" t="s">
        <v>24</v>
      </c>
      <c r="B11" s="196">
        <v>12.13</v>
      </c>
      <c r="C11" s="196">
        <v>12.35</v>
      </c>
      <c r="D11" s="476"/>
      <c r="E11" s="474"/>
      <c r="F11" s="475"/>
      <c r="G11" s="26"/>
      <c r="H11" s="26"/>
      <c r="I11" s="26"/>
    </row>
    <row r="12" ht="15.5" spans="1:9">
      <c r="A12" s="18" t="s">
        <v>25</v>
      </c>
      <c r="B12" s="196">
        <v>196</v>
      </c>
      <c r="C12" s="196">
        <v>188</v>
      </c>
      <c r="D12" s="196"/>
      <c r="E12" s="474"/>
      <c r="F12" s="475"/>
      <c r="G12" s="26"/>
      <c r="H12" s="26"/>
      <c r="I12" s="26"/>
    </row>
    <row r="13" ht="15.5" spans="1:9">
      <c r="A13" s="18" t="s">
        <v>26</v>
      </c>
      <c r="B13" s="196">
        <v>8.52</v>
      </c>
      <c r="C13" s="196">
        <v>8.17</v>
      </c>
      <c r="D13" s="476"/>
      <c r="E13" s="474"/>
      <c r="F13" s="475"/>
      <c r="G13" s="26"/>
      <c r="H13" s="26"/>
      <c r="I13" s="26"/>
    </row>
    <row r="14" ht="15.5" spans="1:9">
      <c r="A14" s="240" t="s">
        <v>27</v>
      </c>
      <c r="B14" s="477">
        <v>7</v>
      </c>
      <c r="C14" s="477">
        <v>8</v>
      </c>
      <c r="D14" s="477"/>
      <c r="E14" s="478"/>
      <c r="F14" s="475"/>
      <c r="G14" s="26"/>
      <c r="H14" s="26"/>
      <c r="I14" s="26"/>
    </row>
    <row r="15" ht="15.5" spans="1:9">
      <c r="A15" s="172" t="s">
        <v>28</v>
      </c>
      <c r="B15" s="475"/>
      <c r="C15" s="475"/>
      <c r="D15" s="475"/>
      <c r="E15" s="479"/>
      <c r="F15" s="475"/>
      <c r="G15" s="26"/>
      <c r="H15" s="26"/>
      <c r="I15" s="26"/>
    </row>
    <row r="16" ht="15.5" spans="1:9">
      <c r="A16" s="172" t="s">
        <v>29</v>
      </c>
      <c r="B16" s="475"/>
      <c r="C16" s="475"/>
      <c r="D16" s="475"/>
      <c r="E16" s="479"/>
      <c r="F16" s="475"/>
      <c r="G16" s="26"/>
      <c r="H16" s="26"/>
      <c r="I16" s="26"/>
    </row>
  </sheetData>
  <pageMargins left="0.699305555555556" right="0.699305555555556" top="0.75" bottom="0.75" header="0.511111111111111" footer="0.51111111111111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9"/>
  <sheetViews>
    <sheetView zoomScale="77" zoomScaleNormal="77" workbookViewId="0">
      <selection activeCell="D12" sqref="D12"/>
    </sheetView>
  </sheetViews>
  <sheetFormatPr defaultColWidth="9.64545454545454" defaultRowHeight="14.5"/>
  <cols>
    <col min="1" max="1" width="4.88181818181818" style="10" customWidth="1"/>
    <col min="2" max="2" width="23" style="10" customWidth="1"/>
    <col min="3" max="3" width="15.5545454545455" style="10" customWidth="1"/>
    <col min="4" max="4" width="19.7727272727273" style="10" customWidth="1"/>
    <col min="5" max="5" width="16.4363636363636" style="1" customWidth="1"/>
    <col min="6" max="6" width="7.22727272727273" customWidth="1"/>
    <col min="7" max="7" width="8.43636363636364" customWidth="1"/>
    <col min="8" max="8" width="6.66363636363636" customWidth="1"/>
    <col min="9" max="11" width="10" customWidth="1"/>
    <col min="12" max="12" width="34.6636363636364" customWidth="1"/>
    <col min="13" max="254" width="10" customWidth="1"/>
    <col min="255" max="1025" width="9" customWidth="1"/>
  </cols>
  <sheetData>
    <row r="1" ht="17.1" customHeight="1" spans="1:12">
      <c r="A1" s="218"/>
      <c r="B1" s="218"/>
      <c r="C1" s="219"/>
      <c r="D1" s="218"/>
      <c r="E1" s="220"/>
      <c r="F1" s="221"/>
      <c r="G1" s="221"/>
      <c r="H1" s="221"/>
      <c r="I1" s="221"/>
      <c r="J1" s="221"/>
      <c r="K1" s="221"/>
      <c r="L1" s="221"/>
    </row>
    <row r="2" s="217" customFormat="1" ht="17.1" customHeight="1" spans="1:12">
      <c r="A2" s="222" t="s">
        <v>30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96"/>
    </row>
    <row r="3" ht="17.1" customHeight="1" spans="1:12">
      <c r="A3" s="224" t="s">
        <v>31</v>
      </c>
      <c r="B3" s="225"/>
      <c r="C3" s="226"/>
      <c r="D3" s="227" t="s">
        <v>32</v>
      </c>
      <c r="E3" s="228" t="s">
        <v>33</v>
      </c>
      <c r="F3" s="227"/>
      <c r="G3" s="227"/>
      <c r="H3" s="227"/>
      <c r="I3" s="227"/>
      <c r="J3" s="297"/>
      <c r="K3" s="225"/>
      <c r="L3" s="298"/>
    </row>
    <row r="4" ht="17.1" customHeight="1" spans="1:12">
      <c r="A4" s="229" t="s">
        <v>34</v>
      </c>
      <c r="B4" s="230"/>
      <c r="C4" s="231"/>
      <c r="D4" s="231"/>
      <c r="E4" s="231"/>
      <c r="F4" s="231"/>
      <c r="G4" s="231"/>
      <c r="H4" s="231"/>
      <c r="I4" s="231"/>
      <c r="J4" s="231"/>
      <c r="K4" s="231"/>
      <c r="L4" s="299"/>
    </row>
    <row r="5" ht="53.25" customHeight="1" spans="1:12">
      <c r="A5" s="232" t="s">
        <v>35</v>
      </c>
      <c r="B5" s="233" t="s">
        <v>36</v>
      </c>
      <c r="C5" s="234" t="s">
        <v>37</v>
      </c>
      <c r="D5" s="233" t="s">
        <v>38</v>
      </c>
      <c r="E5" s="233" t="s">
        <v>39</v>
      </c>
      <c r="F5" s="235" t="s">
        <v>40</v>
      </c>
      <c r="G5" s="236"/>
      <c r="H5" s="234"/>
      <c r="I5" s="234"/>
      <c r="J5" s="234" t="s">
        <v>41</v>
      </c>
      <c r="K5" s="234" t="s">
        <v>42</v>
      </c>
      <c r="L5" s="300" t="s">
        <v>43</v>
      </c>
    </row>
    <row r="6" ht="17.1" customHeight="1" spans="1:12">
      <c r="A6" s="237"/>
      <c r="B6" s="238"/>
      <c r="C6" s="239"/>
      <c r="D6" s="240"/>
      <c r="E6" s="241"/>
      <c r="F6" s="241" t="s">
        <v>44</v>
      </c>
      <c r="G6" s="242" t="s">
        <v>45</v>
      </c>
      <c r="H6" s="242" t="s">
        <v>46</v>
      </c>
      <c r="I6" s="242" t="s">
        <v>47</v>
      </c>
      <c r="J6" s="242"/>
      <c r="K6" s="242"/>
      <c r="L6" s="301"/>
    </row>
    <row r="7" ht="17.1" customHeight="1" spans="1:12">
      <c r="A7" s="243">
        <v>1</v>
      </c>
      <c r="B7" s="244" t="s">
        <v>48</v>
      </c>
      <c r="C7" s="244" t="s">
        <v>48</v>
      </c>
      <c r="D7" s="245" t="s">
        <v>49</v>
      </c>
      <c r="E7" s="246">
        <v>13</v>
      </c>
      <c r="F7" s="246">
        <v>13</v>
      </c>
      <c r="G7" s="246"/>
      <c r="H7" s="246">
        <v>10</v>
      </c>
      <c r="I7" s="246">
        <v>3</v>
      </c>
      <c r="J7" s="246">
        <v>8</v>
      </c>
      <c r="K7" s="302"/>
      <c r="L7" s="303"/>
    </row>
    <row r="8" ht="17.1" customHeight="1" spans="1:12">
      <c r="A8" s="247">
        <v>2</v>
      </c>
      <c r="B8" s="248" t="s">
        <v>50</v>
      </c>
      <c r="C8" s="248" t="s">
        <v>50</v>
      </c>
      <c r="D8" s="249"/>
      <c r="E8" s="250"/>
      <c r="F8" s="251"/>
      <c r="G8" s="251"/>
      <c r="H8" s="251"/>
      <c r="I8" s="251"/>
      <c r="J8" s="251"/>
      <c r="K8" s="251"/>
      <c r="L8" s="304"/>
    </row>
    <row r="9" ht="17.1" customHeight="1" spans="1:12">
      <c r="A9" s="252">
        <v>3</v>
      </c>
      <c r="B9" s="244" t="s">
        <v>48</v>
      </c>
      <c r="C9" s="244" t="s">
        <v>48</v>
      </c>
      <c r="D9" s="245" t="s">
        <v>51</v>
      </c>
      <c r="E9" s="250">
        <v>12</v>
      </c>
      <c r="F9" s="253">
        <v>12</v>
      </c>
      <c r="G9" s="253"/>
      <c r="H9" s="253">
        <v>11</v>
      </c>
      <c r="I9" s="253">
        <v>1</v>
      </c>
      <c r="J9" s="251">
        <v>10</v>
      </c>
      <c r="K9" s="251"/>
      <c r="L9" s="304"/>
    </row>
    <row r="10" spans="1:12">
      <c r="A10" s="247">
        <v>4</v>
      </c>
      <c r="B10" s="244" t="s">
        <v>48</v>
      </c>
      <c r="C10" s="244" t="s">
        <v>48</v>
      </c>
      <c r="D10" s="245" t="s">
        <v>52</v>
      </c>
      <c r="E10" s="250"/>
      <c r="F10" s="253"/>
      <c r="G10" s="253"/>
      <c r="H10" s="253"/>
      <c r="I10" s="253"/>
      <c r="J10" s="250"/>
      <c r="K10" s="251"/>
      <c r="L10" s="305"/>
    </row>
    <row r="11" ht="17.1" customHeight="1" spans="1:12">
      <c r="A11" s="252">
        <v>5</v>
      </c>
      <c r="B11" s="254" t="s">
        <v>53</v>
      </c>
      <c r="C11" s="254" t="s">
        <v>53</v>
      </c>
      <c r="D11" s="255" t="s">
        <v>52</v>
      </c>
      <c r="E11" s="250"/>
      <c r="F11" s="253"/>
      <c r="G11" s="253"/>
      <c r="H11" s="253"/>
      <c r="I11" s="253"/>
      <c r="J11" s="250"/>
      <c r="K11" s="251"/>
      <c r="L11" s="304"/>
    </row>
    <row r="12" ht="17.1" customHeight="1" spans="1:12">
      <c r="A12" s="247">
        <v>6</v>
      </c>
      <c r="B12" s="254" t="s">
        <v>54</v>
      </c>
      <c r="C12" s="254" t="s">
        <v>54</v>
      </c>
      <c r="D12" s="255" t="s">
        <v>55</v>
      </c>
      <c r="E12" s="250">
        <v>10</v>
      </c>
      <c r="F12" s="253">
        <v>8</v>
      </c>
      <c r="G12" s="253">
        <v>2</v>
      </c>
      <c r="H12" s="253">
        <v>4</v>
      </c>
      <c r="I12" s="253">
        <v>6</v>
      </c>
      <c r="J12" s="250">
        <v>8</v>
      </c>
      <c r="K12" s="251"/>
      <c r="L12" s="304"/>
    </row>
    <row r="13" ht="17.1" customHeight="1" spans="1:12">
      <c r="A13" s="252">
        <v>7</v>
      </c>
      <c r="B13" s="244" t="s">
        <v>56</v>
      </c>
      <c r="C13" s="244" t="s">
        <v>56</v>
      </c>
      <c r="D13" s="245" t="s">
        <v>57</v>
      </c>
      <c r="E13" s="250">
        <v>13</v>
      </c>
      <c r="F13" s="253">
        <v>10</v>
      </c>
      <c r="G13" s="253">
        <v>3</v>
      </c>
      <c r="H13" s="253">
        <v>4</v>
      </c>
      <c r="I13" s="253">
        <v>9</v>
      </c>
      <c r="J13" s="250">
        <v>9</v>
      </c>
      <c r="K13" s="251"/>
      <c r="L13" s="304"/>
    </row>
    <row r="14" ht="17.1" customHeight="1" spans="1:12">
      <c r="A14" s="247">
        <v>8</v>
      </c>
      <c r="B14" s="244" t="s">
        <v>58</v>
      </c>
      <c r="C14" s="244" t="s">
        <v>58</v>
      </c>
      <c r="D14" s="245" t="s">
        <v>59</v>
      </c>
      <c r="E14" s="250">
        <v>8</v>
      </c>
      <c r="F14" s="253">
        <v>8</v>
      </c>
      <c r="G14" s="253"/>
      <c r="H14" s="253">
        <v>7</v>
      </c>
      <c r="I14" s="253">
        <v>1</v>
      </c>
      <c r="J14" s="250">
        <v>8</v>
      </c>
      <c r="K14" s="251"/>
      <c r="L14" s="304"/>
    </row>
    <row r="15" ht="17.1" customHeight="1" spans="1:12">
      <c r="A15" s="252">
        <v>9</v>
      </c>
      <c r="B15" s="248" t="s">
        <v>60</v>
      </c>
      <c r="C15" s="248" t="s">
        <v>60</v>
      </c>
      <c r="D15" s="249"/>
      <c r="E15" s="250"/>
      <c r="F15" s="253"/>
      <c r="G15" s="253"/>
      <c r="H15" s="253"/>
      <c r="I15" s="253"/>
      <c r="J15" s="250">
        <v>8</v>
      </c>
      <c r="K15" s="251"/>
      <c r="L15" s="304"/>
    </row>
    <row r="16" ht="17.1" customHeight="1" spans="1:12">
      <c r="A16" s="247">
        <v>10</v>
      </c>
      <c r="B16" s="244" t="s">
        <v>61</v>
      </c>
      <c r="C16" s="244" t="s">
        <v>61</v>
      </c>
      <c r="D16" s="245" t="s">
        <v>62</v>
      </c>
      <c r="E16" s="250">
        <v>14</v>
      </c>
      <c r="F16" s="253">
        <v>11</v>
      </c>
      <c r="G16" s="253">
        <v>3</v>
      </c>
      <c r="H16" s="253">
        <v>6</v>
      </c>
      <c r="I16" s="253">
        <v>8</v>
      </c>
      <c r="J16" s="250">
        <v>8</v>
      </c>
      <c r="K16" s="251"/>
      <c r="L16" s="304"/>
    </row>
    <row r="17" ht="17.1" customHeight="1" spans="1:12">
      <c r="A17" s="252">
        <v>11</v>
      </c>
      <c r="B17" s="244" t="s">
        <v>63</v>
      </c>
      <c r="C17" s="244" t="s">
        <v>63</v>
      </c>
      <c r="D17" s="245" t="s">
        <v>64</v>
      </c>
      <c r="E17" s="250">
        <v>13</v>
      </c>
      <c r="F17" s="253">
        <v>5</v>
      </c>
      <c r="G17" s="253">
        <v>8</v>
      </c>
      <c r="H17" s="253">
        <v>2</v>
      </c>
      <c r="I17" s="253">
        <v>11</v>
      </c>
      <c r="J17" s="250">
        <v>8</v>
      </c>
      <c r="K17" s="251"/>
      <c r="L17" s="304"/>
    </row>
    <row r="18" ht="21.75" customHeight="1" spans="1:12">
      <c r="A18" s="247">
        <v>12</v>
      </c>
      <c r="B18" s="244" t="s">
        <v>65</v>
      </c>
      <c r="C18" s="244" t="s">
        <v>65</v>
      </c>
      <c r="D18" s="245" t="s">
        <v>66</v>
      </c>
      <c r="E18" s="250">
        <v>8</v>
      </c>
      <c r="F18" s="253">
        <v>3</v>
      </c>
      <c r="G18" s="253">
        <v>5</v>
      </c>
      <c r="H18" s="253">
        <v>4</v>
      </c>
      <c r="I18" s="253">
        <v>4</v>
      </c>
      <c r="J18" s="250">
        <v>8</v>
      </c>
      <c r="K18" s="251"/>
      <c r="L18" s="304"/>
    </row>
    <row r="19" ht="17.1" customHeight="1" spans="1:12">
      <c r="A19" s="252">
        <v>13</v>
      </c>
      <c r="B19" s="254" t="s">
        <v>67</v>
      </c>
      <c r="C19" s="254" t="s">
        <v>67</v>
      </c>
      <c r="D19" s="255" t="s">
        <v>57</v>
      </c>
      <c r="E19" s="250">
        <v>14</v>
      </c>
      <c r="F19" s="253">
        <v>12</v>
      </c>
      <c r="G19" s="253">
        <v>2</v>
      </c>
      <c r="H19" s="253">
        <v>6</v>
      </c>
      <c r="I19" s="253">
        <v>8</v>
      </c>
      <c r="J19" s="250">
        <v>9</v>
      </c>
      <c r="K19" s="251"/>
      <c r="L19" s="304"/>
    </row>
    <row r="20" spans="1:12">
      <c r="A20" s="247">
        <v>14</v>
      </c>
      <c r="B20" s="244" t="s">
        <v>68</v>
      </c>
      <c r="C20" s="244" t="s">
        <v>68</v>
      </c>
      <c r="D20" s="245" t="s">
        <v>69</v>
      </c>
      <c r="E20" s="250">
        <v>13</v>
      </c>
      <c r="F20" s="253">
        <v>12</v>
      </c>
      <c r="G20" s="253">
        <v>1</v>
      </c>
      <c r="H20" s="253">
        <v>4</v>
      </c>
      <c r="I20" s="253">
        <v>9</v>
      </c>
      <c r="J20" s="250">
        <v>8</v>
      </c>
      <c r="K20" s="251"/>
      <c r="L20" s="305"/>
    </row>
    <row r="21" ht="17.1" customHeight="1" spans="1:12">
      <c r="A21" s="252">
        <v>15</v>
      </c>
      <c r="B21" s="244" t="s">
        <v>70</v>
      </c>
      <c r="C21" s="244" t="s">
        <v>70</v>
      </c>
      <c r="D21" s="245" t="s">
        <v>71</v>
      </c>
      <c r="E21" s="250">
        <v>10</v>
      </c>
      <c r="F21" s="251">
        <v>10</v>
      </c>
      <c r="G21" s="251"/>
      <c r="H21" s="251">
        <v>6</v>
      </c>
      <c r="I21" s="251">
        <v>4</v>
      </c>
      <c r="J21" s="250">
        <v>8</v>
      </c>
      <c r="K21" s="251"/>
      <c r="L21" s="304"/>
    </row>
    <row r="22" ht="17.1" customHeight="1" spans="1:12">
      <c r="A22" s="247">
        <v>16</v>
      </c>
      <c r="B22" s="248" t="s">
        <v>60</v>
      </c>
      <c r="C22" s="248" t="s">
        <v>60</v>
      </c>
      <c r="D22" s="249"/>
      <c r="E22" s="250"/>
      <c r="F22" s="251"/>
      <c r="G22" s="251"/>
      <c r="H22" s="251"/>
      <c r="I22" s="251"/>
      <c r="J22" s="250"/>
      <c r="K22" s="251"/>
      <c r="L22" s="304"/>
    </row>
    <row r="23" ht="17.1" customHeight="1" spans="1:12">
      <c r="A23" s="252">
        <v>17</v>
      </c>
      <c r="B23" s="244" t="s">
        <v>53</v>
      </c>
      <c r="C23" s="244" t="s">
        <v>53</v>
      </c>
      <c r="D23" s="245" t="s">
        <v>71</v>
      </c>
      <c r="E23" s="250">
        <v>12</v>
      </c>
      <c r="F23" s="251">
        <v>9</v>
      </c>
      <c r="G23" s="251">
        <v>3</v>
      </c>
      <c r="H23" s="251">
        <v>6</v>
      </c>
      <c r="I23" s="251">
        <v>6</v>
      </c>
      <c r="J23" s="250">
        <v>8</v>
      </c>
      <c r="K23" s="251"/>
      <c r="L23" s="304"/>
    </row>
    <row r="24" ht="17.1" customHeight="1" spans="1:12">
      <c r="A24" s="247">
        <v>18</v>
      </c>
      <c r="B24" s="244" t="s">
        <v>72</v>
      </c>
      <c r="C24" s="244" t="s">
        <v>72</v>
      </c>
      <c r="D24" s="245" t="s">
        <v>71</v>
      </c>
      <c r="E24" s="253">
        <v>12</v>
      </c>
      <c r="F24" s="253">
        <v>12</v>
      </c>
      <c r="G24" s="253"/>
      <c r="H24" s="253">
        <v>3</v>
      </c>
      <c r="I24" s="253">
        <v>9</v>
      </c>
      <c r="J24" s="253">
        <v>8</v>
      </c>
      <c r="K24" s="251"/>
      <c r="L24" s="304"/>
    </row>
    <row r="25" ht="17.1" customHeight="1" spans="1:12">
      <c r="A25" s="252">
        <v>19</v>
      </c>
      <c r="B25" s="244" t="s">
        <v>72</v>
      </c>
      <c r="C25" s="244" t="s">
        <v>72</v>
      </c>
      <c r="D25" s="245" t="s">
        <v>73</v>
      </c>
      <c r="E25" s="250">
        <v>14</v>
      </c>
      <c r="F25" s="251">
        <v>13</v>
      </c>
      <c r="G25" s="251">
        <v>1</v>
      </c>
      <c r="H25" s="251">
        <v>1</v>
      </c>
      <c r="I25" s="251">
        <v>13</v>
      </c>
      <c r="J25" s="250">
        <v>9</v>
      </c>
      <c r="K25" s="251"/>
      <c r="L25" s="304"/>
    </row>
    <row r="26" ht="17.1" customHeight="1" spans="1:12">
      <c r="A26" s="247">
        <v>20</v>
      </c>
      <c r="B26" s="254" t="s">
        <v>72</v>
      </c>
      <c r="C26" s="254" t="s">
        <v>72</v>
      </c>
      <c r="D26" s="255" t="s">
        <v>73</v>
      </c>
      <c r="E26" s="250">
        <v>14</v>
      </c>
      <c r="F26" s="251">
        <v>12</v>
      </c>
      <c r="G26" s="251">
        <v>2</v>
      </c>
      <c r="H26" s="251">
        <v>6</v>
      </c>
      <c r="I26" s="251">
        <v>8</v>
      </c>
      <c r="J26" s="250">
        <v>8</v>
      </c>
      <c r="K26" s="251"/>
      <c r="L26" s="304"/>
    </row>
    <row r="27" ht="17.1" customHeight="1" spans="1:12">
      <c r="A27" s="252">
        <v>21</v>
      </c>
      <c r="B27" s="244" t="s">
        <v>74</v>
      </c>
      <c r="C27" s="244" t="s">
        <v>74</v>
      </c>
      <c r="D27" s="245" t="s">
        <v>75</v>
      </c>
      <c r="E27" s="250">
        <v>14</v>
      </c>
      <c r="F27" s="251">
        <v>14</v>
      </c>
      <c r="G27" s="251"/>
      <c r="H27" s="251">
        <v>3</v>
      </c>
      <c r="I27" s="251">
        <v>11</v>
      </c>
      <c r="J27" s="250">
        <v>8</v>
      </c>
      <c r="K27" s="251"/>
      <c r="L27" s="304"/>
    </row>
    <row r="28" ht="17.1" customHeight="1" spans="1:12">
      <c r="A28" s="247">
        <v>22</v>
      </c>
      <c r="B28" s="244" t="s">
        <v>56</v>
      </c>
      <c r="C28" s="244" t="s">
        <v>56</v>
      </c>
      <c r="D28" s="245" t="s">
        <v>57</v>
      </c>
      <c r="E28" s="250">
        <v>13</v>
      </c>
      <c r="F28" s="251">
        <v>13</v>
      </c>
      <c r="G28" s="251"/>
      <c r="H28" s="251">
        <v>9</v>
      </c>
      <c r="I28" s="251">
        <v>4</v>
      </c>
      <c r="J28" s="250">
        <v>8</v>
      </c>
      <c r="K28" s="251"/>
      <c r="L28" s="304"/>
    </row>
    <row r="29" ht="17.1" customHeight="1" spans="1:12">
      <c r="A29" s="252">
        <v>23</v>
      </c>
      <c r="B29" s="248" t="s">
        <v>60</v>
      </c>
      <c r="C29" s="248" t="s">
        <v>60</v>
      </c>
      <c r="D29" s="256" t="s">
        <v>60</v>
      </c>
      <c r="E29" s="250"/>
      <c r="F29" s="251"/>
      <c r="G29" s="251"/>
      <c r="H29" s="251"/>
      <c r="I29" s="251"/>
      <c r="J29" s="250"/>
      <c r="K29" s="251"/>
      <c r="L29" s="304"/>
    </row>
    <row r="30" spans="1:12">
      <c r="A30" s="247">
        <v>24</v>
      </c>
      <c r="B30" s="244" t="s">
        <v>76</v>
      </c>
      <c r="C30" s="244" t="s">
        <v>76</v>
      </c>
      <c r="D30" s="245" t="s">
        <v>77</v>
      </c>
      <c r="E30" s="250">
        <v>10</v>
      </c>
      <c r="F30" s="251">
        <v>10</v>
      </c>
      <c r="G30" s="251"/>
      <c r="H30" s="251">
        <v>6</v>
      </c>
      <c r="I30" s="251">
        <v>4</v>
      </c>
      <c r="J30" s="250">
        <v>8</v>
      </c>
      <c r="K30" s="251"/>
      <c r="L30" s="304"/>
    </row>
    <row r="31" ht="17.1" customHeight="1" spans="1:12">
      <c r="A31" s="252">
        <v>25</v>
      </c>
      <c r="B31" s="244" t="s">
        <v>56</v>
      </c>
      <c r="C31" s="244" t="s">
        <v>56</v>
      </c>
      <c r="D31" s="245" t="s">
        <v>78</v>
      </c>
      <c r="E31" s="250">
        <v>13</v>
      </c>
      <c r="F31" s="251">
        <v>10</v>
      </c>
      <c r="G31" s="251">
        <v>3</v>
      </c>
      <c r="H31" s="251">
        <v>3</v>
      </c>
      <c r="I31" s="251">
        <v>10</v>
      </c>
      <c r="J31" s="250">
        <v>9</v>
      </c>
      <c r="K31" s="251"/>
      <c r="L31" s="304"/>
    </row>
    <row r="32" ht="17.1" customHeight="1" spans="1:12">
      <c r="A32" s="247">
        <v>26</v>
      </c>
      <c r="B32" s="244" t="s">
        <v>74</v>
      </c>
      <c r="C32" s="244" t="s">
        <v>74</v>
      </c>
      <c r="D32" s="245" t="s">
        <v>79</v>
      </c>
      <c r="E32" s="250">
        <v>14</v>
      </c>
      <c r="F32" s="251">
        <v>14</v>
      </c>
      <c r="G32" s="251"/>
      <c r="H32" s="251">
        <v>6</v>
      </c>
      <c r="I32" s="251">
        <v>8</v>
      </c>
      <c r="J32" s="250">
        <v>8</v>
      </c>
      <c r="K32" s="251"/>
      <c r="L32" s="304"/>
    </row>
    <row r="33" ht="17.1" customHeight="1" spans="1:12">
      <c r="A33" s="252">
        <v>27</v>
      </c>
      <c r="B33" s="254" t="s">
        <v>67</v>
      </c>
      <c r="C33" s="254" t="s">
        <v>67</v>
      </c>
      <c r="D33" s="255" t="s">
        <v>62</v>
      </c>
      <c r="E33" s="250">
        <v>16</v>
      </c>
      <c r="F33" s="251">
        <v>14</v>
      </c>
      <c r="G33" s="251">
        <v>2</v>
      </c>
      <c r="H33" s="251">
        <v>12</v>
      </c>
      <c r="I33" s="251">
        <v>4</v>
      </c>
      <c r="J33" s="250">
        <v>10</v>
      </c>
      <c r="K33" s="251"/>
      <c r="L33" s="304"/>
    </row>
    <row r="34" ht="17.1" customHeight="1" spans="1:12">
      <c r="A34" s="247">
        <v>28</v>
      </c>
      <c r="B34" s="244" t="s">
        <v>54</v>
      </c>
      <c r="C34" s="244" t="s">
        <v>54</v>
      </c>
      <c r="D34" s="245" t="s">
        <v>55</v>
      </c>
      <c r="E34" s="250">
        <v>14</v>
      </c>
      <c r="F34" s="251">
        <v>11</v>
      </c>
      <c r="G34" s="251">
        <v>2</v>
      </c>
      <c r="H34" s="251">
        <v>2</v>
      </c>
      <c r="I34" s="251">
        <v>12</v>
      </c>
      <c r="J34" s="250">
        <v>8</v>
      </c>
      <c r="K34" s="251"/>
      <c r="L34" s="304"/>
    </row>
    <row r="35" ht="17.1" customHeight="1" spans="1:12">
      <c r="A35" s="252">
        <v>29</v>
      </c>
      <c r="B35" s="244" t="s">
        <v>74</v>
      </c>
      <c r="C35" s="244" t="s">
        <v>74</v>
      </c>
      <c r="D35" s="245" t="s">
        <v>79</v>
      </c>
      <c r="E35" s="250">
        <v>10</v>
      </c>
      <c r="F35" s="251">
        <v>10</v>
      </c>
      <c r="G35" s="251"/>
      <c r="H35" s="251">
        <v>6</v>
      </c>
      <c r="I35" s="251">
        <v>4</v>
      </c>
      <c r="J35" s="250">
        <v>7</v>
      </c>
      <c r="K35" s="251"/>
      <c r="L35" s="304"/>
    </row>
    <row r="36" ht="17.1" customHeight="1" spans="1:12">
      <c r="A36" s="247">
        <v>30</v>
      </c>
      <c r="B36" s="248" t="s">
        <v>60</v>
      </c>
      <c r="C36" s="248" t="s">
        <v>60</v>
      </c>
      <c r="D36" s="249"/>
      <c r="E36" s="250"/>
      <c r="F36" s="251"/>
      <c r="G36" s="251"/>
      <c r="H36" s="251"/>
      <c r="I36" s="251"/>
      <c r="J36" s="250"/>
      <c r="K36" s="251"/>
      <c r="L36" s="304"/>
    </row>
    <row r="37" ht="17.1" customHeight="1" spans="1:12">
      <c r="A37" s="252">
        <v>31</v>
      </c>
      <c r="B37" s="257" t="s">
        <v>80</v>
      </c>
      <c r="C37" s="145"/>
      <c r="D37" s="258"/>
      <c r="E37" s="259"/>
      <c r="F37" s="260"/>
      <c r="G37" s="260"/>
      <c r="H37" s="260"/>
      <c r="I37" s="260"/>
      <c r="J37" s="250"/>
      <c r="K37" s="260"/>
      <c r="L37" s="304"/>
    </row>
    <row r="38" ht="17.1" customHeight="1" spans="1:12">
      <c r="A38" s="261"/>
      <c r="B38" s="262"/>
      <c r="C38" s="263"/>
      <c r="D38" s="264"/>
      <c r="E38" s="265"/>
      <c r="F38" s="266"/>
      <c r="G38" s="267"/>
      <c r="H38" s="267"/>
      <c r="I38" s="267"/>
      <c r="J38" s="260"/>
      <c r="K38" s="306"/>
      <c r="L38" s="307"/>
    </row>
    <row r="39" ht="17.1" customHeight="1" spans="1:12">
      <c r="A39" s="268"/>
      <c r="B39" s="18" t="s">
        <v>81</v>
      </c>
      <c r="C39" s="269"/>
      <c r="D39" s="268"/>
      <c r="E39" s="270">
        <v>284</v>
      </c>
      <c r="F39" s="271">
        <v>246</v>
      </c>
      <c r="G39" s="271">
        <v>38</v>
      </c>
      <c r="H39" s="271">
        <v>127</v>
      </c>
      <c r="I39" s="271">
        <v>157</v>
      </c>
      <c r="J39" s="271">
        <v>199</v>
      </c>
      <c r="K39" s="271">
        <f>SUM(K7:K37)</f>
        <v>0</v>
      </c>
      <c r="L39" s="308"/>
    </row>
    <row r="40" ht="17.1" customHeight="1" spans="1:12">
      <c r="A40" s="272"/>
      <c r="B40" s="273"/>
      <c r="C40" s="274"/>
      <c r="D40" s="272"/>
      <c r="E40" s="275"/>
      <c r="F40" s="276"/>
      <c r="G40" s="276"/>
      <c r="H40" s="276"/>
      <c r="I40" s="276"/>
      <c r="J40" s="309"/>
      <c r="K40" s="309"/>
      <c r="L40" s="310"/>
    </row>
    <row r="44" ht="19.25" spans="1:12">
      <c r="A44" s="277" t="s">
        <v>30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</row>
    <row r="45" ht="15.5" spans="1:12">
      <c r="A45" s="278" t="s">
        <v>82</v>
      </c>
      <c r="B45" s="278"/>
      <c r="C45" s="278"/>
      <c r="D45" s="227" t="s">
        <v>32</v>
      </c>
      <c r="E45" s="228">
        <v>45778</v>
      </c>
      <c r="F45" s="227"/>
      <c r="G45" s="227"/>
      <c r="H45" s="227"/>
      <c r="I45" s="227"/>
      <c r="J45" s="311"/>
      <c r="K45" s="311"/>
      <c r="L45" s="311"/>
    </row>
    <row r="46" ht="15.5" spans="1:12">
      <c r="A46" s="229" t="s">
        <v>34</v>
      </c>
      <c r="B46" s="230"/>
      <c r="C46" s="231"/>
      <c r="D46" s="231"/>
      <c r="E46" s="231"/>
      <c r="F46" s="231"/>
      <c r="G46" s="231"/>
      <c r="H46" s="231"/>
      <c r="I46" s="231"/>
      <c r="J46" s="231"/>
      <c r="K46" s="231"/>
      <c r="L46" s="299"/>
    </row>
    <row r="47" ht="46.5" spans="1:12">
      <c r="A47" s="232" t="s">
        <v>35</v>
      </c>
      <c r="B47" s="233" t="s">
        <v>36</v>
      </c>
      <c r="C47" s="234" t="s">
        <v>37</v>
      </c>
      <c r="D47" s="233" t="s">
        <v>38</v>
      </c>
      <c r="E47" s="233" t="s">
        <v>39</v>
      </c>
      <c r="F47" s="234" t="s">
        <v>40</v>
      </c>
      <c r="G47" s="234"/>
      <c r="H47" s="234"/>
      <c r="I47" s="234"/>
      <c r="J47" s="234" t="s">
        <v>41</v>
      </c>
      <c r="K47" s="234" t="s">
        <v>42</v>
      </c>
      <c r="L47" s="300" t="s">
        <v>43</v>
      </c>
    </row>
    <row r="48" ht="15.25" spans="1:12">
      <c r="A48" s="237"/>
      <c r="B48" s="238"/>
      <c r="C48" s="239"/>
      <c r="D48" s="240"/>
      <c r="E48" s="241"/>
      <c r="F48" s="241" t="s">
        <v>44</v>
      </c>
      <c r="G48" s="242" t="s">
        <v>45</v>
      </c>
      <c r="H48" s="242" t="s">
        <v>46</v>
      </c>
      <c r="I48" s="242" t="s">
        <v>47</v>
      </c>
      <c r="J48" s="242"/>
      <c r="K48" s="242"/>
      <c r="L48" s="301"/>
    </row>
    <row r="49" ht="19.25" spans="1:12">
      <c r="A49" s="279"/>
      <c r="B49" s="280"/>
      <c r="C49" s="281"/>
      <c r="D49" s="281"/>
      <c r="E49" s="282"/>
      <c r="F49" s="282"/>
      <c r="G49" s="282"/>
      <c r="H49" s="282"/>
      <c r="I49" s="282"/>
      <c r="J49" s="282"/>
      <c r="K49" s="312"/>
      <c r="L49" s="303"/>
    </row>
    <row r="50" ht="19.25" spans="1:12">
      <c r="A50" s="283"/>
      <c r="B50" s="280"/>
      <c r="C50" s="284"/>
      <c r="D50" s="281"/>
      <c r="E50" s="285"/>
      <c r="F50" s="286"/>
      <c r="G50" s="286"/>
      <c r="H50" s="286"/>
      <c r="I50" s="286"/>
      <c r="J50" s="286"/>
      <c r="K50" s="295"/>
      <c r="L50" s="304"/>
    </row>
    <row r="51" ht="19.25" spans="1:12">
      <c r="A51" s="287"/>
      <c r="B51" s="280"/>
      <c r="C51" s="288"/>
      <c r="D51" s="281"/>
      <c r="E51" s="285"/>
      <c r="F51" s="289"/>
      <c r="G51" s="145"/>
      <c r="H51" s="289"/>
      <c r="I51" s="289"/>
      <c r="J51" s="286"/>
      <c r="K51" s="295"/>
      <c r="L51" s="304"/>
    </row>
    <row r="52" ht="19.25" spans="1:12">
      <c r="A52" s="283"/>
      <c r="B52" s="280"/>
      <c r="C52" s="290"/>
      <c r="D52" s="281"/>
      <c r="E52" s="285"/>
      <c r="F52" s="289"/>
      <c r="G52" s="289"/>
      <c r="H52" s="289"/>
      <c r="I52" s="289"/>
      <c r="J52" s="285"/>
      <c r="K52" s="295"/>
      <c r="L52" s="305"/>
    </row>
    <row r="53" ht="19.25" spans="1:12">
      <c r="A53" s="287"/>
      <c r="B53" s="280"/>
      <c r="C53" s="288"/>
      <c r="D53" s="281"/>
      <c r="E53" s="285"/>
      <c r="F53" s="289"/>
      <c r="G53" s="145"/>
      <c r="H53" s="289"/>
      <c r="I53" s="289"/>
      <c r="J53" s="285"/>
      <c r="K53" s="295"/>
      <c r="L53" s="304"/>
    </row>
    <row r="54" ht="19.25" spans="1:12">
      <c r="A54" s="283"/>
      <c r="B54" s="280"/>
      <c r="C54" s="288"/>
      <c r="D54" s="281"/>
      <c r="E54" s="291"/>
      <c r="F54" s="145"/>
      <c r="G54" s="145"/>
      <c r="H54" s="145"/>
      <c r="I54" s="145"/>
      <c r="J54" s="291"/>
      <c r="K54" s="295"/>
      <c r="L54" s="304"/>
    </row>
    <row r="55" ht="19.25" spans="1:12">
      <c r="A55" s="287"/>
      <c r="B55" s="280"/>
      <c r="C55" s="288"/>
      <c r="D55" s="281"/>
      <c r="E55" s="285"/>
      <c r="F55" s="289"/>
      <c r="G55" s="145"/>
      <c r="H55" s="289"/>
      <c r="I55" s="289"/>
      <c r="J55" s="285"/>
      <c r="K55" s="295"/>
      <c r="L55" s="304"/>
    </row>
    <row r="56" ht="19.25" spans="1:12">
      <c r="A56" s="283"/>
      <c r="B56" s="280"/>
      <c r="C56" s="292"/>
      <c r="D56" s="281"/>
      <c r="E56" s="285"/>
      <c r="F56" s="289"/>
      <c r="G56" s="289"/>
      <c r="H56" s="289"/>
      <c r="I56" s="289"/>
      <c r="J56" s="285"/>
      <c r="K56" s="295"/>
      <c r="L56" s="304"/>
    </row>
    <row r="57" ht="19.25" spans="1:12">
      <c r="A57" s="287"/>
      <c r="B57" s="280"/>
      <c r="C57" s="284"/>
      <c r="D57" s="281"/>
      <c r="E57" s="285"/>
      <c r="F57" s="289"/>
      <c r="G57" s="145"/>
      <c r="H57" s="289"/>
      <c r="I57" s="289"/>
      <c r="J57" s="285"/>
      <c r="K57" s="295"/>
      <c r="L57" s="304"/>
    </row>
    <row r="58" ht="19.25" spans="1:12">
      <c r="A58" s="283"/>
      <c r="B58" s="280"/>
      <c r="C58" s="292"/>
      <c r="D58" s="281"/>
      <c r="E58" s="285"/>
      <c r="F58" s="289"/>
      <c r="G58" s="145"/>
      <c r="H58" s="289"/>
      <c r="I58" s="289"/>
      <c r="J58" s="285"/>
      <c r="K58" s="295"/>
      <c r="L58" s="304"/>
    </row>
    <row r="59" ht="19.25" spans="1:12">
      <c r="A59" s="287"/>
      <c r="B59" s="280"/>
      <c r="C59" s="293"/>
      <c r="D59" s="281"/>
      <c r="E59" s="285"/>
      <c r="F59" s="289"/>
      <c r="G59" s="289"/>
      <c r="H59" s="289"/>
      <c r="I59" s="289"/>
      <c r="J59" s="285"/>
      <c r="K59" s="295"/>
      <c r="L59" s="304"/>
    </row>
    <row r="60" ht="19.25" spans="1:12">
      <c r="A60" s="283"/>
      <c r="B60" s="280"/>
      <c r="C60" s="288"/>
      <c r="D60" s="281"/>
      <c r="E60" s="285"/>
      <c r="F60" s="289"/>
      <c r="G60" s="145"/>
      <c r="H60" s="289"/>
      <c r="I60" s="289"/>
      <c r="J60" s="285"/>
      <c r="K60" s="295"/>
      <c r="L60" s="304"/>
    </row>
    <row r="61" ht="19.25" spans="1:12">
      <c r="A61" s="287"/>
      <c r="B61" s="280"/>
      <c r="C61" s="288"/>
      <c r="D61" s="281"/>
      <c r="E61" s="291"/>
      <c r="F61" s="145"/>
      <c r="G61" s="145"/>
      <c r="H61" s="145"/>
      <c r="I61" s="145"/>
      <c r="J61" s="291"/>
      <c r="K61" s="295"/>
      <c r="L61" s="304"/>
    </row>
    <row r="62" ht="19.25" spans="1:12">
      <c r="A62" s="283"/>
      <c r="B62" s="280"/>
      <c r="C62" s="288"/>
      <c r="D62" s="281"/>
      <c r="E62" s="285"/>
      <c r="F62" s="289"/>
      <c r="G62" s="145"/>
      <c r="H62" s="289"/>
      <c r="I62" s="145"/>
      <c r="J62" s="285"/>
      <c r="K62" s="295"/>
      <c r="L62" s="305"/>
    </row>
    <row r="63" ht="19.25" spans="1:12">
      <c r="A63" s="287"/>
      <c r="B63" s="280"/>
      <c r="C63" s="288"/>
      <c r="D63" s="281"/>
      <c r="E63" s="285"/>
      <c r="F63" s="286"/>
      <c r="G63" s="286"/>
      <c r="H63" s="286"/>
      <c r="I63" s="286"/>
      <c r="J63" s="285"/>
      <c r="K63" s="295"/>
      <c r="L63" s="304"/>
    </row>
    <row r="64" ht="19.25" spans="1:12">
      <c r="A64" s="283"/>
      <c r="B64" s="280"/>
      <c r="C64" s="294"/>
      <c r="D64" s="281"/>
      <c r="E64" s="285"/>
      <c r="F64" s="286"/>
      <c r="G64" s="295"/>
      <c r="H64" s="286"/>
      <c r="I64" s="286"/>
      <c r="J64" s="285"/>
      <c r="K64" s="295"/>
      <c r="L64" s="304"/>
    </row>
    <row r="65" ht="19.25" spans="1:12">
      <c r="A65" s="287"/>
      <c r="B65" s="280"/>
      <c r="C65" s="294"/>
      <c r="D65" s="281"/>
      <c r="E65" s="285"/>
      <c r="F65" s="286"/>
      <c r="G65" s="286"/>
      <c r="H65" s="286"/>
      <c r="I65" s="286"/>
      <c r="J65" s="285"/>
      <c r="K65" s="295"/>
      <c r="L65" s="304"/>
    </row>
    <row r="66" ht="19.25" spans="1:12">
      <c r="A66" s="283"/>
      <c r="B66" s="280"/>
      <c r="C66" s="288"/>
      <c r="D66" s="281"/>
      <c r="E66" s="289"/>
      <c r="F66" s="289"/>
      <c r="G66" s="289"/>
      <c r="H66" s="289"/>
      <c r="I66" s="289"/>
      <c r="J66" s="289"/>
      <c r="K66" s="295"/>
      <c r="L66" s="304"/>
    </row>
    <row r="67" ht="19.25" spans="1:12">
      <c r="A67" s="287"/>
      <c r="B67" s="280"/>
      <c r="C67" s="288"/>
      <c r="D67" s="281"/>
      <c r="E67" s="285"/>
      <c r="F67" s="286"/>
      <c r="G67" s="295"/>
      <c r="H67" s="286"/>
      <c r="I67" s="286"/>
      <c r="J67" s="285"/>
      <c r="K67" s="295"/>
      <c r="L67" s="304"/>
    </row>
    <row r="68" ht="19.25" spans="1:12">
      <c r="A68" s="283"/>
      <c r="B68" s="280"/>
      <c r="C68" s="288"/>
      <c r="D68" s="281"/>
      <c r="E68" s="291"/>
      <c r="F68" s="295"/>
      <c r="G68" s="295"/>
      <c r="H68" s="295"/>
      <c r="I68" s="295"/>
      <c r="J68" s="291"/>
      <c r="K68" s="295"/>
      <c r="L68" s="304"/>
    </row>
    <row r="69" ht="19.25" spans="1:12">
      <c r="A69" s="287"/>
      <c r="B69" s="280"/>
      <c r="C69" s="288"/>
      <c r="D69" s="281"/>
      <c r="E69" s="285"/>
      <c r="F69" s="286"/>
      <c r="G69" s="295"/>
      <c r="H69" s="286"/>
      <c r="I69" s="286"/>
      <c r="J69" s="285"/>
      <c r="K69" s="295"/>
      <c r="L69" s="304"/>
    </row>
    <row r="70" ht="19.25" spans="1:12">
      <c r="A70" s="283"/>
      <c r="B70" s="280"/>
      <c r="C70" s="288"/>
      <c r="D70" s="281"/>
      <c r="E70" s="285"/>
      <c r="F70" s="286"/>
      <c r="G70" s="286"/>
      <c r="H70" s="286"/>
      <c r="I70" s="286"/>
      <c r="J70" s="285"/>
      <c r="K70" s="295"/>
      <c r="L70" s="304"/>
    </row>
    <row r="71" ht="19.25" spans="1:12">
      <c r="A71" s="287"/>
      <c r="B71" s="280"/>
      <c r="C71" s="288"/>
      <c r="D71" s="281"/>
      <c r="E71" s="285"/>
      <c r="F71" s="286"/>
      <c r="G71" s="286"/>
      <c r="H71" s="286"/>
      <c r="I71" s="286"/>
      <c r="J71" s="285"/>
      <c r="K71" s="295"/>
      <c r="L71" s="304"/>
    </row>
    <row r="72" ht="19.25" spans="1:12">
      <c r="A72" s="283"/>
      <c r="B72" s="280"/>
      <c r="C72" s="288"/>
      <c r="D72" s="281"/>
      <c r="E72" s="285"/>
      <c r="F72" s="286"/>
      <c r="G72" s="295"/>
      <c r="H72" s="286"/>
      <c r="I72" s="286"/>
      <c r="J72" s="285"/>
      <c r="K72" s="286">
        <v>1</v>
      </c>
      <c r="L72" s="304"/>
    </row>
    <row r="73" ht="19.25" spans="1:12">
      <c r="A73" s="287"/>
      <c r="B73" s="280"/>
      <c r="C73" s="288"/>
      <c r="D73" s="281"/>
      <c r="E73" s="285"/>
      <c r="F73" s="286"/>
      <c r="G73" s="286"/>
      <c r="H73" s="286"/>
      <c r="I73" s="286"/>
      <c r="J73" s="285"/>
      <c r="K73" s="295"/>
      <c r="L73" s="304"/>
    </row>
    <row r="74" ht="19.25" spans="1:12">
      <c r="A74" s="283"/>
      <c r="B74" s="280"/>
      <c r="C74" s="288"/>
      <c r="D74" s="281"/>
      <c r="E74" s="285"/>
      <c r="F74" s="286"/>
      <c r="G74" s="295"/>
      <c r="H74" s="286"/>
      <c r="I74" s="286"/>
      <c r="J74" s="285"/>
      <c r="K74" s="295"/>
      <c r="L74" s="304"/>
    </row>
    <row r="75" ht="19.25" spans="1:12">
      <c r="A75" s="287"/>
      <c r="B75" s="280"/>
      <c r="C75" s="288"/>
      <c r="D75" s="281"/>
      <c r="E75" s="291"/>
      <c r="F75" s="295"/>
      <c r="G75" s="295"/>
      <c r="H75" s="295"/>
      <c r="I75" s="295"/>
      <c r="J75" s="291"/>
      <c r="K75" s="295"/>
      <c r="L75" s="304"/>
    </row>
    <row r="76" ht="19.25" spans="1:12">
      <c r="A76" s="283"/>
      <c r="B76" s="280"/>
      <c r="C76" s="288"/>
      <c r="D76" s="281"/>
      <c r="E76" s="285"/>
      <c r="F76" s="286"/>
      <c r="G76" s="295"/>
      <c r="H76" s="286"/>
      <c r="I76" s="286"/>
      <c r="J76" s="285"/>
      <c r="K76" s="286">
        <v>1</v>
      </c>
      <c r="L76" s="304"/>
    </row>
    <row r="77" ht="19.25" spans="1:12">
      <c r="A77" s="287"/>
      <c r="B77" s="280"/>
      <c r="C77" s="288"/>
      <c r="D77" s="281"/>
      <c r="E77" s="285"/>
      <c r="F77" s="286"/>
      <c r="G77" s="286"/>
      <c r="H77" s="286"/>
      <c r="I77" s="286"/>
      <c r="J77" s="285"/>
      <c r="K77" s="295"/>
      <c r="L77" s="304"/>
    </row>
    <row r="78" ht="19.25" spans="1:12">
      <c r="A78" s="283"/>
      <c r="B78" s="280"/>
      <c r="C78" s="288"/>
      <c r="D78" s="281"/>
      <c r="E78" s="285"/>
      <c r="F78" s="286"/>
      <c r="G78" s="295"/>
      <c r="H78" s="286"/>
      <c r="I78" s="286"/>
      <c r="J78" s="285"/>
      <c r="K78" s="295"/>
      <c r="L78" s="304"/>
    </row>
    <row r="79" ht="19.25" spans="1:12">
      <c r="A79" s="287"/>
      <c r="B79" s="280"/>
      <c r="C79" s="288"/>
      <c r="D79" s="281"/>
      <c r="E79" s="313"/>
      <c r="F79" s="314"/>
      <c r="G79" s="315"/>
      <c r="H79" s="314"/>
      <c r="I79" s="314"/>
      <c r="J79" s="285"/>
      <c r="K79" s="315"/>
      <c r="L79" s="304"/>
    </row>
    <row r="80" ht="15.25" spans="1:12">
      <c r="A80" s="316"/>
      <c r="B80" s="316"/>
      <c r="C80" s="317"/>
      <c r="D80" s="318"/>
      <c r="E80" s="319"/>
      <c r="F80" s="320"/>
      <c r="G80" s="149"/>
      <c r="H80" s="149"/>
      <c r="I80" s="149"/>
      <c r="J80" s="315"/>
      <c r="K80" s="380">
        <v>1</v>
      </c>
      <c r="L80" s="307"/>
    </row>
    <row r="81" spans="1:12">
      <c r="A81" s="321"/>
      <c r="B81" s="322"/>
      <c r="C81" s="323"/>
      <c r="D81" s="318"/>
      <c r="E81" s="324"/>
      <c r="F81" s="325"/>
      <c r="G81" s="325"/>
      <c r="H81" s="326"/>
      <c r="I81" s="326"/>
      <c r="J81" s="326"/>
      <c r="K81" s="326"/>
      <c r="L81" s="308"/>
    </row>
    <row r="82" ht="15.25" spans="1:12">
      <c r="A82" s="272"/>
      <c r="B82" s="273"/>
      <c r="C82" s="274"/>
      <c r="D82" s="272"/>
      <c r="E82" s="275"/>
      <c r="F82" s="276"/>
      <c r="G82" s="276"/>
      <c r="H82" s="276"/>
      <c r="I82" s="276"/>
      <c r="J82" s="309"/>
      <c r="K82" s="309"/>
      <c r="L82" s="310"/>
    </row>
    <row r="86" ht="19.25" spans="1:12">
      <c r="A86" s="327" t="s">
        <v>30</v>
      </c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81"/>
    </row>
    <row r="87" ht="15.5" spans="1:12">
      <c r="A87" s="329"/>
      <c r="B87" s="330"/>
      <c r="C87" s="331"/>
      <c r="D87" s="332" t="s">
        <v>32</v>
      </c>
      <c r="E87" s="333">
        <v>45778</v>
      </c>
      <c r="F87" s="332"/>
      <c r="G87" s="332"/>
      <c r="H87" s="332"/>
      <c r="I87" s="332"/>
      <c r="J87" s="382"/>
      <c r="K87" s="330"/>
      <c r="L87" s="383"/>
    </row>
    <row r="88" ht="15.5" spans="1:12">
      <c r="A88" s="334" t="s">
        <v>34</v>
      </c>
      <c r="B88" s="335"/>
      <c r="C88" s="336"/>
      <c r="D88" s="336"/>
      <c r="E88" s="336"/>
      <c r="F88" s="336"/>
      <c r="G88" s="336"/>
      <c r="H88" s="336"/>
      <c r="I88" s="336"/>
      <c r="J88" s="336"/>
      <c r="K88" s="336"/>
      <c r="L88" s="384"/>
    </row>
    <row r="89" ht="46.5" spans="1:12">
      <c r="A89" s="337" t="s">
        <v>35</v>
      </c>
      <c r="B89" s="338" t="s">
        <v>36</v>
      </c>
      <c r="C89" s="339" t="s">
        <v>37</v>
      </c>
      <c r="D89" s="338" t="s">
        <v>38</v>
      </c>
      <c r="E89" s="338" t="s">
        <v>39</v>
      </c>
      <c r="F89" s="340" t="s">
        <v>40</v>
      </c>
      <c r="G89" s="341"/>
      <c r="H89" s="339"/>
      <c r="I89" s="339"/>
      <c r="J89" s="339" t="s">
        <v>41</v>
      </c>
      <c r="K89" s="339" t="s">
        <v>42</v>
      </c>
      <c r="L89" s="385" t="s">
        <v>43</v>
      </c>
    </row>
    <row r="90" ht="15.25" spans="1:12">
      <c r="A90" s="342"/>
      <c r="B90" s="343"/>
      <c r="C90" s="344"/>
      <c r="D90" s="345"/>
      <c r="E90" s="343"/>
      <c r="F90" s="343" t="s">
        <v>44</v>
      </c>
      <c r="G90" s="346" t="s">
        <v>45</v>
      </c>
      <c r="H90" s="346" t="s">
        <v>46</v>
      </c>
      <c r="I90" s="346" t="s">
        <v>47</v>
      </c>
      <c r="J90" s="346"/>
      <c r="K90" s="346"/>
      <c r="L90" s="386"/>
    </row>
    <row r="91" spans="1:12">
      <c r="A91" s="347">
        <v>1</v>
      </c>
      <c r="B91" s="348"/>
      <c r="C91" s="348"/>
      <c r="D91" s="349"/>
      <c r="E91" s="350"/>
      <c r="F91" s="350"/>
      <c r="G91" s="350"/>
      <c r="H91" s="350"/>
      <c r="I91" s="350"/>
      <c r="J91" s="387"/>
      <c r="K91" s="388"/>
      <c r="L91" s="389"/>
    </row>
    <row r="92" spans="1:12">
      <c r="A92" s="351">
        <v>2</v>
      </c>
      <c r="B92" s="352"/>
      <c r="C92" s="352"/>
      <c r="D92" s="353"/>
      <c r="E92" s="354"/>
      <c r="F92" s="355"/>
      <c r="G92" s="355"/>
      <c r="H92" s="355"/>
      <c r="I92" s="355"/>
      <c r="J92" s="390"/>
      <c r="K92" s="390"/>
      <c r="L92" s="391"/>
    </row>
    <row r="93" spans="1:12">
      <c r="A93" s="356">
        <v>3</v>
      </c>
      <c r="B93" s="352"/>
      <c r="C93" s="352"/>
      <c r="D93" s="357"/>
      <c r="E93" s="354"/>
      <c r="F93" s="358"/>
      <c r="G93" s="358"/>
      <c r="H93" s="358"/>
      <c r="I93" s="358"/>
      <c r="J93" s="390"/>
      <c r="K93" s="390"/>
      <c r="L93" s="391"/>
    </row>
    <row r="94" spans="1:12">
      <c r="A94" s="351">
        <v>4</v>
      </c>
      <c r="B94" s="359"/>
      <c r="C94" s="359"/>
      <c r="D94" s="357"/>
      <c r="E94" s="354"/>
      <c r="F94" s="358"/>
      <c r="G94" s="358"/>
      <c r="H94" s="358"/>
      <c r="I94" s="358"/>
      <c r="J94" s="392"/>
      <c r="K94" s="390"/>
      <c r="L94" s="393"/>
    </row>
    <row r="95" spans="1:12">
      <c r="A95" s="356">
        <v>5</v>
      </c>
      <c r="B95" s="352"/>
      <c r="C95" s="352"/>
      <c r="D95" s="357"/>
      <c r="E95" s="354"/>
      <c r="F95" s="358"/>
      <c r="G95" s="358"/>
      <c r="H95" s="358"/>
      <c r="I95" s="358"/>
      <c r="J95" s="392"/>
      <c r="K95" s="390"/>
      <c r="L95" s="391"/>
    </row>
    <row r="96" spans="1:12">
      <c r="A96" s="351">
        <v>6</v>
      </c>
      <c r="B96" s="360"/>
      <c r="C96" s="360"/>
      <c r="D96" s="357"/>
      <c r="E96" s="354"/>
      <c r="F96" s="358"/>
      <c r="G96" s="358"/>
      <c r="H96" s="358"/>
      <c r="I96" s="358"/>
      <c r="J96" s="392"/>
      <c r="K96" s="390"/>
      <c r="L96" s="391"/>
    </row>
    <row r="97" ht="15.25" spans="1:12">
      <c r="A97" s="356">
        <v>7</v>
      </c>
      <c r="B97" s="352"/>
      <c r="C97" s="352"/>
      <c r="D97" s="357"/>
      <c r="E97" s="354"/>
      <c r="F97" s="358"/>
      <c r="G97" s="358"/>
      <c r="H97" s="358"/>
      <c r="I97" s="358"/>
      <c r="J97" s="392"/>
      <c r="K97" s="390"/>
      <c r="L97" s="391"/>
    </row>
    <row r="98" spans="1:12">
      <c r="A98" s="351">
        <v>8</v>
      </c>
      <c r="B98" s="348"/>
      <c r="C98" s="348"/>
      <c r="D98" s="357"/>
      <c r="E98" s="354"/>
      <c r="F98" s="358"/>
      <c r="G98" s="358"/>
      <c r="H98" s="358"/>
      <c r="I98" s="358"/>
      <c r="J98" s="392"/>
      <c r="K98" s="390"/>
      <c r="L98" s="391"/>
    </row>
    <row r="99" ht="15.25" spans="1:12">
      <c r="A99" s="356">
        <v>9</v>
      </c>
      <c r="B99" s="352"/>
      <c r="C99" s="352"/>
      <c r="D99" s="357"/>
      <c r="E99" s="354"/>
      <c r="F99" s="358"/>
      <c r="G99" s="358"/>
      <c r="H99" s="358"/>
      <c r="I99" s="358"/>
      <c r="J99" s="392"/>
      <c r="K99" s="390"/>
      <c r="L99" s="391"/>
    </row>
    <row r="100" spans="1:12">
      <c r="A100" s="351">
        <v>10</v>
      </c>
      <c r="B100" s="348"/>
      <c r="C100" s="348"/>
      <c r="D100" s="357"/>
      <c r="E100" s="354"/>
      <c r="F100" s="358"/>
      <c r="G100" s="358"/>
      <c r="H100" s="358"/>
      <c r="I100" s="358"/>
      <c r="J100" s="392"/>
      <c r="K100" s="390"/>
      <c r="L100" s="391"/>
    </row>
    <row r="101" spans="1:12">
      <c r="A101" s="356">
        <v>11</v>
      </c>
      <c r="B101" s="359"/>
      <c r="C101" s="359"/>
      <c r="D101" s="357"/>
      <c r="E101" s="354"/>
      <c r="F101" s="358"/>
      <c r="G101" s="358"/>
      <c r="H101" s="358"/>
      <c r="I101" s="358"/>
      <c r="J101" s="392"/>
      <c r="K101" s="390"/>
      <c r="L101" s="391"/>
    </row>
    <row r="102" spans="1:12">
      <c r="A102" s="351">
        <v>12</v>
      </c>
      <c r="B102" s="352"/>
      <c r="C102" s="352"/>
      <c r="D102" s="357"/>
      <c r="E102" s="354"/>
      <c r="F102" s="358"/>
      <c r="G102" s="358"/>
      <c r="H102" s="358"/>
      <c r="I102" s="358"/>
      <c r="J102" s="392"/>
      <c r="K102" s="390"/>
      <c r="L102" s="391"/>
    </row>
    <row r="103" spans="1:12">
      <c r="A103" s="356">
        <v>13</v>
      </c>
      <c r="B103" s="360"/>
      <c r="C103" s="360"/>
      <c r="D103" s="357"/>
      <c r="E103" s="354"/>
      <c r="F103" s="358"/>
      <c r="G103" s="358"/>
      <c r="H103" s="358"/>
      <c r="I103" s="358"/>
      <c r="J103" s="392"/>
      <c r="K103" s="390"/>
      <c r="L103" s="391"/>
    </row>
    <row r="104" spans="1:12">
      <c r="A104" s="351">
        <v>14</v>
      </c>
      <c r="B104" s="352"/>
      <c r="C104" s="352"/>
      <c r="D104" s="357"/>
      <c r="E104" s="354"/>
      <c r="F104" s="358"/>
      <c r="G104" s="358"/>
      <c r="H104" s="358"/>
      <c r="I104" s="358"/>
      <c r="J104" s="392"/>
      <c r="K104" s="390"/>
      <c r="L104" s="393"/>
    </row>
    <row r="105" ht="15.25" spans="1:12">
      <c r="A105" s="356">
        <v>15</v>
      </c>
      <c r="B105" s="352"/>
      <c r="C105" s="352"/>
      <c r="D105" s="357"/>
      <c r="E105" s="354"/>
      <c r="F105" s="355"/>
      <c r="G105" s="355"/>
      <c r="H105" s="355"/>
      <c r="I105" s="355"/>
      <c r="J105" s="392"/>
      <c r="K105" s="390"/>
      <c r="L105" s="391"/>
    </row>
    <row r="106" spans="1:12">
      <c r="A106" s="351">
        <v>16</v>
      </c>
      <c r="B106" s="348"/>
      <c r="C106" s="348"/>
      <c r="D106" s="357"/>
      <c r="E106" s="354"/>
      <c r="F106" s="355"/>
      <c r="G106" s="355"/>
      <c r="H106" s="355"/>
      <c r="I106" s="355"/>
      <c r="J106" s="392"/>
      <c r="K106" s="390"/>
      <c r="L106" s="391"/>
    </row>
    <row r="107" spans="1:12">
      <c r="A107" s="356">
        <v>17</v>
      </c>
      <c r="B107" s="352"/>
      <c r="C107" s="352"/>
      <c r="D107" s="357"/>
      <c r="E107" s="358"/>
      <c r="F107" s="358"/>
      <c r="G107" s="358"/>
      <c r="H107" s="358"/>
      <c r="I107" s="358"/>
      <c r="J107" s="394"/>
      <c r="K107" s="390"/>
      <c r="L107" s="391"/>
    </row>
    <row r="108" spans="1:12">
      <c r="A108" s="351">
        <v>18</v>
      </c>
      <c r="B108" s="359"/>
      <c r="C108" s="359"/>
      <c r="D108" s="357"/>
      <c r="E108" s="354"/>
      <c r="F108" s="355"/>
      <c r="G108" s="355"/>
      <c r="H108" s="355"/>
      <c r="I108" s="355"/>
      <c r="J108" s="392"/>
      <c r="K108" s="390"/>
      <c r="L108" s="391"/>
    </row>
    <row r="109" spans="1:12">
      <c r="A109" s="356">
        <v>19</v>
      </c>
      <c r="B109" s="352"/>
      <c r="C109" s="352"/>
      <c r="D109" s="357"/>
      <c r="E109" s="354"/>
      <c r="F109" s="355"/>
      <c r="G109" s="355"/>
      <c r="H109" s="355"/>
      <c r="I109" s="355"/>
      <c r="J109" s="392"/>
      <c r="K109" s="390"/>
      <c r="L109" s="391"/>
    </row>
    <row r="110" spans="1:12">
      <c r="A110" s="351">
        <v>20</v>
      </c>
      <c r="B110" s="360"/>
      <c r="C110" s="360"/>
      <c r="D110" s="357"/>
      <c r="E110" s="354"/>
      <c r="F110" s="355"/>
      <c r="G110" s="355"/>
      <c r="H110" s="355"/>
      <c r="I110" s="355"/>
      <c r="J110" s="392"/>
      <c r="K110" s="390"/>
      <c r="L110" s="391"/>
    </row>
    <row r="111" ht="15.25" spans="1:12">
      <c r="A111" s="356">
        <v>21</v>
      </c>
      <c r="B111" s="352"/>
      <c r="C111" s="352"/>
      <c r="D111" s="357"/>
      <c r="E111" s="354"/>
      <c r="F111" s="355"/>
      <c r="G111" s="355"/>
      <c r="H111" s="355"/>
      <c r="I111" s="355"/>
      <c r="J111" s="392"/>
      <c r="K111" s="390"/>
      <c r="L111" s="391"/>
    </row>
    <row r="112" spans="1:12">
      <c r="A112" s="351">
        <v>22</v>
      </c>
      <c r="B112" s="348"/>
      <c r="C112" s="348"/>
      <c r="D112" s="357"/>
      <c r="E112" s="354"/>
      <c r="F112" s="355"/>
      <c r="G112" s="355"/>
      <c r="H112" s="355"/>
      <c r="I112" s="355"/>
      <c r="J112" s="392"/>
      <c r="K112" s="390"/>
      <c r="L112" s="391"/>
    </row>
    <row r="113" spans="1:12">
      <c r="A113" s="356">
        <v>23</v>
      </c>
      <c r="B113" s="352"/>
      <c r="C113" s="352"/>
      <c r="D113" s="357"/>
      <c r="E113" s="354"/>
      <c r="F113" s="355"/>
      <c r="G113" s="355"/>
      <c r="H113" s="355"/>
      <c r="I113" s="355"/>
      <c r="J113" s="392"/>
      <c r="K113" s="390"/>
      <c r="L113" s="391"/>
    </row>
    <row r="114" spans="1:12">
      <c r="A114" s="351">
        <v>24</v>
      </c>
      <c r="B114" s="352"/>
      <c r="C114" s="352"/>
      <c r="D114" s="357"/>
      <c r="E114" s="354"/>
      <c r="F114" s="355"/>
      <c r="G114" s="355"/>
      <c r="H114" s="355"/>
      <c r="I114" s="355"/>
      <c r="J114" s="392"/>
      <c r="K114" s="390"/>
      <c r="L114" s="391"/>
    </row>
    <row r="115" spans="1:12">
      <c r="A115" s="356">
        <v>25</v>
      </c>
      <c r="B115" s="359"/>
      <c r="C115" s="359"/>
      <c r="D115" s="357"/>
      <c r="E115" s="354"/>
      <c r="F115" s="355"/>
      <c r="G115" s="355"/>
      <c r="H115" s="355"/>
      <c r="I115" s="355"/>
      <c r="J115" s="392"/>
      <c r="K115" s="390"/>
      <c r="L115" s="391"/>
    </row>
    <row r="116" spans="1:12">
      <c r="A116" s="351">
        <v>26</v>
      </c>
      <c r="B116" s="352"/>
      <c r="C116" s="352"/>
      <c r="D116" s="357"/>
      <c r="E116" s="354"/>
      <c r="F116" s="355"/>
      <c r="G116" s="355"/>
      <c r="H116" s="355"/>
      <c r="I116" s="355"/>
      <c r="J116" s="392"/>
      <c r="K116" s="390"/>
      <c r="L116" s="391"/>
    </row>
    <row r="117" spans="1:12">
      <c r="A117" s="356">
        <v>27</v>
      </c>
      <c r="B117" s="361"/>
      <c r="C117" s="361"/>
      <c r="D117" s="357"/>
      <c r="E117" s="354"/>
      <c r="F117" s="355"/>
      <c r="G117" s="355"/>
      <c r="H117" s="355"/>
      <c r="I117" s="355"/>
      <c r="J117" s="392"/>
      <c r="K117" s="390"/>
      <c r="L117" s="391"/>
    </row>
    <row r="118" spans="1:12">
      <c r="A118" s="351">
        <v>28</v>
      </c>
      <c r="B118" s="352"/>
      <c r="C118" s="352"/>
      <c r="D118" s="357"/>
      <c r="E118" s="354"/>
      <c r="F118" s="355"/>
      <c r="G118" s="355"/>
      <c r="H118" s="355"/>
      <c r="I118" s="355"/>
      <c r="J118" s="392"/>
      <c r="K118" s="390"/>
      <c r="L118" s="391"/>
    </row>
    <row r="119" spans="1:12">
      <c r="A119" s="356">
        <v>29</v>
      </c>
      <c r="B119" s="352"/>
      <c r="C119" s="352"/>
      <c r="D119" s="357"/>
      <c r="E119" s="354"/>
      <c r="F119" s="355"/>
      <c r="G119" s="355"/>
      <c r="H119" s="355"/>
      <c r="I119" s="355"/>
      <c r="J119" s="392"/>
      <c r="K119" s="390"/>
      <c r="L119" s="391"/>
    </row>
    <row r="120" spans="1:12">
      <c r="A120" s="351">
        <v>30</v>
      </c>
      <c r="B120" s="362"/>
      <c r="C120" s="362"/>
      <c r="D120" s="357"/>
      <c r="E120" s="354"/>
      <c r="F120" s="355"/>
      <c r="G120" s="355"/>
      <c r="H120" s="355"/>
      <c r="I120" s="355"/>
      <c r="J120" s="392"/>
      <c r="K120" s="390"/>
      <c r="L120" s="391"/>
    </row>
    <row r="121" ht="15.25" spans="1:12">
      <c r="A121" s="356">
        <v>31</v>
      </c>
      <c r="B121" s="352"/>
      <c r="C121" s="352"/>
      <c r="D121" s="363"/>
      <c r="E121" s="364"/>
      <c r="F121" s="365"/>
      <c r="G121" s="365"/>
      <c r="H121" s="365"/>
      <c r="I121" s="365"/>
      <c r="J121" s="392"/>
      <c r="K121" s="395"/>
      <c r="L121" s="391"/>
    </row>
    <row r="122" ht="15.25" spans="1:12">
      <c r="A122" s="366"/>
      <c r="B122" s="366"/>
      <c r="C122" s="367"/>
      <c r="D122" s="368"/>
      <c r="E122" s="369"/>
      <c r="F122" s="370"/>
      <c r="G122" s="371"/>
      <c r="H122" s="371"/>
      <c r="I122" s="371"/>
      <c r="J122" s="395"/>
      <c r="K122" s="396"/>
      <c r="L122" s="397"/>
    </row>
    <row r="123" spans="1:12">
      <c r="A123" s="372"/>
      <c r="B123" s="373" t="s">
        <v>81</v>
      </c>
      <c r="C123" s="374"/>
      <c r="D123" s="372"/>
      <c r="E123" s="375">
        <v>307</v>
      </c>
      <c r="F123" s="376">
        <f t="shared" ref="F123:I123" si="0">SUM(F91:F121)</f>
        <v>0</v>
      </c>
      <c r="G123" s="376">
        <f t="shared" si="0"/>
        <v>0</v>
      </c>
      <c r="H123" s="376">
        <f t="shared" si="0"/>
        <v>0</v>
      </c>
      <c r="I123" s="376">
        <f t="shared" si="0"/>
        <v>0</v>
      </c>
      <c r="J123" s="398" t="s">
        <v>83</v>
      </c>
      <c r="K123" s="398" t="s">
        <v>83</v>
      </c>
      <c r="L123" s="399"/>
    </row>
    <row r="124" ht="15.25" spans="1:12">
      <c r="A124" s="377"/>
      <c r="B124" s="378"/>
      <c r="C124" s="377"/>
      <c r="D124" s="378"/>
      <c r="E124" s="379"/>
      <c r="F124" s="378"/>
      <c r="G124" s="378"/>
      <c r="H124" s="378"/>
      <c r="I124" s="378"/>
      <c r="J124" s="400"/>
      <c r="K124" s="400"/>
      <c r="L124" s="401"/>
    </row>
    <row r="128" ht="18.5" spans="1:1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</row>
    <row r="129" ht="19.25" spans="1:12">
      <c r="A129" s="402" t="s">
        <v>30</v>
      </c>
      <c r="B129" s="402"/>
      <c r="C129" s="402"/>
      <c r="D129" s="402"/>
      <c r="E129" s="402"/>
      <c r="F129" s="402"/>
      <c r="G129" s="402"/>
      <c r="H129" s="402"/>
      <c r="I129" s="402"/>
      <c r="J129" s="402"/>
      <c r="K129" s="402"/>
      <c r="L129" s="402"/>
    </row>
    <row r="130" ht="15.5" spans="1:12">
      <c r="A130" s="403"/>
      <c r="B130" s="403"/>
      <c r="C130" s="403"/>
      <c r="D130" s="404" t="s">
        <v>32</v>
      </c>
      <c r="E130" s="405">
        <v>45778</v>
      </c>
      <c r="F130" s="404"/>
      <c r="G130" s="404"/>
      <c r="H130" s="404"/>
      <c r="I130" s="404"/>
      <c r="J130" s="458"/>
      <c r="K130" s="458"/>
      <c r="L130" s="458"/>
    </row>
    <row r="131" ht="15.5" spans="1:12">
      <c r="A131" s="406" t="s">
        <v>34</v>
      </c>
      <c r="B131" s="407"/>
      <c r="C131" s="408"/>
      <c r="D131" s="408"/>
      <c r="E131" s="408"/>
      <c r="F131" s="408"/>
      <c r="G131" s="408"/>
      <c r="H131" s="408"/>
      <c r="I131" s="408"/>
      <c r="J131" s="408"/>
      <c r="K131" s="408"/>
      <c r="L131" s="459"/>
    </row>
    <row r="132" ht="46.5" spans="1:12">
      <c r="A132" s="409" t="s">
        <v>35</v>
      </c>
      <c r="B132" s="410" t="s">
        <v>36</v>
      </c>
      <c r="C132" s="411" t="s">
        <v>37</v>
      </c>
      <c r="D132" s="410" t="s">
        <v>38</v>
      </c>
      <c r="E132" s="410" t="s">
        <v>39</v>
      </c>
      <c r="F132" s="411" t="s">
        <v>40</v>
      </c>
      <c r="G132" s="411"/>
      <c r="H132" s="411"/>
      <c r="I132" s="411"/>
      <c r="J132" s="411" t="s">
        <v>41</v>
      </c>
      <c r="K132" s="411" t="s">
        <v>42</v>
      </c>
      <c r="L132" s="460" t="s">
        <v>43</v>
      </c>
    </row>
    <row r="133" ht="15.25" spans="1:12">
      <c r="A133" s="412"/>
      <c r="B133" s="413"/>
      <c r="C133" s="414"/>
      <c r="D133" s="415"/>
      <c r="E133" s="413"/>
      <c r="F133" s="413" t="s">
        <v>44</v>
      </c>
      <c r="G133" s="416" t="s">
        <v>45</v>
      </c>
      <c r="H133" s="416" t="s">
        <v>46</v>
      </c>
      <c r="I133" s="416" t="s">
        <v>47</v>
      </c>
      <c r="J133" s="416"/>
      <c r="K133" s="416"/>
      <c r="L133" s="461"/>
    </row>
    <row r="134" spans="1:12">
      <c r="A134" s="417"/>
      <c r="B134" s="418"/>
      <c r="C134" s="419"/>
      <c r="D134" s="420"/>
      <c r="E134" s="421"/>
      <c r="F134" s="421"/>
      <c r="G134" s="421"/>
      <c r="H134" s="421"/>
      <c r="I134" s="421"/>
      <c r="J134" s="421"/>
      <c r="K134" s="462"/>
      <c r="L134" s="463"/>
    </row>
    <row r="135" spans="1:12">
      <c r="A135" s="422"/>
      <c r="B135" s="423"/>
      <c r="C135" s="424"/>
      <c r="D135" s="425"/>
      <c r="E135" s="426"/>
      <c r="F135" s="427"/>
      <c r="G135" s="427"/>
      <c r="H135" s="427"/>
      <c r="I135" s="427"/>
      <c r="J135" s="427"/>
      <c r="K135" s="427"/>
      <c r="L135" s="464"/>
    </row>
    <row r="136" spans="1:12">
      <c r="A136" s="425"/>
      <c r="B136" s="428"/>
      <c r="C136" s="429"/>
      <c r="D136" s="422"/>
      <c r="E136" s="426"/>
      <c r="F136" s="430"/>
      <c r="G136" s="430"/>
      <c r="H136" s="430"/>
      <c r="I136" s="430"/>
      <c r="J136" s="427"/>
      <c r="K136" s="427"/>
      <c r="L136" s="464"/>
    </row>
    <row r="137" spans="1:12">
      <c r="A137" s="422"/>
      <c r="B137" s="431"/>
      <c r="C137" s="432"/>
      <c r="D137" s="433"/>
      <c r="E137" s="426"/>
      <c r="F137" s="430"/>
      <c r="G137" s="430"/>
      <c r="H137" s="430"/>
      <c r="I137" s="430"/>
      <c r="J137" s="426"/>
      <c r="K137" s="427"/>
      <c r="L137" s="465"/>
    </row>
    <row r="138" spans="1:12">
      <c r="A138" s="425"/>
      <c r="B138" s="428"/>
      <c r="C138" s="434"/>
      <c r="D138" s="422"/>
      <c r="E138" s="426"/>
      <c r="F138" s="430"/>
      <c r="G138" s="430"/>
      <c r="H138" s="430"/>
      <c r="I138" s="430"/>
      <c r="J138" s="426"/>
      <c r="K138" s="427"/>
      <c r="L138" s="464"/>
    </row>
    <row r="139" spans="1:12">
      <c r="A139" s="422"/>
      <c r="B139" s="428"/>
      <c r="C139" s="434"/>
      <c r="D139" s="422"/>
      <c r="E139" s="426"/>
      <c r="F139" s="430"/>
      <c r="G139" s="430"/>
      <c r="H139" s="430"/>
      <c r="I139" s="430"/>
      <c r="J139" s="426"/>
      <c r="K139" s="427"/>
      <c r="L139" s="464"/>
    </row>
    <row r="140" ht="15.25" spans="1:12">
      <c r="A140" s="425"/>
      <c r="B140" s="428"/>
      <c r="C140" s="435"/>
      <c r="D140" s="422"/>
      <c r="E140" s="426"/>
      <c r="F140" s="430"/>
      <c r="G140" s="430"/>
      <c r="H140" s="430"/>
      <c r="I140" s="430"/>
      <c r="J140" s="426"/>
      <c r="K140" s="427"/>
      <c r="L140" s="464"/>
    </row>
    <row r="141" spans="1:12">
      <c r="A141" s="422"/>
      <c r="B141" s="436"/>
      <c r="C141" s="430"/>
      <c r="D141" s="422"/>
      <c r="E141" s="426"/>
      <c r="F141" s="430"/>
      <c r="G141" s="430"/>
      <c r="H141" s="430"/>
      <c r="I141" s="430"/>
      <c r="J141" s="426"/>
      <c r="K141" s="427"/>
      <c r="L141" s="464"/>
    </row>
    <row r="142" ht="15.25" spans="1:12">
      <c r="A142" s="425"/>
      <c r="B142" s="423"/>
      <c r="C142" s="430"/>
      <c r="D142" s="422"/>
      <c r="E142" s="426"/>
      <c r="F142" s="430"/>
      <c r="G142" s="430"/>
      <c r="H142" s="430"/>
      <c r="I142" s="430"/>
      <c r="J142" s="426"/>
      <c r="K142" s="427"/>
      <c r="L142" s="464"/>
    </row>
    <row r="143" spans="1:12">
      <c r="A143" s="422"/>
      <c r="B143" s="436"/>
      <c r="C143" s="430"/>
      <c r="D143" s="422"/>
      <c r="E143" s="426"/>
      <c r="F143" s="430"/>
      <c r="G143" s="430"/>
      <c r="H143" s="430"/>
      <c r="I143" s="430"/>
      <c r="J143" s="426"/>
      <c r="K143" s="427"/>
      <c r="L143" s="464"/>
    </row>
    <row r="144" spans="1:12">
      <c r="A144" s="425"/>
      <c r="B144" s="431"/>
      <c r="C144" s="437"/>
      <c r="D144" s="433"/>
      <c r="E144" s="426"/>
      <c r="F144" s="430"/>
      <c r="G144" s="430"/>
      <c r="H144" s="430"/>
      <c r="I144" s="430"/>
      <c r="J144" s="426"/>
      <c r="K144" s="427"/>
      <c r="L144" s="464"/>
    </row>
    <row r="145" spans="1:12">
      <c r="A145" s="422"/>
      <c r="B145" s="428"/>
      <c r="C145" s="434"/>
      <c r="D145" s="422"/>
      <c r="E145" s="426"/>
      <c r="F145" s="430"/>
      <c r="G145" s="430"/>
      <c r="H145" s="430"/>
      <c r="I145" s="430"/>
      <c r="J145" s="426"/>
      <c r="K145" s="427"/>
      <c r="L145" s="464"/>
    </row>
    <row r="146" spans="1:12">
      <c r="A146" s="425"/>
      <c r="B146" s="428"/>
      <c r="C146" s="434"/>
      <c r="D146" s="422"/>
      <c r="E146" s="426"/>
      <c r="F146" s="430"/>
      <c r="G146" s="430"/>
      <c r="H146" s="430"/>
      <c r="I146" s="430"/>
      <c r="J146" s="426"/>
      <c r="K146" s="427"/>
      <c r="L146" s="464"/>
    </row>
    <row r="147" spans="1:12">
      <c r="A147" s="422"/>
      <c r="B147" s="428"/>
      <c r="C147" s="434"/>
      <c r="D147" s="422"/>
      <c r="E147" s="426"/>
      <c r="F147" s="430"/>
      <c r="G147" s="430"/>
      <c r="H147" s="430"/>
      <c r="I147" s="430"/>
      <c r="J147" s="426"/>
      <c r="K147" s="427"/>
      <c r="L147" s="465"/>
    </row>
    <row r="148" ht="15.25" spans="1:12">
      <c r="A148" s="425"/>
      <c r="B148" s="428"/>
      <c r="C148" s="438"/>
      <c r="D148" s="422"/>
      <c r="E148" s="426"/>
      <c r="F148" s="427"/>
      <c r="G148" s="427"/>
      <c r="H148" s="427"/>
      <c r="I148" s="427"/>
      <c r="J148" s="426"/>
      <c r="K148" s="427"/>
      <c r="L148" s="464"/>
    </row>
    <row r="149" spans="1:12">
      <c r="A149" s="422"/>
      <c r="B149" s="439"/>
      <c r="C149" s="434"/>
      <c r="D149" s="422"/>
      <c r="E149" s="426"/>
      <c r="F149" s="427"/>
      <c r="G149" s="427"/>
      <c r="H149" s="427"/>
      <c r="I149" s="427"/>
      <c r="J149" s="426"/>
      <c r="K149" s="427"/>
      <c r="L149" s="464"/>
    </row>
    <row r="150" spans="1:12">
      <c r="A150" s="425"/>
      <c r="B150" s="428"/>
      <c r="C150" s="434"/>
      <c r="D150" s="422"/>
      <c r="E150" s="430"/>
      <c r="F150" s="430"/>
      <c r="G150" s="430"/>
      <c r="H150" s="430"/>
      <c r="I150" s="430"/>
      <c r="J150" s="430"/>
      <c r="K150" s="427"/>
      <c r="L150" s="464"/>
    </row>
    <row r="151" spans="1:12">
      <c r="A151" s="422"/>
      <c r="B151" s="431"/>
      <c r="C151" s="432"/>
      <c r="D151" s="433"/>
      <c r="E151" s="426"/>
      <c r="F151" s="427"/>
      <c r="G151" s="427"/>
      <c r="H151" s="427"/>
      <c r="I151" s="427"/>
      <c r="J151" s="426"/>
      <c r="K151" s="427"/>
      <c r="L151" s="464"/>
    </row>
    <row r="152" spans="1:12">
      <c r="A152" s="425"/>
      <c r="B152" s="428"/>
      <c r="C152" s="434"/>
      <c r="D152" s="422"/>
      <c r="E152" s="426"/>
      <c r="F152" s="427"/>
      <c r="G152" s="427"/>
      <c r="H152" s="427"/>
      <c r="I152" s="427"/>
      <c r="J152" s="426"/>
      <c r="K152" s="427"/>
      <c r="L152" s="464"/>
    </row>
    <row r="153" spans="1:12">
      <c r="A153" s="422"/>
      <c r="B153" s="428"/>
      <c r="C153" s="434"/>
      <c r="D153" s="422"/>
      <c r="E153" s="426"/>
      <c r="F153" s="427"/>
      <c r="G153" s="427"/>
      <c r="H153" s="427"/>
      <c r="I153" s="427"/>
      <c r="J153" s="426"/>
      <c r="K153" s="427"/>
      <c r="L153" s="464"/>
    </row>
    <row r="154" ht="15.25" spans="1:12">
      <c r="A154" s="425"/>
      <c r="B154" s="428"/>
      <c r="C154" s="434"/>
      <c r="D154" s="422"/>
      <c r="E154" s="426"/>
      <c r="F154" s="427"/>
      <c r="G154" s="427"/>
      <c r="H154" s="427"/>
      <c r="I154" s="427"/>
      <c r="J154" s="426"/>
      <c r="K154" s="427"/>
      <c r="L154" s="464"/>
    </row>
    <row r="155" spans="1:12">
      <c r="A155" s="422"/>
      <c r="B155" s="436"/>
      <c r="C155" s="434"/>
      <c r="D155" s="422"/>
      <c r="E155" s="426"/>
      <c r="F155" s="427"/>
      <c r="G155" s="427"/>
      <c r="H155" s="427"/>
      <c r="I155" s="427"/>
      <c r="J155" s="426"/>
      <c r="K155" s="427"/>
      <c r="L155" s="464"/>
    </row>
    <row r="156" spans="1:12">
      <c r="A156" s="425"/>
      <c r="B156" s="423"/>
      <c r="C156" s="434"/>
      <c r="D156" s="422"/>
      <c r="E156" s="426"/>
      <c r="F156" s="427"/>
      <c r="G156" s="427"/>
      <c r="H156" s="427"/>
      <c r="I156" s="427"/>
      <c r="J156" s="426"/>
      <c r="K156" s="427"/>
      <c r="L156" s="464"/>
    </row>
    <row r="157" spans="1:12">
      <c r="A157" s="422"/>
      <c r="B157" s="428"/>
      <c r="C157" s="434"/>
      <c r="D157" s="422"/>
      <c r="E157" s="426"/>
      <c r="F157" s="427"/>
      <c r="G157" s="427"/>
      <c r="H157" s="427"/>
      <c r="I157" s="427"/>
      <c r="J157" s="426"/>
      <c r="K157" s="427"/>
      <c r="L157" s="464"/>
    </row>
    <row r="158" spans="1:12">
      <c r="A158" s="425"/>
      <c r="B158" s="431"/>
      <c r="C158" s="432"/>
      <c r="D158" s="433"/>
      <c r="E158" s="426"/>
      <c r="F158" s="427"/>
      <c r="G158" s="427"/>
      <c r="H158" s="427"/>
      <c r="I158" s="427"/>
      <c r="J158" s="426"/>
      <c r="K158" s="427"/>
      <c r="L158" s="464"/>
    </row>
    <row r="159" spans="1:12">
      <c r="A159" s="422"/>
      <c r="B159" s="428"/>
      <c r="C159" s="434"/>
      <c r="D159" s="422"/>
      <c r="E159" s="426"/>
      <c r="F159" s="427"/>
      <c r="G159" s="427"/>
      <c r="H159" s="427"/>
      <c r="I159" s="427"/>
      <c r="J159" s="426"/>
      <c r="K159" s="427"/>
      <c r="L159" s="464"/>
    </row>
    <row r="160" spans="1:12">
      <c r="A160" s="425"/>
      <c r="B160" s="428"/>
      <c r="C160" s="434"/>
      <c r="D160" s="422"/>
      <c r="E160" s="426"/>
      <c r="F160" s="427"/>
      <c r="G160" s="427"/>
      <c r="H160" s="427"/>
      <c r="I160" s="427"/>
      <c r="J160" s="426"/>
      <c r="K160" s="427"/>
      <c r="L160" s="464"/>
    </row>
    <row r="161" spans="1:12">
      <c r="A161" s="422"/>
      <c r="B161" s="428"/>
      <c r="C161" s="434"/>
      <c r="D161" s="422"/>
      <c r="E161" s="426"/>
      <c r="F161" s="427"/>
      <c r="G161" s="427"/>
      <c r="H161" s="427"/>
      <c r="I161" s="427"/>
      <c r="J161" s="426"/>
      <c r="K161" s="427"/>
      <c r="L161" s="464"/>
    </row>
    <row r="162" spans="1:12">
      <c r="A162" s="425"/>
      <c r="B162" s="428"/>
      <c r="C162" s="434"/>
      <c r="D162" s="422"/>
      <c r="E162" s="426"/>
      <c r="F162" s="427"/>
      <c r="G162" s="427"/>
      <c r="H162" s="427"/>
      <c r="I162" s="427"/>
      <c r="J162" s="426"/>
      <c r="K162" s="427"/>
      <c r="L162" s="464"/>
    </row>
    <row r="163" spans="1:12">
      <c r="A163" s="422"/>
      <c r="B163" s="440"/>
      <c r="C163" s="434"/>
      <c r="D163" s="422"/>
      <c r="E163" s="426"/>
      <c r="F163" s="427"/>
      <c r="G163" s="427"/>
      <c r="H163" s="427"/>
      <c r="I163" s="427"/>
      <c r="J163" s="426"/>
      <c r="K163" s="427"/>
      <c r="L163" s="464"/>
    </row>
    <row r="164" spans="1:12">
      <c r="A164" s="425"/>
      <c r="B164" s="428"/>
      <c r="C164" s="434"/>
      <c r="D164" s="441"/>
      <c r="E164" s="426"/>
      <c r="F164" s="442"/>
      <c r="G164" s="442"/>
      <c r="H164" s="442"/>
      <c r="I164" s="442"/>
      <c r="J164" s="426"/>
      <c r="K164" s="442"/>
      <c r="L164" s="464"/>
    </row>
    <row r="165" spans="1:12">
      <c r="A165" s="443"/>
      <c r="B165" s="443"/>
      <c r="C165" s="444"/>
      <c r="D165" s="445"/>
      <c r="E165" s="446"/>
      <c r="F165" s="447"/>
      <c r="G165" s="447"/>
      <c r="H165" s="447"/>
      <c r="I165" s="447"/>
      <c r="J165" s="442"/>
      <c r="K165" s="446"/>
      <c r="L165" s="466"/>
    </row>
    <row r="166" spans="1:12">
      <c r="A166" s="448"/>
      <c r="B166" s="449"/>
      <c r="C166" s="429"/>
      <c r="D166" s="448"/>
      <c r="E166" s="430"/>
      <c r="F166" s="450"/>
      <c r="G166" s="450"/>
      <c r="H166" s="450"/>
      <c r="I166" s="450"/>
      <c r="J166" s="450">
        <v>0</v>
      </c>
      <c r="K166" s="450">
        <v>0</v>
      </c>
      <c r="L166" s="467"/>
    </row>
    <row r="167" ht="15.25" spans="1:12">
      <c r="A167" s="451"/>
      <c r="B167" s="452"/>
      <c r="C167" s="453"/>
      <c r="D167" s="451"/>
      <c r="E167" s="454"/>
      <c r="F167" s="452"/>
      <c r="G167" s="452"/>
      <c r="H167" s="452"/>
      <c r="I167" s="452"/>
      <c r="J167" s="468"/>
      <c r="K167" s="468"/>
      <c r="L167" s="469"/>
    </row>
    <row r="170" spans="1:12">
      <c r="A170" s="218"/>
      <c r="B170" s="218"/>
      <c r="C170" s="219"/>
      <c r="D170" s="218"/>
      <c r="E170" s="220"/>
      <c r="F170" s="221"/>
      <c r="G170" s="221"/>
      <c r="H170" s="221"/>
      <c r="I170" s="221"/>
      <c r="J170" s="221"/>
      <c r="K170" s="221"/>
      <c r="L170" s="221"/>
    </row>
    <row r="171" ht="19.25" spans="1:12">
      <c r="A171" s="402" t="s">
        <v>30</v>
      </c>
      <c r="B171" s="402"/>
      <c r="C171" s="402"/>
      <c r="D171" s="402"/>
      <c r="E171" s="402"/>
      <c r="F171" s="402"/>
      <c r="G171" s="402"/>
      <c r="H171" s="402"/>
      <c r="I171" s="402"/>
      <c r="J171" s="402"/>
      <c r="K171" s="402"/>
      <c r="L171" s="402"/>
    </row>
    <row r="172" ht="15.5" spans="1:12">
      <c r="A172" s="403"/>
      <c r="B172" s="403"/>
      <c r="C172" s="403"/>
      <c r="D172" s="404" t="s">
        <v>32</v>
      </c>
      <c r="E172" s="405">
        <v>45778</v>
      </c>
      <c r="F172" s="404"/>
      <c r="G172" s="404"/>
      <c r="H172" s="404"/>
      <c r="I172" s="404"/>
      <c r="J172" s="458"/>
      <c r="K172" s="458"/>
      <c r="L172" s="458"/>
    </row>
    <row r="173" ht="15.5" spans="1:12">
      <c r="A173" s="406" t="s">
        <v>34</v>
      </c>
      <c r="B173" s="407"/>
      <c r="C173" s="408"/>
      <c r="D173" s="408"/>
      <c r="E173" s="408"/>
      <c r="F173" s="408"/>
      <c r="G173" s="408"/>
      <c r="H173" s="408"/>
      <c r="I173" s="408"/>
      <c r="J173" s="408"/>
      <c r="K173" s="408"/>
      <c r="L173" s="459"/>
    </row>
    <row r="174" ht="46.5" spans="1:12">
      <c r="A174" s="409" t="s">
        <v>35</v>
      </c>
      <c r="B174" s="410" t="s">
        <v>36</v>
      </c>
      <c r="C174" s="411" t="s">
        <v>37</v>
      </c>
      <c r="D174" s="410" t="s">
        <v>38</v>
      </c>
      <c r="E174" s="410" t="s">
        <v>39</v>
      </c>
      <c r="F174" s="411" t="s">
        <v>40</v>
      </c>
      <c r="G174" s="411"/>
      <c r="H174" s="411"/>
      <c r="I174" s="411"/>
      <c r="J174" s="411" t="s">
        <v>41</v>
      </c>
      <c r="K174" s="411" t="s">
        <v>42</v>
      </c>
      <c r="L174" s="460" t="s">
        <v>43</v>
      </c>
    </row>
    <row r="175" ht="15.25" spans="1:12">
      <c r="A175" s="412"/>
      <c r="B175" s="413"/>
      <c r="C175" s="414"/>
      <c r="D175" s="415"/>
      <c r="E175" s="413"/>
      <c r="F175" s="413" t="s">
        <v>44</v>
      </c>
      <c r="G175" s="416" t="s">
        <v>45</v>
      </c>
      <c r="H175" s="416" t="s">
        <v>46</v>
      </c>
      <c r="I175" s="416" t="s">
        <v>47</v>
      </c>
      <c r="J175" s="416"/>
      <c r="K175" s="416"/>
      <c r="L175" s="461"/>
    </row>
    <row r="176" ht="15.25" spans="1:12">
      <c r="A176" s="417"/>
      <c r="B176" s="455"/>
      <c r="C176" s="455"/>
      <c r="D176" s="456"/>
      <c r="E176" s="421"/>
      <c r="F176" s="421"/>
      <c r="G176" s="421"/>
      <c r="H176" s="421"/>
      <c r="I176" s="421"/>
      <c r="J176" s="421"/>
      <c r="K176" s="462"/>
      <c r="L176" s="463"/>
    </row>
    <row r="177" ht="15.25" spans="1:12">
      <c r="A177" s="422"/>
      <c r="B177" s="428"/>
      <c r="C177" s="428"/>
      <c r="D177" s="456"/>
      <c r="E177" s="426"/>
      <c r="F177" s="427"/>
      <c r="G177" s="427"/>
      <c r="H177" s="427"/>
      <c r="I177" s="427"/>
      <c r="J177" s="427"/>
      <c r="K177" s="427"/>
      <c r="L177" s="464"/>
    </row>
    <row r="178" ht="15.25" spans="1:12">
      <c r="A178" s="425"/>
      <c r="B178" s="428"/>
      <c r="C178" s="428"/>
      <c r="D178" s="456"/>
      <c r="E178" s="426"/>
      <c r="F178" s="430"/>
      <c r="G178" s="430"/>
      <c r="H178" s="430"/>
      <c r="I178" s="430"/>
      <c r="J178" s="427"/>
      <c r="K178" s="427"/>
      <c r="L178" s="464"/>
    </row>
    <row r="179" ht="15.25" spans="1:12">
      <c r="A179" s="422"/>
      <c r="B179" s="431"/>
      <c r="C179" s="431"/>
      <c r="D179" s="420"/>
      <c r="E179" s="426"/>
      <c r="F179" s="430"/>
      <c r="G179" s="430"/>
      <c r="H179" s="430"/>
      <c r="I179" s="430"/>
      <c r="J179" s="426"/>
      <c r="K179" s="427"/>
      <c r="L179" s="465"/>
    </row>
    <row r="180" ht="15.25" spans="1:12">
      <c r="A180" s="425"/>
      <c r="B180" s="428"/>
      <c r="C180" s="428"/>
      <c r="D180" s="456"/>
      <c r="E180" s="426"/>
      <c r="F180" s="430"/>
      <c r="G180" s="430"/>
      <c r="H180" s="430"/>
      <c r="I180" s="430"/>
      <c r="J180" s="426"/>
      <c r="K180" s="427"/>
      <c r="L180" s="464"/>
    </row>
    <row r="181" ht="15.25" spans="1:12">
      <c r="A181" s="422"/>
      <c r="B181" s="428"/>
      <c r="C181" s="428"/>
      <c r="D181" s="456"/>
      <c r="E181" s="426"/>
      <c r="F181" s="430"/>
      <c r="G181" s="430"/>
      <c r="H181" s="430"/>
      <c r="I181" s="430"/>
      <c r="J181" s="426"/>
      <c r="K181" s="427"/>
      <c r="L181" s="464"/>
    </row>
    <row r="182" ht="15.25" spans="1:12">
      <c r="A182" s="425"/>
      <c r="B182" s="428"/>
      <c r="C182" s="428"/>
      <c r="D182" s="456"/>
      <c r="E182" s="426"/>
      <c r="F182" s="430"/>
      <c r="G182" s="430"/>
      <c r="H182" s="430"/>
      <c r="I182" s="430"/>
      <c r="J182" s="426"/>
      <c r="K182" s="427"/>
      <c r="L182" s="464"/>
    </row>
    <row r="183" ht="15.25" spans="1:12">
      <c r="A183" s="422"/>
      <c r="B183" s="436"/>
      <c r="C183" s="457"/>
      <c r="D183" s="456"/>
      <c r="E183" s="426"/>
      <c r="F183" s="430"/>
      <c r="G183" s="430"/>
      <c r="H183" s="430"/>
      <c r="I183" s="430"/>
      <c r="J183" s="426"/>
      <c r="K183" s="427"/>
      <c r="L183" s="464"/>
    </row>
    <row r="184" ht="15.25" spans="1:12">
      <c r="A184" s="425"/>
      <c r="B184" s="428"/>
      <c r="C184" s="428"/>
      <c r="D184" s="456"/>
      <c r="E184" s="426"/>
      <c r="F184" s="430"/>
      <c r="G184" s="430"/>
      <c r="H184" s="430"/>
      <c r="I184" s="430"/>
      <c r="J184" s="426"/>
      <c r="K184" s="427"/>
      <c r="L184" s="464"/>
    </row>
    <row r="185" ht="15.25" spans="1:12">
      <c r="A185" s="422"/>
      <c r="B185" s="436"/>
      <c r="C185" s="457"/>
      <c r="D185" s="456"/>
      <c r="E185" s="426"/>
      <c r="F185" s="430"/>
      <c r="G185" s="430"/>
      <c r="H185" s="430"/>
      <c r="I185" s="430"/>
      <c r="J185" s="426"/>
      <c r="K185" s="427"/>
      <c r="L185" s="464"/>
    </row>
    <row r="186" ht="15.25" spans="1:12">
      <c r="A186" s="425"/>
      <c r="B186" s="431"/>
      <c r="C186" s="431"/>
      <c r="D186" s="420"/>
      <c r="E186" s="426"/>
      <c r="F186" s="430"/>
      <c r="G186" s="430"/>
      <c r="H186" s="430"/>
      <c r="I186" s="430"/>
      <c r="J186" s="426"/>
      <c r="K186" s="427"/>
      <c r="L186" s="464"/>
    </row>
    <row r="187" ht="15.25" spans="1:12">
      <c r="A187" s="422"/>
      <c r="B187" s="428"/>
      <c r="C187" s="428"/>
      <c r="D187" s="456"/>
      <c r="E187" s="426"/>
      <c r="F187" s="430"/>
      <c r="G187" s="430"/>
      <c r="H187" s="430"/>
      <c r="I187" s="430"/>
      <c r="J187" s="426"/>
      <c r="K187" s="427"/>
      <c r="L187" s="464"/>
    </row>
    <row r="188" ht="15.25" spans="1:12">
      <c r="A188" s="425"/>
      <c r="B188" s="428"/>
      <c r="C188" s="428"/>
      <c r="D188" s="456"/>
      <c r="E188" s="426"/>
      <c r="F188" s="430"/>
      <c r="G188" s="430"/>
      <c r="H188" s="430"/>
      <c r="I188" s="430"/>
      <c r="J188" s="426"/>
      <c r="K188" s="427"/>
      <c r="L188" s="464"/>
    </row>
    <row r="189" ht="15.25" spans="1:12">
      <c r="A189" s="422"/>
      <c r="B189" s="428"/>
      <c r="C189" s="428"/>
      <c r="D189" s="456"/>
      <c r="E189" s="426"/>
      <c r="F189" s="430"/>
      <c r="G189" s="430"/>
      <c r="H189" s="430"/>
      <c r="I189" s="430"/>
      <c r="J189" s="426"/>
      <c r="K189" s="427"/>
      <c r="L189" s="465"/>
    </row>
    <row r="190" ht="15.25" spans="1:12">
      <c r="A190" s="425"/>
      <c r="B190" s="428"/>
      <c r="C190" s="428"/>
      <c r="D190" s="456"/>
      <c r="E190" s="426"/>
      <c r="F190" s="427"/>
      <c r="G190" s="427"/>
      <c r="H190" s="427"/>
      <c r="I190" s="427"/>
      <c r="J190" s="426"/>
      <c r="K190" s="427"/>
      <c r="L190" s="464"/>
    </row>
    <row r="191" ht="15.25" spans="1:12">
      <c r="A191" s="422"/>
      <c r="B191" s="428"/>
      <c r="C191" s="428"/>
      <c r="D191" s="456"/>
      <c r="E191" s="426"/>
      <c r="F191" s="427"/>
      <c r="G191" s="427"/>
      <c r="H191" s="427"/>
      <c r="I191" s="427"/>
      <c r="J191" s="426"/>
      <c r="K191" s="427"/>
      <c r="L191" s="464"/>
    </row>
    <row r="192" ht="15.25" spans="1:12">
      <c r="A192" s="425"/>
      <c r="B192" s="428"/>
      <c r="C192" s="428"/>
      <c r="D192" s="456"/>
      <c r="E192" s="430"/>
      <c r="F192" s="430"/>
      <c r="G192" s="430"/>
      <c r="H192" s="430"/>
      <c r="I192" s="430"/>
      <c r="J192" s="430"/>
      <c r="K192" s="427"/>
      <c r="L192" s="464"/>
    </row>
    <row r="193" ht="15.25" spans="1:12">
      <c r="A193" s="422"/>
      <c r="B193" s="431"/>
      <c r="C193" s="431"/>
      <c r="D193" s="420"/>
      <c r="E193" s="426"/>
      <c r="F193" s="427"/>
      <c r="G193" s="427"/>
      <c r="H193" s="427"/>
      <c r="I193" s="427"/>
      <c r="J193" s="426"/>
      <c r="K193" s="427"/>
      <c r="L193" s="464"/>
    </row>
    <row r="194" ht="15.25" spans="1:12">
      <c r="A194" s="425"/>
      <c r="B194" s="428"/>
      <c r="C194" s="428"/>
      <c r="D194" s="456"/>
      <c r="E194" s="426"/>
      <c r="F194" s="427"/>
      <c r="G194" s="427"/>
      <c r="H194" s="427"/>
      <c r="I194" s="427"/>
      <c r="J194" s="426"/>
      <c r="K194" s="427"/>
      <c r="L194" s="464"/>
    </row>
    <row r="195" ht="15.25" spans="1:12">
      <c r="A195" s="422"/>
      <c r="B195" s="428"/>
      <c r="C195" s="428"/>
      <c r="D195" s="456"/>
      <c r="E195" s="426"/>
      <c r="F195" s="427"/>
      <c r="G195" s="427"/>
      <c r="H195" s="427"/>
      <c r="I195" s="427"/>
      <c r="J195" s="426"/>
      <c r="K195" s="427"/>
      <c r="L195" s="464"/>
    </row>
    <row r="196" ht="15.25" spans="1:12">
      <c r="A196" s="425"/>
      <c r="B196" s="428"/>
      <c r="C196" s="428"/>
      <c r="D196" s="456"/>
      <c r="E196" s="426"/>
      <c r="F196" s="427"/>
      <c r="G196" s="427"/>
      <c r="H196" s="427"/>
      <c r="I196" s="427"/>
      <c r="J196" s="426"/>
      <c r="K196" s="427"/>
      <c r="L196" s="464"/>
    </row>
    <row r="197" ht="15.25" spans="1:12">
      <c r="A197" s="422"/>
      <c r="B197" s="436"/>
      <c r="C197" s="436"/>
      <c r="D197" s="456"/>
      <c r="E197" s="426"/>
      <c r="F197" s="427"/>
      <c r="G197" s="427"/>
      <c r="H197" s="427"/>
      <c r="I197" s="427"/>
      <c r="J197" s="426"/>
      <c r="K197" s="427"/>
      <c r="L197" s="464"/>
    </row>
    <row r="198" ht="15.25" spans="1:12">
      <c r="A198" s="470"/>
      <c r="B198" s="423"/>
      <c r="C198" s="423"/>
      <c r="D198" s="456"/>
      <c r="E198" s="426"/>
      <c r="F198" s="427"/>
      <c r="G198" s="427"/>
      <c r="H198" s="427"/>
      <c r="I198" s="427"/>
      <c r="J198" s="426"/>
      <c r="K198" s="427"/>
      <c r="L198" s="464"/>
    </row>
    <row r="199" ht="15.25" spans="1:12">
      <c r="A199" s="471"/>
      <c r="B199" s="423"/>
      <c r="C199" s="423"/>
      <c r="D199" s="456"/>
      <c r="E199" s="426"/>
      <c r="F199" s="427"/>
      <c r="G199" s="427"/>
      <c r="H199" s="427"/>
      <c r="I199" s="427"/>
      <c r="J199" s="426"/>
      <c r="K199" s="427"/>
      <c r="L199" s="464"/>
    </row>
    <row r="200" ht="15.25" spans="1:12">
      <c r="A200" s="470"/>
      <c r="B200" s="472"/>
      <c r="C200" s="472"/>
      <c r="D200" s="420"/>
      <c r="E200" s="426"/>
      <c r="F200" s="427"/>
      <c r="G200" s="427"/>
      <c r="H200" s="427"/>
      <c r="I200" s="427"/>
      <c r="J200" s="426"/>
      <c r="K200" s="427"/>
      <c r="L200" s="464"/>
    </row>
    <row r="201" ht="15.25" spans="1:12">
      <c r="A201" s="471"/>
      <c r="B201" s="423"/>
      <c r="C201" s="423"/>
      <c r="D201" s="456"/>
      <c r="E201" s="426"/>
      <c r="F201" s="427"/>
      <c r="G201" s="427"/>
      <c r="H201" s="427"/>
      <c r="I201" s="427"/>
      <c r="J201" s="426"/>
      <c r="K201" s="427"/>
      <c r="L201" s="464"/>
    </row>
    <row r="202" ht="15.25" spans="1:12">
      <c r="A202" s="470"/>
      <c r="B202" s="423"/>
      <c r="C202" s="423"/>
      <c r="D202" s="456"/>
      <c r="E202" s="426"/>
      <c r="F202" s="427"/>
      <c r="G202" s="427"/>
      <c r="H202" s="427"/>
      <c r="I202" s="427"/>
      <c r="J202" s="426"/>
      <c r="K202" s="427"/>
      <c r="L202" s="464"/>
    </row>
    <row r="203" ht="15.25" spans="1:12">
      <c r="A203" s="471"/>
      <c r="B203" s="423"/>
      <c r="C203" s="423"/>
      <c r="D203" s="456"/>
      <c r="E203" s="426"/>
      <c r="F203" s="427"/>
      <c r="G203" s="427"/>
      <c r="H203" s="427"/>
      <c r="I203" s="427"/>
      <c r="J203" s="426"/>
      <c r="K203" s="427"/>
      <c r="L203" s="464"/>
    </row>
    <row r="204" ht="15.25" spans="1:12">
      <c r="A204" s="470"/>
      <c r="B204" s="440"/>
      <c r="C204" s="440"/>
      <c r="D204" s="456"/>
      <c r="E204" s="426"/>
      <c r="F204" s="427"/>
      <c r="G204" s="427"/>
      <c r="H204" s="427"/>
      <c r="I204" s="427"/>
      <c r="J204" s="426"/>
      <c r="K204" s="427"/>
      <c r="L204" s="464"/>
    </row>
    <row r="205" ht="15.25" spans="1:12">
      <c r="A205" s="471"/>
      <c r="B205" s="440"/>
      <c r="C205" s="440"/>
      <c r="D205" s="456"/>
      <c r="E205" s="426"/>
      <c r="F205" s="427"/>
      <c r="G205" s="427"/>
      <c r="H205" s="427"/>
      <c r="I205" s="427"/>
      <c r="J205" s="426"/>
      <c r="K205" s="427"/>
      <c r="L205" s="464"/>
    </row>
    <row r="206" ht="15.25" spans="1:12">
      <c r="A206" s="470"/>
      <c r="B206" s="423"/>
      <c r="C206" s="423"/>
      <c r="D206" s="456"/>
      <c r="E206" s="426"/>
      <c r="F206" s="442"/>
      <c r="G206" s="442"/>
      <c r="H206" s="442"/>
      <c r="I206" s="442"/>
      <c r="J206" s="426"/>
      <c r="K206" s="442"/>
      <c r="L206" s="464"/>
    </row>
    <row r="207" ht="15.25" spans="1:12">
      <c r="A207" s="443"/>
      <c r="B207" s="443"/>
      <c r="C207" s="444"/>
      <c r="D207" s="456"/>
      <c r="E207" s="446"/>
      <c r="F207" s="447"/>
      <c r="G207" s="447"/>
      <c r="H207" s="447"/>
      <c r="I207" s="447"/>
      <c r="J207" s="442"/>
      <c r="K207" s="446"/>
      <c r="L207" s="466"/>
    </row>
    <row r="208" ht="15.25" spans="1:12">
      <c r="A208" s="448"/>
      <c r="B208" s="449"/>
      <c r="C208" s="429"/>
      <c r="D208" s="456"/>
      <c r="E208" s="430"/>
      <c r="F208" s="450"/>
      <c r="G208" s="450"/>
      <c r="H208" s="450"/>
      <c r="I208" s="450"/>
      <c r="J208" s="450">
        <v>0</v>
      </c>
      <c r="K208" s="450">
        <v>0</v>
      </c>
      <c r="L208" s="467"/>
    </row>
    <row r="209" ht="15.25" spans="1:12">
      <c r="A209" s="451"/>
      <c r="B209" s="452"/>
      <c r="C209" s="453"/>
      <c r="D209" s="456"/>
      <c r="E209" s="454"/>
      <c r="F209" s="452"/>
      <c r="G209" s="452"/>
      <c r="H209" s="452"/>
      <c r="I209" s="452"/>
      <c r="J209" s="468"/>
      <c r="K209" s="468"/>
      <c r="L209" s="469"/>
    </row>
  </sheetData>
  <mergeCells count="25">
    <mergeCell ref="A2:L2"/>
    <mergeCell ref="A3:C3"/>
    <mergeCell ref="J3:L3"/>
    <mergeCell ref="F5:G5"/>
    <mergeCell ref="A38:B38"/>
    <mergeCell ref="A44:L44"/>
    <mergeCell ref="A45:C45"/>
    <mergeCell ref="J45:L45"/>
    <mergeCell ref="F47:G47"/>
    <mergeCell ref="A80:B80"/>
    <mergeCell ref="A86:L86"/>
    <mergeCell ref="A87:C87"/>
    <mergeCell ref="J87:L87"/>
    <mergeCell ref="F89:G89"/>
    <mergeCell ref="A128:L128"/>
    <mergeCell ref="A129:L129"/>
    <mergeCell ref="A130:C130"/>
    <mergeCell ref="J130:L130"/>
    <mergeCell ref="F132:G132"/>
    <mergeCell ref="A165:B165"/>
    <mergeCell ref="A171:L171"/>
    <mergeCell ref="A172:C172"/>
    <mergeCell ref="J172:L172"/>
    <mergeCell ref="F174:G174"/>
    <mergeCell ref="A207:B207"/>
  </mergeCells>
  <pageMargins left="0.699305555555556" right="0.699305555555556" top="0.75" bottom="0.75" header="0.511111111111111" footer="0.51111111111111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8"/>
  <sheetViews>
    <sheetView workbookViewId="0">
      <selection activeCell="J5" sqref="J5"/>
    </sheetView>
  </sheetViews>
  <sheetFormatPr defaultColWidth="9.64545454545454" defaultRowHeight="14.5"/>
  <cols>
    <col min="1" max="1" width="4.88181818181818" style="1" customWidth="1"/>
    <col min="2" max="2" width="22.5545454545455" style="10" customWidth="1"/>
    <col min="3" max="3" width="18" customWidth="1"/>
    <col min="4" max="4" width="12.6636363636364" customWidth="1"/>
    <col min="5" max="5" width="10" style="1" customWidth="1"/>
    <col min="6" max="6" width="15.3272727272727" customWidth="1"/>
    <col min="7" max="8" width="6.66363636363636" customWidth="1"/>
    <col min="9" max="11" width="10" customWidth="1"/>
    <col min="12" max="12" width="14.4363636363636" customWidth="1"/>
    <col min="13" max="14" width="10" customWidth="1"/>
    <col min="15" max="18" width="10" style="26" customWidth="1"/>
    <col min="19" max="256" width="10" customWidth="1"/>
    <col min="257" max="1025" width="9" customWidth="1"/>
  </cols>
  <sheetData>
    <row r="1" s="168" customFormat="1" ht="17.1" customHeight="1" spans="1:22">
      <c r="A1" s="184" t="s">
        <v>84</v>
      </c>
      <c r="B1" s="185" t="s">
        <v>85</v>
      </c>
      <c r="C1" s="186" t="s">
        <v>86</v>
      </c>
      <c r="D1" s="186" t="s">
        <v>87</v>
      </c>
      <c r="E1" s="184" t="s">
        <v>88</v>
      </c>
      <c r="F1" s="186" t="s">
        <v>89</v>
      </c>
      <c r="G1" s="187" t="s">
        <v>10</v>
      </c>
      <c r="H1" s="187" t="s">
        <v>90</v>
      </c>
      <c r="I1" s="213" t="s">
        <v>11</v>
      </c>
      <c r="J1" s="213" t="s">
        <v>90</v>
      </c>
      <c r="K1" s="213" t="s">
        <v>91</v>
      </c>
      <c r="L1" s="214" t="s">
        <v>92</v>
      </c>
      <c r="M1" s="214" t="s">
        <v>93</v>
      </c>
      <c r="N1" s="204" t="s">
        <v>90</v>
      </c>
      <c r="O1" s="214" t="s">
        <v>94</v>
      </c>
      <c r="P1" s="204" t="s">
        <v>90</v>
      </c>
      <c r="Q1" s="214" t="s">
        <v>12</v>
      </c>
      <c r="R1" s="204" t="s">
        <v>90</v>
      </c>
      <c r="S1" s="214" t="s">
        <v>13</v>
      </c>
      <c r="T1" s="204" t="s">
        <v>90</v>
      </c>
      <c r="U1" s="214" t="s">
        <v>95</v>
      </c>
      <c r="V1" s="204" t="s">
        <v>90</v>
      </c>
    </row>
    <row r="2" ht="17.1" customHeight="1" spans="1:22">
      <c r="A2" s="188">
        <v>1</v>
      </c>
      <c r="B2" s="189" t="s">
        <v>96</v>
      </c>
      <c r="C2" s="190" t="s">
        <v>97</v>
      </c>
      <c r="D2" s="190" t="s">
        <v>72</v>
      </c>
      <c r="E2" s="191">
        <v>15000</v>
      </c>
      <c r="F2" s="192" t="s">
        <v>98</v>
      </c>
      <c r="G2" s="193">
        <v>7</v>
      </c>
      <c r="H2" s="194" t="s">
        <v>99</v>
      </c>
      <c r="I2" s="193">
        <v>22</v>
      </c>
      <c r="J2" s="194" t="s">
        <v>99</v>
      </c>
      <c r="K2" s="16"/>
      <c r="L2" s="16"/>
      <c r="M2" s="16"/>
      <c r="N2" s="215"/>
      <c r="S2" s="26"/>
      <c r="T2" s="26"/>
      <c r="U2" s="26"/>
      <c r="V2" s="26"/>
    </row>
    <row r="3" ht="17.1" customHeight="1" spans="1:22">
      <c r="A3" s="188">
        <v>2</v>
      </c>
      <c r="B3" s="189" t="s">
        <v>100</v>
      </c>
      <c r="C3" s="190" t="s">
        <v>97</v>
      </c>
      <c r="D3" s="190" t="s">
        <v>74</v>
      </c>
      <c r="E3" s="191">
        <v>15000</v>
      </c>
      <c r="F3" s="192" t="s">
        <v>101</v>
      </c>
      <c r="G3" s="193">
        <v>3</v>
      </c>
      <c r="H3" s="194" t="s">
        <v>102</v>
      </c>
      <c r="I3" s="193">
        <v>11</v>
      </c>
      <c r="J3" s="194" t="s">
        <v>103</v>
      </c>
      <c r="K3" s="16"/>
      <c r="L3" s="16"/>
      <c r="M3" s="16"/>
      <c r="N3" s="215"/>
      <c r="S3" s="26"/>
      <c r="T3" s="26"/>
      <c r="U3" s="26"/>
      <c r="V3" s="26"/>
    </row>
    <row r="4" ht="17.1" customHeight="1" spans="1:22">
      <c r="A4" s="188">
        <v>3</v>
      </c>
      <c r="B4" s="189" t="s">
        <v>104</v>
      </c>
      <c r="C4" s="190" t="s">
        <v>97</v>
      </c>
      <c r="D4" s="190" t="s">
        <v>74</v>
      </c>
      <c r="E4" s="191">
        <v>15000</v>
      </c>
      <c r="F4" s="192" t="s">
        <v>105</v>
      </c>
      <c r="G4" s="193">
        <v>14</v>
      </c>
      <c r="H4" s="194" t="s">
        <v>102</v>
      </c>
      <c r="I4" s="193">
        <v>11</v>
      </c>
      <c r="J4" s="194" t="s">
        <v>102</v>
      </c>
      <c r="K4" s="16"/>
      <c r="L4" s="16"/>
      <c r="M4" s="16"/>
      <c r="N4" s="215"/>
      <c r="S4" s="26"/>
      <c r="T4" s="26"/>
      <c r="U4" s="26"/>
      <c r="V4" s="26"/>
    </row>
    <row r="5" ht="17.1" customHeight="1" spans="1:22">
      <c r="A5" s="195">
        <v>4</v>
      </c>
      <c r="B5" s="196" t="s">
        <v>106</v>
      </c>
      <c r="C5" s="190" t="s">
        <v>97</v>
      </c>
      <c r="D5" s="197" t="s">
        <v>54</v>
      </c>
      <c r="E5" s="198">
        <v>15000</v>
      </c>
      <c r="F5" s="192" t="s">
        <v>98</v>
      </c>
      <c r="G5" s="193">
        <v>16</v>
      </c>
      <c r="H5" s="194" t="s">
        <v>107</v>
      </c>
      <c r="I5" s="193">
        <v>13</v>
      </c>
      <c r="J5" s="194" t="s">
        <v>107</v>
      </c>
      <c r="K5" s="16"/>
      <c r="L5" s="16"/>
      <c r="M5" s="16"/>
      <c r="N5" s="215"/>
      <c r="S5" s="26"/>
      <c r="T5" s="26"/>
      <c r="U5" s="26"/>
      <c r="V5" s="26"/>
    </row>
    <row r="6" ht="17.1" customHeight="1" spans="1:22">
      <c r="A6" s="188">
        <v>5</v>
      </c>
      <c r="B6" s="189"/>
      <c r="C6" s="190"/>
      <c r="D6" s="197"/>
      <c r="E6" s="191"/>
      <c r="F6" s="192"/>
      <c r="G6" s="193"/>
      <c r="H6" s="194"/>
      <c r="I6" s="193"/>
      <c r="J6" s="194"/>
      <c r="K6" s="16"/>
      <c r="L6" s="16"/>
      <c r="M6" s="16"/>
      <c r="N6" s="215"/>
      <c r="S6" s="26"/>
      <c r="T6" s="26"/>
      <c r="U6" s="26"/>
      <c r="V6" s="26"/>
    </row>
    <row r="7" ht="17.1" customHeight="1" spans="1:22">
      <c r="A7" s="188">
        <v>6</v>
      </c>
      <c r="B7" s="189"/>
      <c r="C7" s="190"/>
      <c r="D7" s="190"/>
      <c r="E7" s="191"/>
      <c r="F7" s="192"/>
      <c r="G7" s="193"/>
      <c r="H7" s="194"/>
      <c r="I7" s="193"/>
      <c r="J7" s="194"/>
      <c r="K7" s="16"/>
      <c r="L7" s="16"/>
      <c r="M7" s="16"/>
      <c r="N7" s="215"/>
      <c r="S7" s="26"/>
      <c r="T7" s="26"/>
      <c r="U7" s="26"/>
      <c r="V7" s="26"/>
    </row>
    <row r="8" ht="17.1" customHeight="1" spans="1:22">
      <c r="A8" s="188">
        <v>7</v>
      </c>
      <c r="B8" s="189"/>
      <c r="C8" s="190"/>
      <c r="D8" s="190"/>
      <c r="E8" s="191"/>
      <c r="F8" s="192"/>
      <c r="G8" s="193"/>
      <c r="H8" s="194"/>
      <c r="I8" s="193"/>
      <c r="J8" s="194"/>
      <c r="K8" s="16"/>
      <c r="L8" s="16"/>
      <c r="M8" s="16"/>
      <c r="N8" s="215"/>
      <c r="S8" s="26"/>
      <c r="T8" s="26"/>
      <c r="U8" s="26"/>
      <c r="V8" s="26"/>
    </row>
    <row r="9" ht="15.5" spans="1:22">
      <c r="A9" s="195">
        <v>8</v>
      </c>
      <c r="B9" s="199"/>
      <c r="C9" s="200"/>
      <c r="D9" s="200"/>
      <c r="E9" s="201"/>
      <c r="F9" s="202"/>
      <c r="G9" s="193"/>
      <c r="H9" s="194"/>
      <c r="I9" s="193"/>
      <c r="J9" s="194"/>
      <c r="K9" s="16"/>
      <c r="L9" s="16"/>
      <c r="M9" s="16"/>
      <c r="N9" s="215"/>
      <c r="S9" s="26"/>
      <c r="T9" s="26"/>
      <c r="U9" s="26"/>
      <c r="V9" s="26"/>
    </row>
    <row r="10" ht="17.1" customHeight="1" spans="1:22">
      <c r="A10" s="188">
        <v>9</v>
      </c>
      <c r="B10" s="189"/>
      <c r="C10" s="190"/>
      <c r="D10" s="190"/>
      <c r="E10" s="191"/>
      <c r="F10" s="192"/>
      <c r="G10" s="193"/>
      <c r="H10" s="194"/>
      <c r="I10" s="193"/>
      <c r="J10" s="194"/>
      <c r="K10" s="16"/>
      <c r="L10" s="16"/>
      <c r="M10" s="16"/>
      <c r="N10" s="215"/>
      <c r="S10" s="26"/>
      <c r="T10" s="26"/>
      <c r="U10" s="26"/>
      <c r="V10" s="26"/>
    </row>
    <row r="11" ht="17.1" customHeight="1" spans="1:22">
      <c r="A11" s="188">
        <v>10</v>
      </c>
      <c r="B11" s="189"/>
      <c r="C11" s="190"/>
      <c r="D11" s="190"/>
      <c r="E11" s="191"/>
      <c r="F11" s="192"/>
      <c r="G11" s="193"/>
      <c r="H11" s="194"/>
      <c r="I11" s="193"/>
      <c r="J11" s="194"/>
      <c r="K11" s="16"/>
      <c r="L11" s="16"/>
      <c r="M11" s="16"/>
      <c r="N11" s="215"/>
      <c r="S11" s="26"/>
      <c r="T11" s="26"/>
      <c r="U11" s="26"/>
      <c r="V11" s="26"/>
    </row>
    <row r="12" ht="17.1" customHeight="1" spans="1:22">
      <c r="A12" s="188">
        <v>11</v>
      </c>
      <c r="B12" s="189"/>
      <c r="C12" s="190"/>
      <c r="D12" s="190"/>
      <c r="E12" s="203"/>
      <c r="F12" s="192"/>
      <c r="G12" s="193"/>
      <c r="H12" s="204"/>
      <c r="I12" s="193"/>
      <c r="J12" s="16"/>
      <c r="K12" s="16"/>
      <c r="L12" s="16"/>
      <c r="M12" s="16"/>
      <c r="N12" s="215"/>
      <c r="S12" s="26"/>
      <c r="T12" s="26"/>
      <c r="U12" s="26"/>
      <c r="V12" s="26"/>
    </row>
    <row r="13" ht="17.1" customHeight="1" spans="1:22">
      <c r="A13" s="195">
        <v>12</v>
      </c>
      <c r="B13" s="196"/>
      <c r="C13" s="190"/>
      <c r="D13" s="197"/>
      <c r="E13" s="198"/>
      <c r="F13" s="192"/>
      <c r="G13" s="193"/>
      <c r="H13" s="194"/>
      <c r="I13" s="193"/>
      <c r="J13" s="16"/>
      <c r="K13" s="16"/>
      <c r="L13" s="16"/>
      <c r="M13" s="16"/>
      <c r="N13" s="215"/>
      <c r="S13" s="26"/>
      <c r="T13" s="26"/>
      <c r="U13" s="26"/>
      <c r="V13" s="26"/>
    </row>
    <row r="14" ht="17.1" customHeight="1" spans="1:22">
      <c r="A14" s="188">
        <v>13</v>
      </c>
      <c r="B14" s="189"/>
      <c r="C14" s="190"/>
      <c r="D14" s="190"/>
      <c r="E14" s="191"/>
      <c r="F14" s="192"/>
      <c r="G14" s="193"/>
      <c r="H14" s="194"/>
      <c r="I14" s="193"/>
      <c r="J14" s="16"/>
      <c r="K14" s="16"/>
      <c r="L14" s="16"/>
      <c r="M14" s="16"/>
      <c r="N14" s="215"/>
      <c r="S14" s="26"/>
      <c r="T14" s="26"/>
      <c r="U14" s="26"/>
      <c r="V14" s="26"/>
    </row>
    <row r="15" ht="17.1" customHeight="1" spans="1:22">
      <c r="A15" s="188">
        <v>14</v>
      </c>
      <c r="B15" s="189"/>
      <c r="C15" s="190"/>
      <c r="D15" s="190"/>
      <c r="E15" s="191"/>
      <c r="F15" s="192"/>
      <c r="G15" s="193"/>
      <c r="H15" s="194"/>
      <c r="I15" s="193"/>
      <c r="J15" s="16"/>
      <c r="K15" s="16"/>
      <c r="L15" s="16"/>
      <c r="M15" s="16"/>
      <c r="N15" s="215"/>
      <c r="S15" s="26"/>
      <c r="T15" s="26"/>
      <c r="U15" s="26"/>
      <c r="V15" s="26"/>
    </row>
    <row r="16" ht="20.85" customHeight="1" spans="1:22">
      <c r="A16" s="188">
        <v>15</v>
      </c>
      <c r="B16" s="189"/>
      <c r="C16" s="190"/>
      <c r="D16" s="190"/>
      <c r="E16" s="191"/>
      <c r="F16" s="192"/>
      <c r="G16" s="193"/>
      <c r="H16" s="194"/>
      <c r="I16" s="193"/>
      <c r="J16" s="16"/>
      <c r="K16" s="16"/>
      <c r="L16" s="16"/>
      <c r="M16" s="16"/>
      <c r="N16" s="215"/>
      <c r="S16" s="26"/>
      <c r="T16" s="26"/>
      <c r="U16" s="26"/>
      <c r="V16" s="26"/>
    </row>
    <row r="17" ht="17.1" customHeight="1" spans="1:22">
      <c r="A17" s="188">
        <v>16</v>
      </c>
      <c r="B17" s="189"/>
      <c r="C17" s="190"/>
      <c r="D17" s="190"/>
      <c r="E17" s="191"/>
      <c r="F17" s="192"/>
      <c r="G17" s="193"/>
      <c r="H17" s="194"/>
      <c r="I17" s="193"/>
      <c r="J17" s="16"/>
      <c r="K17" s="16"/>
      <c r="L17" s="16"/>
      <c r="M17" s="16"/>
      <c r="N17" s="215"/>
      <c r="S17" s="26"/>
      <c r="T17" s="26"/>
      <c r="U17" s="26"/>
      <c r="V17" s="26"/>
    </row>
    <row r="18" ht="17.1" customHeight="1" spans="1:22">
      <c r="A18" s="188">
        <v>17</v>
      </c>
      <c r="B18" s="189"/>
      <c r="C18" s="190"/>
      <c r="D18" s="190"/>
      <c r="E18" s="191"/>
      <c r="F18" s="192"/>
      <c r="G18" s="193"/>
      <c r="H18" s="194"/>
      <c r="I18" s="193"/>
      <c r="J18" s="16"/>
      <c r="K18" s="16"/>
      <c r="L18" s="16"/>
      <c r="M18" s="16"/>
      <c r="N18" s="215"/>
      <c r="S18" s="26"/>
      <c r="T18" s="26"/>
      <c r="U18" s="26"/>
      <c r="V18" s="26"/>
    </row>
    <row r="19" ht="17.1" customHeight="1" spans="1:22">
      <c r="A19" s="188">
        <v>18</v>
      </c>
      <c r="B19" s="189"/>
      <c r="C19" s="190"/>
      <c r="D19" s="190"/>
      <c r="E19" s="191"/>
      <c r="F19" s="192"/>
      <c r="G19" s="193"/>
      <c r="H19" s="194"/>
      <c r="I19" s="193"/>
      <c r="J19" s="16"/>
      <c r="K19" s="16"/>
      <c r="L19" s="16"/>
      <c r="M19" s="16"/>
      <c r="N19" s="215"/>
      <c r="S19" s="26"/>
      <c r="T19" s="26"/>
      <c r="U19" s="26"/>
      <c r="V19" s="26"/>
    </row>
    <row r="20" ht="17.1" customHeight="1" spans="1:22">
      <c r="A20" s="188">
        <v>19</v>
      </c>
      <c r="B20" s="189"/>
      <c r="C20" s="190"/>
      <c r="D20" s="190"/>
      <c r="E20" s="191"/>
      <c r="F20" s="192"/>
      <c r="G20" s="193"/>
      <c r="H20" s="194"/>
      <c r="I20" s="193"/>
      <c r="J20" s="16"/>
      <c r="K20" s="16"/>
      <c r="L20" s="16"/>
      <c r="M20" s="16"/>
      <c r="N20" s="215"/>
      <c r="S20" s="26"/>
      <c r="T20" s="26"/>
      <c r="U20" s="26"/>
      <c r="V20" s="26"/>
    </row>
    <row r="21" ht="17.1" customHeight="1" spans="1:22">
      <c r="A21" s="188">
        <v>20</v>
      </c>
      <c r="B21" s="189"/>
      <c r="C21" s="190"/>
      <c r="D21" s="190"/>
      <c r="E21" s="191"/>
      <c r="F21" s="192"/>
      <c r="G21" s="193"/>
      <c r="H21" s="194"/>
      <c r="I21" s="193"/>
      <c r="J21" s="16"/>
      <c r="K21" s="16"/>
      <c r="L21" s="16"/>
      <c r="M21" s="16"/>
      <c r="N21" s="215"/>
      <c r="S21" s="26"/>
      <c r="T21" s="26"/>
      <c r="U21" s="26"/>
      <c r="V21" s="26"/>
    </row>
    <row r="22" ht="17.1" customHeight="1" spans="1:22">
      <c r="A22" s="188">
        <v>21</v>
      </c>
      <c r="B22" s="189"/>
      <c r="C22" s="190"/>
      <c r="D22" s="190"/>
      <c r="E22" s="191"/>
      <c r="F22" s="192"/>
      <c r="G22" s="193"/>
      <c r="H22" s="194"/>
      <c r="I22" s="193"/>
      <c r="J22" s="16"/>
      <c r="K22" s="16"/>
      <c r="L22" s="16"/>
      <c r="M22" s="16"/>
      <c r="N22" s="215"/>
      <c r="S22" s="26"/>
      <c r="T22" s="26"/>
      <c r="U22" s="26"/>
      <c r="V22" s="26"/>
    </row>
    <row r="23" ht="17.1" customHeight="1" spans="1:22">
      <c r="A23" s="188">
        <v>22</v>
      </c>
      <c r="B23" s="189"/>
      <c r="C23" s="190"/>
      <c r="D23" s="190"/>
      <c r="E23" s="191"/>
      <c r="F23" s="192"/>
      <c r="G23" s="193"/>
      <c r="H23" s="194"/>
      <c r="I23" s="193"/>
      <c r="J23" s="16"/>
      <c r="K23" s="16"/>
      <c r="L23" s="16"/>
      <c r="M23" s="16"/>
      <c r="N23" s="215"/>
      <c r="S23" s="26"/>
      <c r="T23" s="26"/>
      <c r="U23" s="26"/>
      <c r="V23" s="26"/>
    </row>
    <row r="24" ht="17.1" customHeight="1" spans="1:22">
      <c r="A24" s="188">
        <v>23</v>
      </c>
      <c r="B24" s="189"/>
      <c r="C24" s="190"/>
      <c r="D24" s="190"/>
      <c r="E24" s="191"/>
      <c r="F24" s="192"/>
      <c r="G24" s="193"/>
      <c r="H24" s="194"/>
      <c r="I24" s="193"/>
      <c r="J24" s="16"/>
      <c r="K24" s="16"/>
      <c r="L24" s="16"/>
      <c r="M24" s="16"/>
      <c r="N24" s="215"/>
      <c r="S24" s="26"/>
      <c r="T24" s="26"/>
      <c r="U24" s="26"/>
      <c r="V24" s="26"/>
    </row>
    <row r="25" ht="17.1" customHeight="1" spans="1:22">
      <c r="A25" s="188">
        <v>24</v>
      </c>
      <c r="B25" s="189"/>
      <c r="C25" s="190"/>
      <c r="D25" s="190"/>
      <c r="E25" s="191"/>
      <c r="F25" s="192"/>
      <c r="G25" s="193"/>
      <c r="H25" s="194"/>
      <c r="I25" s="193"/>
      <c r="J25" s="16"/>
      <c r="K25" s="16"/>
      <c r="L25" s="16"/>
      <c r="M25" s="16"/>
      <c r="N25" s="215"/>
      <c r="S25" s="26"/>
      <c r="T25" s="26"/>
      <c r="U25" s="26"/>
      <c r="V25" s="26"/>
    </row>
    <row r="26" ht="17.1" customHeight="1" spans="1:22">
      <c r="A26" s="188">
        <v>25</v>
      </c>
      <c r="B26" s="189"/>
      <c r="C26" s="190"/>
      <c r="D26" s="190"/>
      <c r="E26" s="191"/>
      <c r="F26" s="192"/>
      <c r="G26" s="193"/>
      <c r="H26" s="194"/>
      <c r="I26" s="193"/>
      <c r="J26" s="16"/>
      <c r="K26" s="16"/>
      <c r="L26" s="16"/>
      <c r="M26" s="16"/>
      <c r="N26" s="215"/>
      <c r="S26" s="26"/>
      <c r="T26" s="26"/>
      <c r="U26" s="26"/>
      <c r="V26" s="26"/>
    </row>
    <row r="27" ht="17.1" customHeight="1" spans="1:22">
      <c r="A27" s="188">
        <v>26</v>
      </c>
      <c r="B27" s="189"/>
      <c r="C27" s="190"/>
      <c r="D27" s="190"/>
      <c r="E27" s="191"/>
      <c r="F27" s="192"/>
      <c r="G27" s="193"/>
      <c r="H27" s="194"/>
      <c r="I27" s="193"/>
      <c r="J27" s="16"/>
      <c r="K27" s="16"/>
      <c r="L27" s="16"/>
      <c r="M27" s="16"/>
      <c r="N27" s="215"/>
      <c r="S27" s="26"/>
      <c r="T27" s="26"/>
      <c r="U27" s="26"/>
      <c r="V27" s="26"/>
    </row>
    <row r="28" ht="17.1" customHeight="1" spans="1:22">
      <c r="A28" s="188">
        <v>27</v>
      </c>
      <c r="B28" s="189"/>
      <c r="C28" s="190"/>
      <c r="D28" s="190"/>
      <c r="E28" s="191"/>
      <c r="F28" s="192"/>
      <c r="G28" s="193"/>
      <c r="H28" s="194"/>
      <c r="I28" s="193"/>
      <c r="J28" s="16"/>
      <c r="K28" s="16"/>
      <c r="L28" s="16"/>
      <c r="M28" s="16"/>
      <c r="N28" s="215"/>
      <c r="S28" s="26"/>
      <c r="T28" s="26"/>
      <c r="U28" s="26"/>
      <c r="V28" s="26"/>
    </row>
    <row r="29" ht="17.1" customHeight="1" spans="1:22">
      <c r="A29" s="188">
        <v>28</v>
      </c>
      <c r="B29" s="189"/>
      <c r="C29" s="190"/>
      <c r="D29" s="190"/>
      <c r="E29" s="191"/>
      <c r="F29" s="192"/>
      <c r="G29" s="193"/>
      <c r="H29" s="194"/>
      <c r="I29" s="193"/>
      <c r="J29" s="16"/>
      <c r="K29" s="16"/>
      <c r="L29" s="16"/>
      <c r="M29" s="16"/>
      <c r="N29" s="215"/>
      <c r="S29" s="26"/>
      <c r="T29" s="26"/>
      <c r="U29" s="26"/>
      <c r="V29" s="26"/>
    </row>
    <row r="30" ht="17.1" customHeight="1" spans="1:22">
      <c r="A30" s="188">
        <v>29</v>
      </c>
      <c r="B30" s="189"/>
      <c r="C30" s="190"/>
      <c r="D30" s="190"/>
      <c r="E30" s="191"/>
      <c r="F30" s="192"/>
      <c r="G30" s="193"/>
      <c r="H30" s="194"/>
      <c r="I30" s="193"/>
      <c r="J30" s="16"/>
      <c r="K30" s="16"/>
      <c r="L30" s="16"/>
      <c r="M30" s="16"/>
      <c r="N30" s="215"/>
      <c r="S30" s="26"/>
      <c r="T30" s="26"/>
      <c r="U30" s="26"/>
      <c r="V30" s="26"/>
    </row>
    <row r="31" ht="17.1" customHeight="1" spans="1:22">
      <c r="A31" s="188">
        <v>30</v>
      </c>
      <c r="B31" s="189"/>
      <c r="C31" s="190"/>
      <c r="D31" s="190"/>
      <c r="E31" s="191"/>
      <c r="F31" s="192"/>
      <c r="G31" s="193"/>
      <c r="H31" s="194"/>
      <c r="I31" s="193"/>
      <c r="J31" s="16"/>
      <c r="K31" s="16"/>
      <c r="L31" s="16"/>
      <c r="M31" s="16"/>
      <c r="N31" s="215"/>
      <c r="S31" s="26"/>
      <c r="T31" s="26"/>
      <c r="U31" s="26"/>
      <c r="V31" s="26"/>
    </row>
    <row r="32" ht="17.1" customHeight="1" spans="1:22">
      <c r="A32" s="205"/>
      <c r="B32" s="206" t="s">
        <v>108</v>
      </c>
      <c r="C32" s="207"/>
      <c r="D32" s="207"/>
      <c r="E32" s="205"/>
      <c r="F32" s="208"/>
      <c r="G32" s="193"/>
      <c r="H32" s="194"/>
      <c r="I32" s="193"/>
      <c r="J32" s="16"/>
      <c r="K32" s="16"/>
      <c r="L32" s="16"/>
      <c r="M32" s="16"/>
      <c r="N32" s="215"/>
      <c r="O32" s="216"/>
      <c r="P32" s="216"/>
      <c r="Q32" s="216"/>
      <c r="R32" s="216"/>
      <c r="S32" s="26"/>
      <c r="T32" s="26"/>
      <c r="U32" s="26"/>
      <c r="V32" s="26"/>
    </row>
    <row r="33" ht="17.1" customHeight="1" spans="15:18">
      <c r="O33"/>
      <c r="P33"/>
      <c r="Q33"/>
      <c r="R33"/>
    </row>
    <row r="34" ht="17.1" customHeight="1" spans="15:18">
      <c r="O34"/>
      <c r="P34"/>
      <c r="Q34"/>
      <c r="R34"/>
    </row>
    <row r="35" s="183" customFormat="1" ht="25.95" customHeight="1" spans="1:5">
      <c r="A35" s="209"/>
      <c r="B35" s="210"/>
      <c r="C35" s="210"/>
      <c r="D35" s="210"/>
      <c r="E35" s="210"/>
    </row>
    <row r="36" spans="2:18">
      <c r="B36" s="211"/>
      <c r="O36"/>
      <c r="P36"/>
      <c r="Q36"/>
      <c r="R36"/>
    </row>
    <row r="37" spans="1:18">
      <c r="A37" s="1">
        <v>1</v>
      </c>
      <c r="B37" s="211"/>
      <c r="O37"/>
      <c r="P37"/>
      <c r="Q37"/>
      <c r="R37"/>
    </row>
    <row r="38" spans="1:18">
      <c r="A38" s="1">
        <v>2</v>
      </c>
      <c r="B38" s="211"/>
      <c r="O38"/>
      <c r="P38"/>
      <c r="Q38"/>
      <c r="R38"/>
    </row>
    <row r="39" spans="1:18">
      <c r="A39" s="1">
        <v>3</v>
      </c>
      <c r="B39" s="211"/>
      <c r="O39"/>
      <c r="P39"/>
      <c r="Q39"/>
      <c r="R39"/>
    </row>
    <row r="40" spans="1:18">
      <c r="A40" s="1">
        <v>4</v>
      </c>
      <c r="B40" s="211"/>
      <c r="O40"/>
      <c r="P40"/>
      <c r="Q40"/>
      <c r="R40"/>
    </row>
    <row r="41" spans="1:18">
      <c r="A41" s="1">
        <v>5</v>
      </c>
      <c r="B41" s="211"/>
      <c r="O41"/>
      <c r="P41"/>
      <c r="Q41"/>
      <c r="R41"/>
    </row>
    <row r="42" spans="1:18">
      <c r="A42" s="1">
        <v>6</v>
      </c>
      <c r="B42" s="211"/>
      <c r="O42"/>
      <c r="P42"/>
      <c r="Q42"/>
      <c r="R42"/>
    </row>
    <row r="43" spans="1:18">
      <c r="A43" s="1">
        <v>7</v>
      </c>
      <c r="B43" s="211"/>
      <c r="O43"/>
      <c r="P43"/>
      <c r="Q43"/>
      <c r="R43"/>
    </row>
    <row r="44" spans="1:18">
      <c r="A44" s="1">
        <v>8</v>
      </c>
      <c r="B44" s="211"/>
      <c r="O44"/>
      <c r="P44"/>
      <c r="Q44"/>
      <c r="R44"/>
    </row>
    <row r="45" spans="1:18">
      <c r="A45" s="1">
        <v>9</v>
      </c>
      <c r="B45" s="212"/>
      <c r="O45"/>
      <c r="P45"/>
      <c r="Q45"/>
      <c r="R45"/>
    </row>
    <row r="46" spans="1:18">
      <c r="A46" s="1">
        <v>10</v>
      </c>
      <c r="B46" s="212"/>
      <c r="O46"/>
      <c r="P46"/>
      <c r="Q46"/>
      <c r="R46"/>
    </row>
    <row r="47" spans="15:18">
      <c r="O47"/>
      <c r="P47"/>
      <c r="Q47"/>
      <c r="R47"/>
    </row>
    <row r="48" spans="15:18">
      <c r="O48"/>
      <c r="P48"/>
      <c r="Q48"/>
      <c r="R48"/>
    </row>
    <row r="49" spans="15:18">
      <c r="O49"/>
      <c r="P49"/>
      <c r="Q49"/>
      <c r="R49"/>
    </row>
    <row r="50" spans="15:18">
      <c r="O50"/>
      <c r="P50"/>
      <c r="Q50"/>
      <c r="R50"/>
    </row>
    <row r="51" spans="15:18">
      <c r="O51"/>
      <c r="P51"/>
      <c r="Q51"/>
      <c r="R51"/>
    </row>
    <row r="52" spans="15:18">
      <c r="O52"/>
      <c r="P52"/>
      <c r="Q52"/>
      <c r="R52"/>
    </row>
    <row r="53" spans="15:18">
      <c r="O53"/>
      <c r="P53"/>
      <c r="Q53"/>
      <c r="R53"/>
    </row>
    <row r="54" spans="15:18">
      <c r="O54"/>
      <c r="P54"/>
      <c r="Q54"/>
      <c r="R54"/>
    </row>
    <row r="55" spans="15:18">
      <c r="O55"/>
      <c r="P55"/>
      <c r="Q55"/>
      <c r="R55"/>
    </row>
    <row r="56" spans="15:18">
      <c r="O56"/>
      <c r="P56"/>
      <c r="Q56"/>
      <c r="R56"/>
    </row>
    <row r="57" spans="15:18">
      <c r="O57"/>
      <c r="P57"/>
      <c r="Q57"/>
      <c r="R57"/>
    </row>
    <row r="58" spans="15:18">
      <c r="O58"/>
      <c r="P58"/>
      <c r="Q58"/>
      <c r="R58"/>
    </row>
    <row r="59" spans="15:18">
      <c r="O59"/>
      <c r="P59"/>
      <c r="Q59"/>
      <c r="R59"/>
    </row>
    <row r="60" spans="15:18">
      <c r="O60"/>
      <c r="P60"/>
      <c r="Q60"/>
      <c r="R60"/>
    </row>
    <row r="61" spans="15:18">
      <c r="O61"/>
      <c r="P61"/>
      <c r="Q61"/>
      <c r="R61"/>
    </row>
    <row r="62" spans="15:18">
      <c r="O62"/>
      <c r="P62"/>
      <c r="Q62"/>
      <c r="R62"/>
    </row>
    <row r="63" spans="15:18">
      <c r="O63"/>
      <c r="P63"/>
      <c r="Q63"/>
      <c r="R63"/>
    </row>
    <row r="64" spans="15:18">
      <c r="O64"/>
      <c r="P64"/>
      <c r="Q64"/>
      <c r="R64"/>
    </row>
    <row r="65" spans="15:18">
      <c r="O65"/>
      <c r="P65"/>
      <c r="Q65"/>
      <c r="R65"/>
    </row>
    <row r="66" spans="15:18">
      <c r="O66"/>
      <c r="P66"/>
      <c r="Q66"/>
      <c r="R66"/>
    </row>
    <row r="67" spans="15:18">
      <c r="O67"/>
      <c r="P67"/>
      <c r="Q67"/>
      <c r="R67"/>
    </row>
    <row r="68" spans="15:18">
      <c r="O68"/>
      <c r="P68"/>
      <c r="Q68"/>
      <c r="R68"/>
    </row>
    <row r="69" spans="15:18">
      <c r="O69"/>
      <c r="P69"/>
      <c r="Q69"/>
      <c r="R69"/>
    </row>
    <row r="70" spans="15:18">
      <c r="O70"/>
      <c r="P70"/>
      <c r="Q70"/>
      <c r="R70"/>
    </row>
    <row r="71" spans="15:18">
      <c r="O71"/>
      <c r="P71"/>
      <c r="Q71"/>
      <c r="R71"/>
    </row>
    <row r="72" spans="15:18">
      <c r="O72"/>
      <c r="P72"/>
      <c r="Q72"/>
      <c r="R72"/>
    </row>
    <row r="73" spans="15:18">
      <c r="O73"/>
      <c r="P73"/>
      <c r="Q73"/>
      <c r="R73"/>
    </row>
    <row r="74" spans="15:18">
      <c r="O74"/>
      <c r="P74"/>
      <c r="Q74"/>
      <c r="R74"/>
    </row>
    <row r="75" spans="15:18">
      <c r="O75"/>
      <c r="P75"/>
      <c r="Q75"/>
      <c r="R75"/>
    </row>
    <row r="76" spans="15:18">
      <c r="O76"/>
      <c r="P76"/>
      <c r="Q76"/>
      <c r="R76"/>
    </row>
    <row r="77" spans="15:18">
      <c r="O77"/>
      <c r="P77"/>
      <c r="Q77"/>
      <c r="R77"/>
    </row>
    <row r="78" spans="15:18">
      <c r="O78"/>
      <c r="P78"/>
      <c r="Q78"/>
      <c r="R78"/>
    </row>
    <row r="79" spans="15:18">
      <c r="O79"/>
      <c r="P79"/>
      <c r="Q79"/>
      <c r="R79"/>
    </row>
    <row r="80" spans="15:18">
      <c r="O80"/>
      <c r="P80"/>
      <c r="Q80"/>
      <c r="R80"/>
    </row>
    <row r="81" spans="15:18">
      <c r="O81"/>
      <c r="P81"/>
      <c r="Q81"/>
      <c r="R81"/>
    </row>
    <row r="82" spans="15:18">
      <c r="O82"/>
      <c r="P82"/>
      <c r="Q82"/>
      <c r="R82"/>
    </row>
    <row r="83" spans="15:18">
      <c r="O83"/>
      <c r="P83"/>
      <c r="Q83"/>
      <c r="R83"/>
    </row>
    <row r="84" spans="15:18">
      <c r="O84"/>
      <c r="P84"/>
      <c r="Q84"/>
      <c r="R84"/>
    </row>
    <row r="85" spans="15:18">
      <c r="O85"/>
      <c r="P85"/>
      <c r="Q85"/>
      <c r="R85"/>
    </row>
    <row r="86" spans="15:18">
      <c r="O86"/>
      <c r="P86"/>
      <c r="Q86"/>
      <c r="R86"/>
    </row>
    <row r="87" spans="15:18">
      <c r="O87"/>
      <c r="P87"/>
      <c r="Q87"/>
      <c r="R87"/>
    </row>
    <row r="88" spans="15:18">
      <c r="O88"/>
      <c r="P88"/>
      <c r="Q88"/>
      <c r="R88"/>
    </row>
    <row r="89" spans="15:18">
      <c r="O89"/>
      <c r="P89"/>
      <c r="Q89"/>
      <c r="R89"/>
    </row>
    <row r="90" spans="15:18">
      <c r="O90"/>
      <c r="P90"/>
      <c r="Q90"/>
      <c r="R90"/>
    </row>
    <row r="91" spans="15:18">
      <c r="O91"/>
      <c r="P91"/>
      <c r="Q91"/>
      <c r="R91"/>
    </row>
    <row r="92" spans="15:18">
      <c r="O92"/>
      <c r="P92"/>
      <c r="Q92"/>
      <c r="R92"/>
    </row>
    <row r="93" spans="15:18">
      <c r="O93"/>
      <c r="P93"/>
      <c r="Q93"/>
      <c r="R93"/>
    </row>
    <row r="94" spans="15:18">
      <c r="O94"/>
      <c r="P94"/>
      <c r="Q94"/>
      <c r="R94"/>
    </row>
    <row r="95" spans="15:18">
      <c r="O95"/>
      <c r="P95"/>
      <c r="Q95"/>
      <c r="R95"/>
    </row>
    <row r="96" spans="15:18">
      <c r="O96"/>
      <c r="P96"/>
      <c r="Q96"/>
      <c r="R96"/>
    </row>
    <row r="97" spans="15:18">
      <c r="O97"/>
      <c r="P97"/>
      <c r="Q97"/>
      <c r="R97"/>
    </row>
    <row r="98" spans="15:18">
      <c r="O98"/>
      <c r="P98"/>
      <c r="Q98"/>
      <c r="R98"/>
    </row>
    <row r="99" spans="15:18">
      <c r="O99"/>
      <c r="P99"/>
      <c r="Q99"/>
      <c r="R99"/>
    </row>
    <row r="100" spans="15:18">
      <c r="O100"/>
      <c r="P100"/>
      <c r="Q100"/>
      <c r="R100"/>
    </row>
    <row r="101" spans="15:18">
      <c r="O101"/>
      <c r="P101"/>
      <c r="Q101"/>
      <c r="R101"/>
    </row>
    <row r="102" spans="15:18">
      <c r="O102"/>
      <c r="P102"/>
      <c r="Q102"/>
      <c r="R102"/>
    </row>
    <row r="103" spans="15:18">
      <c r="O103"/>
      <c r="P103"/>
      <c r="Q103"/>
      <c r="R103"/>
    </row>
    <row r="104" spans="15:18">
      <c r="O104"/>
      <c r="P104"/>
      <c r="Q104"/>
      <c r="R104"/>
    </row>
    <row r="105" spans="15:18">
      <c r="O105"/>
      <c r="P105"/>
      <c r="Q105"/>
      <c r="R105"/>
    </row>
    <row r="106" spans="15:18">
      <c r="O106"/>
      <c r="P106"/>
      <c r="Q106"/>
      <c r="R106"/>
    </row>
    <row r="107" spans="15:18">
      <c r="O107"/>
      <c r="P107"/>
      <c r="Q107"/>
      <c r="R107"/>
    </row>
    <row r="108" spans="15:18">
      <c r="O108"/>
      <c r="P108"/>
      <c r="Q108"/>
      <c r="R108"/>
    </row>
    <row r="109" spans="15:18">
      <c r="O109"/>
      <c r="P109"/>
      <c r="Q109"/>
      <c r="R109"/>
    </row>
    <row r="110" spans="15:18">
      <c r="O110"/>
      <c r="P110"/>
      <c r="Q110"/>
      <c r="R110"/>
    </row>
    <row r="111" spans="15:18">
      <c r="O111"/>
      <c r="P111"/>
      <c r="Q111"/>
      <c r="R111"/>
    </row>
    <row r="112" spans="15:18">
      <c r="O112"/>
      <c r="P112"/>
      <c r="Q112"/>
      <c r="R112"/>
    </row>
    <row r="113" spans="15:18">
      <c r="O113"/>
      <c r="P113"/>
      <c r="Q113"/>
      <c r="R113"/>
    </row>
    <row r="114" spans="15:18">
      <c r="O114"/>
      <c r="P114"/>
      <c r="Q114"/>
      <c r="R114"/>
    </row>
    <row r="115" spans="15:18">
      <c r="O115"/>
      <c r="P115"/>
      <c r="Q115"/>
      <c r="R115"/>
    </row>
    <row r="116" spans="15:18">
      <c r="O116"/>
      <c r="P116"/>
      <c r="Q116"/>
      <c r="R116"/>
    </row>
    <row r="117" spans="15:18">
      <c r="O117"/>
      <c r="P117"/>
      <c r="Q117"/>
      <c r="R117"/>
    </row>
    <row r="118" spans="15:18">
      <c r="O118"/>
      <c r="P118"/>
      <c r="Q118"/>
      <c r="R118"/>
    </row>
    <row r="119" spans="15:18">
      <c r="O119"/>
      <c r="P119"/>
      <c r="Q119"/>
      <c r="R119"/>
    </row>
    <row r="120" spans="15:18">
      <c r="O120"/>
      <c r="P120"/>
      <c r="Q120"/>
      <c r="R120"/>
    </row>
    <row r="121" spans="15:18">
      <c r="O121"/>
      <c r="P121"/>
      <c r="Q121"/>
      <c r="R121"/>
    </row>
    <row r="122" spans="15:18">
      <c r="O122"/>
      <c r="P122"/>
      <c r="Q122"/>
      <c r="R122"/>
    </row>
    <row r="123" spans="15:18">
      <c r="O123"/>
      <c r="P123"/>
      <c r="Q123"/>
      <c r="R123"/>
    </row>
    <row r="124" spans="15:18">
      <c r="O124"/>
      <c r="P124"/>
      <c r="Q124"/>
      <c r="R124"/>
    </row>
    <row r="125" spans="15:18">
      <c r="O125"/>
      <c r="P125"/>
      <c r="Q125"/>
      <c r="R125"/>
    </row>
    <row r="126" spans="15:18">
      <c r="O126"/>
      <c r="P126"/>
      <c r="Q126"/>
      <c r="R126"/>
    </row>
    <row r="127" spans="15:18">
      <c r="O127"/>
      <c r="P127"/>
      <c r="Q127"/>
      <c r="R127"/>
    </row>
    <row r="128" spans="15:18">
      <c r="O128"/>
      <c r="P128"/>
      <c r="Q128"/>
      <c r="R128"/>
    </row>
    <row r="129" spans="15:18">
      <c r="O129"/>
      <c r="P129"/>
      <c r="Q129"/>
      <c r="R129"/>
    </row>
    <row r="130" spans="15:18">
      <c r="O130"/>
      <c r="P130"/>
      <c r="Q130"/>
      <c r="R130"/>
    </row>
    <row r="131" spans="15:18">
      <c r="O131"/>
      <c r="P131"/>
      <c r="Q131"/>
      <c r="R131"/>
    </row>
    <row r="132" spans="15:18">
      <c r="O132"/>
      <c r="P132"/>
      <c r="Q132"/>
      <c r="R132"/>
    </row>
    <row r="133" spans="15:18">
      <c r="O133"/>
      <c r="P133"/>
      <c r="Q133"/>
      <c r="R133"/>
    </row>
    <row r="134" spans="15:18">
      <c r="O134"/>
      <c r="P134"/>
      <c r="Q134"/>
      <c r="R134"/>
    </row>
    <row r="135" spans="15:18">
      <c r="O135"/>
      <c r="P135"/>
      <c r="Q135"/>
      <c r="R135"/>
    </row>
    <row r="136" spans="15:18">
      <c r="O136"/>
      <c r="P136"/>
      <c r="Q136"/>
      <c r="R136"/>
    </row>
    <row r="137" spans="15:18">
      <c r="O137"/>
      <c r="P137"/>
      <c r="Q137"/>
      <c r="R137"/>
    </row>
    <row r="138" spans="15:18">
      <c r="O138"/>
      <c r="P138"/>
      <c r="Q138"/>
      <c r="R138"/>
    </row>
    <row r="139" spans="15:18">
      <c r="O139"/>
      <c r="P139"/>
      <c r="Q139"/>
      <c r="R139"/>
    </row>
    <row r="140" spans="15:18">
      <c r="O140"/>
      <c r="P140"/>
      <c r="Q140"/>
      <c r="R140"/>
    </row>
    <row r="141" spans="15:18">
      <c r="O141"/>
      <c r="P141"/>
      <c r="Q141"/>
      <c r="R141"/>
    </row>
    <row r="142" spans="15:18">
      <c r="O142"/>
      <c r="P142"/>
      <c r="Q142"/>
      <c r="R142"/>
    </row>
    <row r="143" spans="15:18">
      <c r="O143"/>
      <c r="P143"/>
      <c r="Q143"/>
      <c r="R143"/>
    </row>
    <row r="144" spans="15:18">
      <c r="O144"/>
      <c r="P144"/>
      <c r="Q144"/>
      <c r="R144"/>
    </row>
    <row r="145" spans="15:18">
      <c r="O145"/>
      <c r="P145"/>
      <c r="Q145"/>
      <c r="R145"/>
    </row>
    <row r="146" spans="15:18">
      <c r="O146"/>
      <c r="P146"/>
      <c r="Q146"/>
      <c r="R146"/>
    </row>
    <row r="147" spans="15:18">
      <c r="O147"/>
      <c r="P147"/>
      <c r="Q147"/>
      <c r="R147"/>
    </row>
    <row r="148" spans="15:18">
      <c r="O148"/>
      <c r="P148"/>
      <c r="Q148"/>
      <c r="R148"/>
    </row>
    <row r="149" spans="15:18">
      <c r="O149"/>
      <c r="P149"/>
      <c r="Q149"/>
      <c r="R149"/>
    </row>
    <row r="150" spans="15:18">
      <c r="O150"/>
      <c r="P150"/>
      <c r="Q150"/>
      <c r="R150"/>
    </row>
    <row r="151" spans="15:18">
      <c r="O151"/>
      <c r="P151"/>
      <c r="Q151"/>
      <c r="R151"/>
    </row>
    <row r="152" spans="15:18">
      <c r="O152"/>
      <c r="P152"/>
      <c r="Q152"/>
      <c r="R152"/>
    </row>
    <row r="153" spans="15:18">
      <c r="O153"/>
      <c r="P153"/>
      <c r="Q153"/>
      <c r="R153"/>
    </row>
    <row r="154" spans="15:18">
      <c r="O154"/>
      <c r="P154"/>
      <c r="Q154"/>
      <c r="R154"/>
    </row>
    <row r="155" spans="15:18">
      <c r="O155"/>
      <c r="P155"/>
      <c r="Q155"/>
      <c r="R155"/>
    </row>
    <row r="156" spans="15:18">
      <c r="O156"/>
      <c r="P156"/>
      <c r="Q156"/>
      <c r="R156"/>
    </row>
    <row r="157" spans="15:18">
      <c r="O157"/>
      <c r="P157"/>
      <c r="Q157"/>
      <c r="R157"/>
    </row>
    <row r="158" spans="15:18">
      <c r="O158"/>
      <c r="P158"/>
      <c r="Q158"/>
      <c r="R158"/>
    </row>
    <row r="159" spans="15:18">
      <c r="O159"/>
      <c r="P159"/>
      <c r="Q159"/>
      <c r="R159"/>
    </row>
    <row r="160" spans="15:18">
      <c r="O160"/>
      <c r="P160"/>
      <c r="Q160"/>
      <c r="R160"/>
    </row>
    <row r="161" spans="15:18">
      <c r="O161"/>
      <c r="P161"/>
      <c r="Q161"/>
      <c r="R161"/>
    </row>
    <row r="162" spans="15:18">
      <c r="O162"/>
      <c r="P162"/>
      <c r="Q162"/>
      <c r="R162"/>
    </row>
    <row r="163" spans="15:18">
      <c r="O163"/>
      <c r="P163"/>
      <c r="Q163"/>
      <c r="R163"/>
    </row>
    <row r="164" spans="15:18">
      <c r="O164"/>
      <c r="P164"/>
      <c r="Q164"/>
      <c r="R164"/>
    </row>
    <row r="165" spans="15:18">
      <c r="O165"/>
      <c r="P165"/>
      <c r="Q165"/>
      <c r="R165"/>
    </row>
    <row r="166" spans="15:18">
      <c r="O166"/>
      <c r="P166"/>
      <c r="Q166"/>
      <c r="R166"/>
    </row>
    <row r="167" spans="15:18">
      <c r="O167"/>
      <c r="P167"/>
      <c r="Q167"/>
      <c r="R167"/>
    </row>
    <row r="168" spans="15:18">
      <c r="O168"/>
      <c r="P168"/>
      <c r="Q168"/>
      <c r="R168"/>
    </row>
    <row r="169" spans="15:18">
      <c r="O169"/>
      <c r="P169"/>
      <c r="Q169"/>
      <c r="R169"/>
    </row>
    <row r="170" spans="15:18">
      <c r="O170"/>
      <c r="P170"/>
      <c r="Q170"/>
      <c r="R170"/>
    </row>
    <row r="171" spans="15:18">
      <c r="O171"/>
      <c r="P171"/>
      <c r="Q171"/>
      <c r="R171"/>
    </row>
    <row r="172" spans="15:18">
      <c r="O172"/>
      <c r="P172"/>
      <c r="Q172"/>
      <c r="R172"/>
    </row>
    <row r="173" spans="15:18">
      <c r="O173"/>
      <c r="P173"/>
      <c r="Q173"/>
      <c r="R173"/>
    </row>
    <row r="174" spans="15:18">
      <c r="O174"/>
      <c r="P174"/>
      <c r="Q174"/>
      <c r="R174"/>
    </row>
    <row r="175" spans="15:18">
      <c r="O175"/>
      <c r="P175"/>
      <c r="Q175"/>
      <c r="R175"/>
    </row>
    <row r="176" spans="15:18">
      <c r="O176"/>
      <c r="P176"/>
      <c r="Q176"/>
      <c r="R176"/>
    </row>
    <row r="177" spans="15:18">
      <c r="O177"/>
      <c r="P177"/>
      <c r="Q177"/>
      <c r="R177"/>
    </row>
    <row r="178" spans="15:18">
      <c r="O178"/>
      <c r="P178"/>
      <c r="Q178"/>
      <c r="R178"/>
    </row>
    <row r="179" spans="15:18">
      <c r="O179"/>
      <c r="P179"/>
      <c r="Q179"/>
      <c r="R179"/>
    </row>
    <row r="180" spans="15:18">
      <c r="O180"/>
      <c r="P180"/>
      <c r="Q180"/>
      <c r="R180"/>
    </row>
    <row r="181" spans="15:18">
      <c r="O181"/>
      <c r="P181"/>
      <c r="Q181"/>
      <c r="R181"/>
    </row>
    <row r="182" spans="15:18">
      <c r="O182"/>
      <c r="P182"/>
      <c r="Q182"/>
      <c r="R182"/>
    </row>
    <row r="183" spans="15:18">
      <c r="O183"/>
      <c r="P183"/>
      <c r="Q183"/>
      <c r="R183"/>
    </row>
    <row r="184" spans="15:18">
      <c r="O184"/>
      <c r="P184"/>
      <c r="Q184"/>
      <c r="R184"/>
    </row>
    <row r="185" spans="15:18">
      <c r="O185"/>
      <c r="P185"/>
      <c r="Q185"/>
      <c r="R185"/>
    </row>
    <row r="186" spans="15:18">
      <c r="O186"/>
      <c r="P186"/>
      <c r="Q186"/>
      <c r="R186"/>
    </row>
    <row r="187" spans="15:18">
      <c r="O187"/>
      <c r="P187"/>
      <c r="Q187"/>
      <c r="R187"/>
    </row>
    <row r="188" spans="15:18">
      <c r="O188"/>
      <c r="P188"/>
      <c r="Q188"/>
      <c r="R188"/>
    </row>
    <row r="189" spans="15:18">
      <c r="O189"/>
      <c r="P189"/>
      <c r="Q189"/>
      <c r="R189"/>
    </row>
    <row r="190" spans="15:18">
      <c r="O190"/>
      <c r="P190"/>
      <c r="Q190"/>
      <c r="R190"/>
    </row>
    <row r="191" spans="15:18">
      <c r="O191"/>
      <c r="P191"/>
      <c r="Q191"/>
      <c r="R191"/>
    </row>
    <row r="192" spans="15:18">
      <c r="O192"/>
      <c r="P192"/>
      <c r="Q192"/>
      <c r="R192"/>
    </row>
    <row r="193" spans="15:18">
      <c r="O193"/>
      <c r="P193"/>
      <c r="Q193"/>
      <c r="R193"/>
    </row>
    <row r="194" spans="15:18">
      <c r="O194"/>
      <c r="P194"/>
      <c r="Q194"/>
      <c r="R194"/>
    </row>
    <row r="195" spans="15:18">
      <c r="O195"/>
      <c r="P195"/>
      <c r="Q195"/>
      <c r="R195"/>
    </row>
    <row r="196" spans="15:18">
      <c r="O196"/>
      <c r="P196"/>
      <c r="Q196"/>
      <c r="R196"/>
    </row>
    <row r="197" spans="15:18">
      <c r="O197"/>
      <c r="P197"/>
      <c r="Q197"/>
      <c r="R197"/>
    </row>
    <row r="198" spans="15:18">
      <c r="O198"/>
      <c r="P198"/>
      <c r="Q198"/>
      <c r="R198"/>
    </row>
    <row r="199" spans="15:18">
      <c r="O199"/>
      <c r="P199"/>
      <c r="Q199"/>
      <c r="R199"/>
    </row>
    <row r="200" spans="15:18">
      <c r="O200"/>
      <c r="P200"/>
      <c r="Q200"/>
      <c r="R200"/>
    </row>
    <row r="201" spans="15:18">
      <c r="O201"/>
      <c r="P201"/>
      <c r="Q201"/>
      <c r="R201"/>
    </row>
    <row r="202" spans="15:18">
      <c r="O202"/>
      <c r="P202"/>
      <c r="Q202"/>
      <c r="R202"/>
    </row>
    <row r="203" spans="15:18">
      <c r="O203"/>
      <c r="P203"/>
      <c r="Q203"/>
      <c r="R203"/>
    </row>
    <row r="204" spans="15:18">
      <c r="O204"/>
      <c r="P204"/>
      <c r="Q204"/>
      <c r="R204"/>
    </row>
    <row r="205" spans="15:18">
      <c r="O205"/>
      <c r="P205"/>
      <c r="Q205"/>
      <c r="R205"/>
    </row>
    <row r="206" spans="15:18">
      <c r="O206"/>
      <c r="P206"/>
      <c r="Q206"/>
      <c r="R206"/>
    </row>
    <row r="207" spans="15:18">
      <c r="O207"/>
      <c r="P207"/>
      <c r="Q207"/>
      <c r="R207"/>
    </row>
    <row r="208" spans="15:18">
      <c r="O208"/>
      <c r="P208"/>
      <c r="Q208"/>
      <c r="R208"/>
    </row>
    <row r="209" spans="15:18">
      <c r="O209"/>
      <c r="P209"/>
      <c r="Q209"/>
      <c r="R209"/>
    </row>
    <row r="210" spans="15:18">
      <c r="O210"/>
      <c r="P210"/>
      <c r="Q210"/>
      <c r="R210"/>
    </row>
    <row r="211" spans="15:18">
      <c r="O211"/>
      <c r="P211"/>
      <c r="Q211"/>
      <c r="R211"/>
    </row>
    <row r="212" spans="15:18">
      <c r="O212"/>
      <c r="P212"/>
      <c r="Q212"/>
      <c r="R212"/>
    </row>
    <row r="213" spans="15:18">
      <c r="O213"/>
      <c r="P213"/>
      <c r="Q213"/>
      <c r="R213"/>
    </row>
    <row r="214" spans="15:18">
      <c r="O214"/>
      <c r="P214"/>
      <c r="Q214"/>
      <c r="R214"/>
    </row>
    <row r="215" spans="15:18">
      <c r="O215"/>
      <c r="P215"/>
      <c r="Q215"/>
      <c r="R215"/>
    </row>
    <row r="216" spans="15:18">
      <c r="O216"/>
      <c r="P216"/>
      <c r="Q216"/>
      <c r="R216"/>
    </row>
    <row r="217" spans="15:18">
      <c r="O217"/>
      <c r="P217"/>
      <c r="Q217"/>
      <c r="R217"/>
    </row>
    <row r="218" spans="15:18">
      <c r="O218"/>
      <c r="P218"/>
      <c r="Q218"/>
      <c r="R218"/>
    </row>
    <row r="219" spans="15:18">
      <c r="O219"/>
      <c r="P219"/>
      <c r="Q219"/>
      <c r="R219"/>
    </row>
    <row r="220" spans="15:18">
      <c r="O220"/>
      <c r="P220"/>
      <c r="Q220"/>
      <c r="R220"/>
    </row>
    <row r="221" spans="15:18">
      <c r="O221"/>
      <c r="P221"/>
      <c r="Q221"/>
      <c r="R221"/>
    </row>
    <row r="222" spans="15:18">
      <c r="O222"/>
      <c r="P222"/>
      <c r="Q222"/>
      <c r="R222"/>
    </row>
    <row r="223" spans="15:18">
      <c r="O223"/>
      <c r="P223"/>
      <c r="Q223"/>
      <c r="R223"/>
    </row>
    <row r="224" spans="15:18">
      <c r="O224"/>
      <c r="P224"/>
      <c r="Q224"/>
      <c r="R224"/>
    </row>
    <row r="225" spans="15:18">
      <c r="O225"/>
      <c r="P225"/>
      <c r="Q225"/>
      <c r="R225"/>
    </row>
    <row r="226" spans="15:18">
      <c r="O226"/>
      <c r="P226"/>
      <c r="Q226"/>
      <c r="R226"/>
    </row>
    <row r="227" spans="15:18">
      <c r="O227"/>
      <c r="P227"/>
      <c r="Q227"/>
      <c r="R227"/>
    </row>
    <row r="228" spans="15:18">
      <c r="O228"/>
      <c r="P228"/>
      <c r="Q228"/>
      <c r="R228"/>
    </row>
    <row r="229" spans="15:18">
      <c r="O229"/>
      <c r="P229"/>
      <c r="Q229"/>
      <c r="R229"/>
    </row>
    <row r="230" spans="15:18">
      <c r="O230"/>
      <c r="P230"/>
      <c r="Q230"/>
      <c r="R230"/>
    </row>
    <row r="231" spans="15:18">
      <c r="O231"/>
      <c r="P231"/>
      <c r="Q231"/>
      <c r="R231"/>
    </row>
    <row r="232" spans="15:18">
      <c r="O232"/>
      <c r="P232"/>
      <c r="Q232"/>
      <c r="R232"/>
    </row>
    <row r="233" spans="15:18">
      <c r="O233"/>
      <c r="P233"/>
      <c r="Q233"/>
      <c r="R233"/>
    </row>
    <row r="234" spans="15:18">
      <c r="O234"/>
      <c r="P234"/>
      <c r="Q234"/>
      <c r="R234"/>
    </row>
    <row r="235" spans="15:18">
      <c r="O235"/>
      <c r="P235"/>
      <c r="Q235"/>
      <c r="R235"/>
    </row>
    <row r="236" spans="15:18">
      <c r="O236"/>
      <c r="P236"/>
      <c r="Q236"/>
      <c r="R236"/>
    </row>
    <row r="237" spans="15:18">
      <c r="O237"/>
      <c r="P237"/>
      <c r="Q237"/>
      <c r="R237"/>
    </row>
    <row r="238" spans="15:18">
      <c r="O238"/>
      <c r="P238"/>
      <c r="Q238"/>
      <c r="R238"/>
    </row>
    <row r="239" spans="15:18">
      <c r="O239"/>
      <c r="P239"/>
      <c r="Q239"/>
      <c r="R239"/>
    </row>
    <row r="240" spans="15:18">
      <c r="O240"/>
      <c r="P240"/>
      <c r="Q240"/>
      <c r="R240"/>
    </row>
    <row r="241" spans="15:18">
      <c r="O241"/>
      <c r="P241"/>
      <c r="Q241"/>
      <c r="R241"/>
    </row>
    <row r="242" spans="15:18">
      <c r="O242"/>
      <c r="P242"/>
      <c r="Q242"/>
      <c r="R242"/>
    </row>
    <row r="243" spans="15:18">
      <c r="O243"/>
      <c r="P243"/>
      <c r="Q243"/>
      <c r="R243"/>
    </row>
    <row r="244" spans="15:18">
      <c r="O244"/>
      <c r="P244"/>
      <c r="Q244"/>
      <c r="R244"/>
    </row>
    <row r="245" spans="15:18">
      <c r="O245"/>
      <c r="P245"/>
      <c r="Q245"/>
      <c r="R245"/>
    </row>
    <row r="246" spans="15:18">
      <c r="O246"/>
      <c r="P246"/>
      <c r="Q246"/>
      <c r="R246"/>
    </row>
    <row r="247" spans="15:18">
      <c r="O247"/>
      <c r="P247"/>
      <c r="Q247"/>
      <c r="R247"/>
    </row>
    <row r="248" spans="15:18">
      <c r="O248"/>
      <c r="P248"/>
      <c r="Q248"/>
      <c r="R248"/>
    </row>
    <row r="249" spans="15:18">
      <c r="O249"/>
      <c r="P249"/>
      <c r="Q249"/>
      <c r="R249"/>
    </row>
    <row r="250" spans="15:18">
      <c r="O250"/>
      <c r="P250"/>
      <c r="Q250"/>
      <c r="R250"/>
    </row>
    <row r="251" spans="15:18">
      <c r="O251"/>
      <c r="P251"/>
      <c r="Q251"/>
      <c r="R251"/>
    </row>
    <row r="252" spans="15:18">
      <c r="O252"/>
      <c r="P252"/>
      <c r="Q252"/>
      <c r="R252"/>
    </row>
    <row r="253" spans="15:18">
      <c r="O253"/>
      <c r="P253"/>
      <c r="Q253"/>
      <c r="R253"/>
    </row>
    <row r="254" spans="15:18">
      <c r="O254"/>
      <c r="P254"/>
      <c r="Q254"/>
      <c r="R254"/>
    </row>
    <row r="255" spans="15:18">
      <c r="O255"/>
      <c r="P255"/>
      <c r="Q255"/>
      <c r="R255"/>
    </row>
    <row r="256" spans="15:18">
      <c r="O256"/>
      <c r="P256"/>
      <c r="Q256"/>
      <c r="R256"/>
    </row>
    <row r="257" spans="15:18">
      <c r="O257"/>
      <c r="P257"/>
      <c r="Q257"/>
      <c r="R257"/>
    </row>
    <row r="258" spans="15:18">
      <c r="O258"/>
      <c r="P258"/>
      <c r="Q258"/>
      <c r="R258"/>
    </row>
    <row r="259" spans="15:18">
      <c r="O259"/>
      <c r="P259"/>
      <c r="Q259"/>
      <c r="R259"/>
    </row>
    <row r="260" spans="15:18">
      <c r="O260"/>
      <c r="P260"/>
      <c r="Q260"/>
      <c r="R260"/>
    </row>
    <row r="261" spans="15:18">
      <c r="O261"/>
      <c r="P261"/>
      <c r="Q261"/>
      <c r="R261"/>
    </row>
    <row r="262" spans="15:18">
      <c r="O262"/>
      <c r="P262"/>
      <c r="Q262"/>
      <c r="R262"/>
    </row>
    <row r="263" spans="15:18">
      <c r="O263"/>
      <c r="P263"/>
      <c r="Q263"/>
      <c r="R263"/>
    </row>
    <row r="264" spans="15:18">
      <c r="O264"/>
      <c r="P264"/>
      <c r="Q264"/>
      <c r="R264"/>
    </row>
    <row r="265" spans="15:18">
      <c r="O265"/>
      <c r="P265"/>
      <c r="Q265"/>
      <c r="R265"/>
    </row>
    <row r="266" spans="15:18">
      <c r="O266"/>
      <c r="P266"/>
      <c r="Q266"/>
      <c r="R266"/>
    </row>
    <row r="267" spans="15:18">
      <c r="O267"/>
      <c r="P267"/>
      <c r="Q267"/>
      <c r="R267"/>
    </row>
    <row r="268" spans="15:18">
      <c r="O268"/>
      <c r="P268"/>
      <c r="Q268"/>
      <c r="R268"/>
    </row>
    <row r="269" spans="15:18">
      <c r="O269"/>
      <c r="P269"/>
      <c r="Q269"/>
      <c r="R269"/>
    </row>
    <row r="270" spans="15:18">
      <c r="O270"/>
      <c r="P270"/>
      <c r="Q270"/>
      <c r="R270"/>
    </row>
    <row r="271" spans="15:18">
      <c r="O271"/>
      <c r="P271"/>
      <c r="Q271"/>
      <c r="R271"/>
    </row>
    <row r="272" spans="15:18">
      <c r="O272"/>
      <c r="P272"/>
      <c r="Q272"/>
      <c r="R272"/>
    </row>
    <row r="273" spans="15:18">
      <c r="O273"/>
      <c r="P273"/>
      <c r="Q273"/>
      <c r="R273"/>
    </row>
    <row r="274" spans="15:18">
      <c r="O274"/>
      <c r="P274"/>
      <c r="Q274"/>
      <c r="R274"/>
    </row>
    <row r="275" spans="15:18">
      <c r="O275"/>
      <c r="P275"/>
      <c r="Q275"/>
      <c r="R275"/>
    </row>
    <row r="276" spans="15:18">
      <c r="O276"/>
      <c r="P276"/>
      <c r="Q276"/>
      <c r="R276"/>
    </row>
    <row r="277" spans="15:18">
      <c r="O277"/>
      <c r="P277"/>
      <c r="Q277"/>
      <c r="R277"/>
    </row>
    <row r="278" spans="15:18">
      <c r="O278"/>
      <c r="P278"/>
      <c r="Q278"/>
      <c r="R278"/>
    </row>
    <row r="279" spans="15:18">
      <c r="O279"/>
      <c r="P279"/>
      <c r="Q279"/>
      <c r="R279"/>
    </row>
    <row r="280" spans="15:18">
      <c r="O280"/>
      <c r="P280"/>
      <c r="Q280"/>
      <c r="R280"/>
    </row>
    <row r="281" spans="15:18">
      <c r="O281"/>
      <c r="P281"/>
      <c r="Q281"/>
      <c r="R281"/>
    </row>
    <row r="282" spans="15:18">
      <c r="O282"/>
      <c r="P282"/>
      <c r="Q282"/>
      <c r="R282"/>
    </row>
    <row r="283" spans="15:18">
      <c r="O283"/>
      <c r="P283"/>
      <c r="Q283"/>
      <c r="R283"/>
    </row>
    <row r="284" spans="15:18">
      <c r="O284"/>
      <c r="P284"/>
      <c r="Q284"/>
      <c r="R284"/>
    </row>
    <row r="285" spans="15:18">
      <c r="O285"/>
      <c r="P285"/>
      <c r="Q285"/>
      <c r="R285"/>
    </row>
    <row r="286" spans="15:18">
      <c r="O286"/>
      <c r="P286"/>
      <c r="Q286"/>
      <c r="R286"/>
    </row>
    <row r="287" spans="15:18">
      <c r="O287"/>
      <c r="P287"/>
      <c r="Q287"/>
      <c r="R287"/>
    </row>
    <row r="288" spans="15:18">
      <c r="O288"/>
      <c r="P288"/>
      <c r="Q288"/>
      <c r="R288"/>
    </row>
    <row r="289" spans="15:18">
      <c r="O289"/>
      <c r="P289"/>
      <c r="Q289"/>
      <c r="R289"/>
    </row>
    <row r="290" spans="15:18">
      <c r="O290"/>
      <c r="P290"/>
      <c r="Q290"/>
      <c r="R290"/>
    </row>
    <row r="291" spans="15:18">
      <c r="O291"/>
      <c r="P291"/>
      <c r="Q291"/>
      <c r="R291"/>
    </row>
    <row r="292" spans="15:18">
      <c r="O292"/>
      <c r="P292"/>
      <c r="Q292"/>
      <c r="R292"/>
    </row>
    <row r="293" spans="15:18">
      <c r="O293"/>
      <c r="P293"/>
      <c r="Q293"/>
      <c r="R293"/>
    </row>
    <row r="294" spans="15:18">
      <c r="O294"/>
      <c r="P294"/>
      <c r="Q294"/>
      <c r="R294"/>
    </row>
    <row r="295" spans="15:18">
      <c r="O295"/>
      <c r="P295"/>
      <c r="Q295"/>
      <c r="R295"/>
    </row>
    <row r="296" spans="15:18">
      <c r="O296"/>
      <c r="P296"/>
      <c r="Q296"/>
      <c r="R296"/>
    </row>
    <row r="297" spans="15:18">
      <c r="O297"/>
      <c r="P297"/>
      <c r="Q297"/>
      <c r="R297"/>
    </row>
    <row r="298" spans="15:18">
      <c r="O298"/>
      <c r="P298"/>
      <c r="Q298"/>
      <c r="R298"/>
    </row>
    <row r="299" spans="15:18">
      <c r="O299"/>
      <c r="P299"/>
      <c r="Q299"/>
      <c r="R299"/>
    </row>
    <row r="300" spans="15:18">
      <c r="O300"/>
      <c r="P300"/>
      <c r="Q300"/>
      <c r="R300"/>
    </row>
    <row r="301" spans="15:18">
      <c r="O301"/>
      <c r="P301"/>
      <c r="Q301"/>
      <c r="R301"/>
    </row>
    <row r="302" spans="15:18">
      <c r="O302"/>
      <c r="P302"/>
      <c r="Q302"/>
      <c r="R302"/>
    </row>
    <row r="303" spans="15:18">
      <c r="O303"/>
      <c r="P303"/>
      <c r="Q303"/>
      <c r="R303"/>
    </row>
    <row r="304" spans="15:18">
      <c r="O304"/>
      <c r="P304"/>
      <c r="Q304"/>
      <c r="R304"/>
    </row>
    <row r="305" spans="15:18">
      <c r="O305"/>
      <c r="P305"/>
      <c r="Q305"/>
      <c r="R305"/>
    </row>
    <row r="306" spans="15:18">
      <c r="O306"/>
      <c r="P306"/>
      <c r="Q306"/>
      <c r="R306"/>
    </row>
    <row r="307" spans="15:18">
      <c r="O307"/>
      <c r="P307"/>
      <c r="Q307"/>
      <c r="R307"/>
    </row>
    <row r="308" spans="15:18">
      <c r="O308"/>
      <c r="P308"/>
      <c r="Q308"/>
      <c r="R308"/>
    </row>
    <row r="309" spans="15:18">
      <c r="O309"/>
      <c r="P309"/>
      <c r="Q309"/>
      <c r="R309"/>
    </row>
    <row r="310" spans="15:18">
      <c r="O310"/>
      <c r="P310"/>
      <c r="Q310"/>
      <c r="R310"/>
    </row>
    <row r="311" spans="15:18">
      <c r="O311"/>
      <c r="P311"/>
      <c r="Q311"/>
      <c r="R311"/>
    </row>
    <row r="312" spans="15:18">
      <c r="O312"/>
      <c r="P312"/>
      <c r="Q312"/>
      <c r="R312"/>
    </row>
    <row r="313" spans="15:18">
      <c r="O313"/>
      <c r="P313"/>
      <c r="Q313"/>
      <c r="R313"/>
    </row>
    <row r="314" spans="15:18">
      <c r="O314"/>
      <c r="P314"/>
      <c r="Q314"/>
      <c r="R314"/>
    </row>
    <row r="315" spans="15:18">
      <c r="O315"/>
      <c r="P315"/>
      <c r="Q315"/>
      <c r="R315"/>
    </row>
    <row r="316" spans="15:18">
      <c r="O316"/>
      <c r="P316"/>
      <c r="Q316"/>
      <c r="R316"/>
    </row>
    <row r="317" spans="15:18">
      <c r="O317"/>
      <c r="P317"/>
      <c r="Q317"/>
      <c r="R317"/>
    </row>
    <row r="318" spans="15:18">
      <c r="O318"/>
      <c r="P318"/>
      <c r="Q318"/>
      <c r="R318"/>
    </row>
    <row r="319" spans="15:18">
      <c r="O319"/>
      <c r="P319"/>
      <c r="Q319"/>
      <c r="R319"/>
    </row>
    <row r="320" spans="15:18">
      <c r="O320"/>
      <c r="P320"/>
      <c r="Q320"/>
      <c r="R320"/>
    </row>
    <row r="321" spans="15:18">
      <c r="O321"/>
      <c r="P321"/>
      <c r="Q321"/>
      <c r="R321"/>
    </row>
    <row r="322" spans="15:18">
      <c r="O322"/>
      <c r="P322"/>
      <c r="Q322"/>
      <c r="R322"/>
    </row>
    <row r="323" spans="15:18">
      <c r="O323"/>
      <c r="P323"/>
      <c r="Q323"/>
      <c r="R323"/>
    </row>
    <row r="324" spans="15:18">
      <c r="O324"/>
      <c r="P324"/>
      <c r="Q324"/>
      <c r="R324"/>
    </row>
    <row r="325" spans="15:18">
      <c r="O325"/>
      <c r="P325"/>
      <c r="Q325"/>
      <c r="R325"/>
    </row>
    <row r="326" spans="15:18">
      <c r="O326"/>
      <c r="P326"/>
      <c r="Q326"/>
      <c r="R326"/>
    </row>
    <row r="327" spans="15:18">
      <c r="O327"/>
      <c r="P327"/>
      <c r="Q327"/>
      <c r="R327"/>
    </row>
    <row r="328" spans="15:18">
      <c r="O328"/>
      <c r="P328"/>
      <c r="Q328"/>
      <c r="R328"/>
    </row>
    <row r="329" spans="15:18">
      <c r="O329"/>
      <c r="P329"/>
      <c r="Q329"/>
      <c r="R329"/>
    </row>
    <row r="330" spans="15:18">
      <c r="O330"/>
      <c r="P330"/>
      <c r="Q330"/>
      <c r="R330"/>
    </row>
    <row r="331" spans="15:18">
      <c r="O331"/>
      <c r="P331"/>
      <c r="Q331"/>
      <c r="R331"/>
    </row>
    <row r="332" spans="15:18">
      <c r="O332"/>
      <c r="P332"/>
      <c r="Q332"/>
      <c r="R332"/>
    </row>
    <row r="333" spans="15:18">
      <c r="O333"/>
      <c r="P333"/>
      <c r="Q333"/>
      <c r="R333"/>
    </row>
    <row r="334" spans="15:18">
      <c r="O334"/>
      <c r="P334"/>
      <c r="Q334"/>
      <c r="R334"/>
    </row>
    <row r="335" spans="15:18">
      <c r="O335"/>
      <c r="P335"/>
      <c r="Q335"/>
      <c r="R335"/>
    </row>
    <row r="336" spans="15:18">
      <c r="O336"/>
      <c r="P336"/>
      <c r="Q336"/>
      <c r="R336"/>
    </row>
    <row r="337" spans="15:18">
      <c r="O337"/>
      <c r="P337"/>
      <c r="Q337"/>
      <c r="R337"/>
    </row>
    <row r="338" spans="15:18">
      <c r="O338"/>
      <c r="P338"/>
      <c r="Q338"/>
      <c r="R338"/>
    </row>
    <row r="339" spans="15:18">
      <c r="O339"/>
      <c r="P339"/>
      <c r="Q339"/>
      <c r="R339"/>
    </row>
    <row r="340" spans="15:18">
      <c r="O340"/>
      <c r="P340"/>
      <c r="Q340"/>
      <c r="R340"/>
    </row>
    <row r="341" spans="15:18">
      <c r="O341"/>
      <c r="P341"/>
      <c r="Q341"/>
      <c r="R341"/>
    </row>
    <row r="342" spans="15:18">
      <c r="O342"/>
      <c r="P342"/>
      <c r="Q342"/>
      <c r="R342"/>
    </row>
    <row r="343" spans="15:18">
      <c r="O343"/>
      <c r="P343"/>
      <c r="Q343"/>
      <c r="R343"/>
    </row>
    <row r="344" spans="15:18">
      <c r="O344"/>
      <c r="P344"/>
      <c r="Q344"/>
      <c r="R344"/>
    </row>
    <row r="345" spans="15:18">
      <c r="O345"/>
      <c r="P345"/>
      <c r="Q345"/>
      <c r="R345"/>
    </row>
    <row r="346" spans="15:18">
      <c r="O346"/>
      <c r="P346"/>
      <c r="Q346"/>
      <c r="R346"/>
    </row>
    <row r="347" spans="15:18">
      <c r="O347"/>
      <c r="P347"/>
      <c r="Q347"/>
      <c r="R347"/>
    </row>
    <row r="348" spans="15:18">
      <c r="O348"/>
      <c r="P348"/>
      <c r="Q348"/>
      <c r="R348"/>
    </row>
    <row r="349" spans="15:18">
      <c r="O349"/>
      <c r="P349"/>
      <c r="Q349"/>
      <c r="R349"/>
    </row>
    <row r="350" spans="15:18">
      <c r="O350"/>
      <c r="P350"/>
      <c r="Q350"/>
      <c r="R350"/>
    </row>
    <row r="351" spans="15:18">
      <c r="O351"/>
      <c r="P351"/>
      <c r="Q351"/>
      <c r="R351"/>
    </row>
    <row r="352" spans="15:18">
      <c r="O352"/>
      <c r="P352"/>
      <c r="Q352"/>
      <c r="R352"/>
    </row>
    <row r="353" spans="15:18">
      <c r="O353"/>
      <c r="P353"/>
      <c r="Q353"/>
      <c r="R353"/>
    </row>
    <row r="354" spans="15:18">
      <c r="O354"/>
      <c r="P354"/>
      <c r="Q354"/>
      <c r="R354"/>
    </row>
    <row r="355" spans="15:18">
      <c r="O355"/>
      <c r="P355"/>
      <c r="Q355"/>
      <c r="R355"/>
    </row>
    <row r="356" spans="15:18">
      <c r="O356"/>
      <c r="P356"/>
      <c r="Q356"/>
      <c r="R356"/>
    </row>
    <row r="357" spans="15:18">
      <c r="O357"/>
      <c r="P357"/>
      <c r="Q357"/>
      <c r="R357"/>
    </row>
    <row r="358" spans="15:18">
      <c r="O358"/>
      <c r="P358"/>
      <c r="Q358"/>
      <c r="R358"/>
    </row>
    <row r="359" spans="15:18">
      <c r="O359"/>
      <c r="P359"/>
      <c r="Q359"/>
      <c r="R359"/>
    </row>
    <row r="360" spans="15:18">
      <c r="O360"/>
      <c r="P360"/>
      <c r="Q360"/>
      <c r="R360"/>
    </row>
    <row r="361" spans="15:18">
      <c r="O361"/>
      <c r="P361"/>
      <c r="Q361"/>
      <c r="R361"/>
    </row>
    <row r="362" spans="15:18">
      <c r="O362"/>
      <c r="P362"/>
      <c r="Q362"/>
      <c r="R362"/>
    </row>
    <row r="363" spans="15:18">
      <c r="O363"/>
      <c r="P363"/>
      <c r="Q363"/>
      <c r="R363"/>
    </row>
    <row r="364" spans="15:18">
      <c r="O364"/>
      <c r="P364"/>
      <c r="Q364"/>
      <c r="R364"/>
    </row>
    <row r="365" spans="15:18">
      <c r="O365"/>
      <c r="P365"/>
      <c r="Q365"/>
      <c r="R365"/>
    </row>
    <row r="366" spans="15:18">
      <c r="O366"/>
      <c r="P366"/>
      <c r="Q366"/>
      <c r="R366"/>
    </row>
    <row r="367" spans="15:18">
      <c r="O367"/>
      <c r="P367"/>
      <c r="Q367"/>
      <c r="R367"/>
    </row>
    <row r="368" spans="15:18">
      <c r="O368"/>
      <c r="P368"/>
      <c r="Q368"/>
      <c r="R368"/>
    </row>
    <row r="369" spans="15:18">
      <c r="O369"/>
      <c r="P369"/>
      <c r="Q369"/>
      <c r="R369"/>
    </row>
    <row r="370" spans="15:18">
      <c r="O370"/>
      <c r="P370"/>
      <c r="Q370"/>
      <c r="R370"/>
    </row>
    <row r="371" spans="15:18">
      <c r="O371"/>
      <c r="P371"/>
      <c r="Q371"/>
      <c r="R371"/>
    </row>
    <row r="372" spans="15:18">
      <c r="O372"/>
      <c r="P372"/>
      <c r="Q372"/>
      <c r="R372"/>
    </row>
    <row r="373" spans="15:18">
      <c r="O373"/>
      <c r="P373"/>
      <c r="Q373"/>
      <c r="R373"/>
    </row>
    <row r="374" spans="15:18">
      <c r="O374"/>
      <c r="P374"/>
      <c r="Q374"/>
      <c r="R374"/>
    </row>
    <row r="375" spans="15:18">
      <c r="O375"/>
      <c r="P375"/>
      <c r="Q375"/>
      <c r="R375"/>
    </row>
    <row r="376" spans="15:18">
      <c r="O376"/>
      <c r="P376"/>
      <c r="Q376"/>
      <c r="R376"/>
    </row>
    <row r="377" spans="15:18">
      <c r="O377"/>
      <c r="P377"/>
      <c r="Q377"/>
      <c r="R377"/>
    </row>
    <row r="378" spans="15:18">
      <c r="O378"/>
      <c r="P378"/>
      <c r="Q378"/>
      <c r="R378"/>
    </row>
    <row r="379" spans="15:18">
      <c r="O379"/>
      <c r="P379"/>
      <c r="Q379"/>
      <c r="R379"/>
    </row>
    <row r="380" spans="15:18">
      <c r="O380"/>
      <c r="P380"/>
      <c r="Q380"/>
      <c r="R380"/>
    </row>
    <row r="381" spans="15:18">
      <c r="O381"/>
      <c r="P381"/>
      <c r="Q381"/>
      <c r="R381"/>
    </row>
    <row r="382" spans="15:18">
      <c r="O382"/>
      <c r="P382"/>
      <c r="Q382"/>
      <c r="R382"/>
    </row>
    <row r="383" spans="15:18">
      <c r="O383"/>
      <c r="P383"/>
      <c r="Q383"/>
      <c r="R383"/>
    </row>
    <row r="384" spans="15:18">
      <c r="O384"/>
      <c r="P384"/>
      <c r="Q384"/>
      <c r="R384"/>
    </row>
    <row r="385" spans="15:18">
      <c r="O385"/>
      <c r="P385"/>
      <c r="Q385"/>
      <c r="R385"/>
    </row>
    <row r="386" spans="15:18">
      <c r="O386"/>
      <c r="P386"/>
      <c r="Q386"/>
      <c r="R386"/>
    </row>
    <row r="387" spans="15:18">
      <c r="O387"/>
      <c r="P387"/>
      <c r="Q387"/>
      <c r="R387"/>
    </row>
    <row r="388" spans="15:18">
      <c r="O388"/>
      <c r="P388"/>
      <c r="Q388"/>
      <c r="R388"/>
    </row>
    <row r="389" spans="15:18">
      <c r="O389"/>
      <c r="P389"/>
      <c r="Q389"/>
      <c r="R389"/>
    </row>
    <row r="390" spans="15:18">
      <c r="O390"/>
      <c r="P390"/>
      <c r="Q390"/>
      <c r="R390"/>
    </row>
    <row r="391" spans="15:18">
      <c r="O391"/>
      <c r="P391"/>
      <c r="Q391"/>
      <c r="R391"/>
    </row>
    <row r="392" spans="15:18">
      <c r="O392"/>
      <c r="P392"/>
      <c r="Q392"/>
      <c r="R392"/>
    </row>
    <row r="393" spans="15:18">
      <c r="O393"/>
      <c r="P393"/>
      <c r="Q393"/>
      <c r="R393"/>
    </row>
    <row r="394" spans="15:18">
      <c r="O394"/>
      <c r="P394"/>
      <c r="Q394"/>
      <c r="R394"/>
    </row>
    <row r="395" spans="15:18">
      <c r="O395"/>
      <c r="P395"/>
      <c r="Q395"/>
      <c r="R395"/>
    </row>
    <row r="396" spans="15:18">
      <c r="O396"/>
      <c r="P396"/>
      <c r="Q396"/>
      <c r="R396"/>
    </row>
    <row r="397" spans="15:18">
      <c r="O397"/>
      <c r="P397"/>
      <c r="Q397"/>
      <c r="R397"/>
    </row>
    <row r="398" spans="15:18">
      <c r="O398"/>
      <c r="P398"/>
      <c r="Q398"/>
      <c r="R398"/>
    </row>
    <row r="399" spans="15:18">
      <c r="O399"/>
      <c r="P399"/>
      <c r="Q399"/>
      <c r="R399"/>
    </row>
    <row r="400" spans="15:18">
      <c r="O400"/>
      <c r="P400"/>
      <c r="Q400"/>
      <c r="R400"/>
    </row>
    <row r="401" spans="15:18">
      <c r="O401"/>
      <c r="P401"/>
      <c r="Q401"/>
      <c r="R401"/>
    </row>
    <row r="402" spans="15:18">
      <c r="O402"/>
      <c r="P402"/>
      <c r="Q402"/>
      <c r="R402"/>
    </row>
    <row r="403" spans="15:18">
      <c r="O403"/>
      <c r="P403"/>
      <c r="Q403"/>
      <c r="R403"/>
    </row>
    <row r="404" spans="15:18">
      <c r="O404"/>
      <c r="P404"/>
      <c r="Q404"/>
      <c r="R404"/>
    </row>
    <row r="405" spans="15:18">
      <c r="O405"/>
      <c r="P405"/>
      <c r="Q405"/>
      <c r="R405"/>
    </row>
    <row r="406" spans="15:18">
      <c r="O406"/>
      <c r="P406"/>
      <c r="Q406"/>
      <c r="R406"/>
    </row>
    <row r="407" spans="15:18">
      <c r="O407"/>
      <c r="P407"/>
      <c r="Q407"/>
      <c r="R407"/>
    </row>
    <row r="408" spans="15:18">
      <c r="O408"/>
      <c r="P408"/>
      <c r="Q408"/>
      <c r="R408"/>
    </row>
    <row r="409" spans="15:18">
      <c r="O409"/>
      <c r="P409"/>
      <c r="Q409"/>
      <c r="R409"/>
    </row>
    <row r="410" spans="15:18">
      <c r="O410"/>
      <c r="P410"/>
      <c r="Q410"/>
      <c r="R410"/>
    </row>
    <row r="411" spans="15:18">
      <c r="O411"/>
      <c r="P411"/>
      <c r="Q411"/>
      <c r="R411"/>
    </row>
    <row r="412" spans="15:18">
      <c r="O412"/>
      <c r="P412"/>
      <c r="Q412"/>
      <c r="R412"/>
    </row>
    <row r="413" spans="15:18">
      <c r="O413"/>
      <c r="P413"/>
      <c r="Q413"/>
      <c r="R413"/>
    </row>
    <row r="414" spans="15:18">
      <c r="O414"/>
      <c r="P414"/>
      <c r="Q414"/>
      <c r="R414"/>
    </row>
    <row r="415" spans="15:18">
      <c r="O415"/>
      <c r="P415"/>
      <c r="Q415"/>
      <c r="R415"/>
    </row>
    <row r="416" spans="15:18">
      <c r="O416"/>
      <c r="P416"/>
      <c r="Q416"/>
      <c r="R416"/>
    </row>
    <row r="417" spans="15:18">
      <c r="O417"/>
      <c r="P417"/>
      <c r="Q417"/>
      <c r="R417"/>
    </row>
    <row r="418" spans="15:18">
      <c r="O418"/>
      <c r="P418"/>
      <c r="Q418"/>
      <c r="R418"/>
    </row>
    <row r="419" spans="15:18">
      <c r="O419"/>
      <c r="P419"/>
      <c r="Q419"/>
      <c r="R419"/>
    </row>
    <row r="420" spans="15:18">
      <c r="O420"/>
      <c r="P420"/>
      <c r="Q420"/>
      <c r="R420"/>
    </row>
    <row r="421" spans="15:18">
      <c r="O421"/>
      <c r="P421"/>
      <c r="Q421"/>
      <c r="R421"/>
    </row>
    <row r="422" spans="15:18">
      <c r="O422"/>
      <c r="P422"/>
      <c r="Q422"/>
      <c r="R422"/>
    </row>
    <row r="423" spans="15:18">
      <c r="O423"/>
      <c r="P423"/>
      <c r="Q423"/>
      <c r="R423"/>
    </row>
    <row r="424" spans="15:18">
      <c r="O424"/>
      <c r="P424"/>
      <c r="Q424"/>
      <c r="R424"/>
    </row>
    <row r="425" spans="15:18">
      <c r="O425"/>
      <c r="P425"/>
      <c r="Q425"/>
      <c r="R425"/>
    </row>
    <row r="426" spans="15:18">
      <c r="O426"/>
      <c r="P426"/>
      <c r="Q426"/>
      <c r="R426"/>
    </row>
    <row r="427" spans="15:18">
      <c r="O427"/>
      <c r="P427"/>
      <c r="Q427"/>
      <c r="R427"/>
    </row>
    <row r="428" spans="15:18">
      <c r="O428"/>
      <c r="P428"/>
      <c r="Q428"/>
      <c r="R428"/>
    </row>
    <row r="429" spans="15:18">
      <c r="O429"/>
      <c r="P429"/>
      <c r="Q429"/>
      <c r="R429"/>
    </row>
    <row r="430" spans="15:18">
      <c r="O430"/>
      <c r="P430"/>
      <c r="Q430"/>
      <c r="R430"/>
    </row>
    <row r="431" spans="15:18">
      <c r="O431"/>
      <c r="P431"/>
      <c r="Q431"/>
      <c r="R431"/>
    </row>
    <row r="432" spans="15:18">
      <c r="O432"/>
      <c r="P432"/>
      <c r="Q432"/>
      <c r="R432"/>
    </row>
    <row r="433" spans="15:18">
      <c r="O433"/>
      <c r="P433"/>
      <c r="Q433"/>
      <c r="R433"/>
    </row>
    <row r="434" spans="15:18">
      <c r="O434"/>
      <c r="P434"/>
      <c r="Q434"/>
      <c r="R434"/>
    </row>
    <row r="435" spans="15:18">
      <c r="O435"/>
      <c r="P435"/>
      <c r="Q435"/>
      <c r="R435"/>
    </row>
    <row r="436" spans="15:18">
      <c r="O436"/>
      <c r="P436"/>
      <c r="Q436"/>
      <c r="R436"/>
    </row>
    <row r="437" spans="15:18">
      <c r="O437"/>
      <c r="P437"/>
      <c r="Q437"/>
      <c r="R437"/>
    </row>
    <row r="438" spans="15:18">
      <c r="O438"/>
      <c r="P438"/>
      <c r="Q438"/>
      <c r="R438"/>
    </row>
    <row r="439" spans="15:18">
      <c r="O439"/>
      <c r="P439"/>
      <c r="Q439"/>
      <c r="R439"/>
    </row>
    <row r="440" spans="15:18">
      <c r="O440"/>
      <c r="P440"/>
      <c r="Q440"/>
      <c r="R440"/>
    </row>
    <row r="441" spans="15:18">
      <c r="O441"/>
      <c r="P441"/>
      <c r="Q441"/>
      <c r="R441"/>
    </row>
    <row r="442" spans="15:18">
      <c r="O442"/>
      <c r="P442"/>
      <c r="Q442"/>
      <c r="R442"/>
    </row>
    <row r="443" spans="15:18">
      <c r="O443"/>
      <c r="P443"/>
      <c r="Q443"/>
      <c r="R443"/>
    </row>
    <row r="444" spans="15:18">
      <c r="O444"/>
      <c r="P444"/>
      <c r="Q444"/>
      <c r="R444"/>
    </row>
    <row r="445" spans="15:18">
      <c r="O445"/>
      <c r="P445"/>
      <c r="Q445"/>
      <c r="R445"/>
    </row>
    <row r="446" spans="15:18">
      <c r="O446"/>
      <c r="P446"/>
      <c r="Q446"/>
      <c r="R446"/>
    </row>
    <row r="447" spans="15:18">
      <c r="O447"/>
      <c r="P447"/>
      <c r="Q447"/>
      <c r="R447"/>
    </row>
    <row r="448" spans="15:18">
      <c r="O448"/>
      <c r="P448"/>
      <c r="Q448"/>
      <c r="R448"/>
    </row>
    <row r="449" spans="15:18">
      <c r="O449"/>
      <c r="P449"/>
      <c r="Q449"/>
      <c r="R449"/>
    </row>
    <row r="450" spans="15:18">
      <c r="O450"/>
      <c r="P450"/>
      <c r="Q450"/>
      <c r="R450"/>
    </row>
    <row r="451" spans="15:18">
      <c r="O451"/>
      <c r="P451"/>
      <c r="Q451"/>
      <c r="R451"/>
    </row>
    <row r="452" spans="15:18">
      <c r="O452"/>
      <c r="P452"/>
      <c r="Q452"/>
      <c r="R452"/>
    </row>
    <row r="453" spans="15:18">
      <c r="O453"/>
      <c r="P453"/>
      <c r="Q453"/>
      <c r="R453"/>
    </row>
    <row r="454" spans="15:18">
      <c r="O454"/>
      <c r="P454"/>
      <c r="Q454"/>
      <c r="R454"/>
    </row>
    <row r="455" spans="15:18">
      <c r="O455"/>
      <c r="P455"/>
      <c r="Q455"/>
      <c r="R455"/>
    </row>
    <row r="456" spans="15:18">
      <c r="O456"/>
      <c r="P456"/>
      <c r="Q456"/>
      <c r="R456"/>
    </row>
    <row r="457" spans="15:18">
      <c r="O457"/>
      <c r="P457"/>
      <c r="Q457"/>
      <c r="R457"/>
    </row>
    <row r="458" spans="15:18">
      <c r="O458"/>
      <c r="P458"/>
      <c r="Q458"/>
      <c r="R458"/>
    </row>
    <row r="459" spans="15:18">
      <c r="O459"/>
      <c r="P459"/>
      <c r="Q459"/>
      <c r="R459"/>
    </row>
    <row r="460" spans="15:18">
      <c r="O460"/>
      <c r="P460"/>
      <c r="Q460"/>
      <c r="R460"/>
    </row>
    <row r="461" spans="15:18">
      <c r="O461"/>
      <c r="P461"/>
      <c r="Q461"/>
      <c r="R461"/>
    </row>
    <row r="462" spans="15:18">
      <c r="O462"/>
      <c r="P462"/>
      <c r="Q462"/>
      <c r="R462"/>
    </row>
    <row r="463" spans="15:18">
      <c r="O463"/>
      <c r="P463"/>
      <c r="Q463"/>
      <c r="R463"/>
    </row>
    <row r="464" spans="15:18">
      <c r="O464"/>
      <c r="P464"/>
      <c r="Q464"/>
      <c r="R464"/>
    </row>
    <row r="465" spans="15:18">
      <c r="O465"/>
      <c r="P465"/>
      <c r="Q465"/>
      <c r="R465"/>
    </row>
    <row r="466" spans="15:18">
      <c r="O466"/>
      <c r="P466"/>
      <c r="Q466"/>
      <c r="R466"/>
    </row>
    <row r="467" spans="15:18">
      <c r="O467"/>
      <c r="P467"/>
      <c r="Q467"/>
      <c r="R467"/>
    </row>
    <row r="468" spans="15:18">
      <c r="O468"/>
      <c r="P468"/>
      <c r="Q468"/>
      <c r="R468"/>
    </row>
    <row r="469" spans="15:18">
      <c r="O469"/>
      <c r="P469"/>
      <c r="Q469"/>
      <c r="R469"/>
    </row>
    <row r="470" spans="15:18">
      <c r="O470"/>
      <c r="P470"/>
      <c r="Q470"/>
      <c r="R470"/>
    </row>
    <row r="471" spans="15:18">
      <c r="O471"/>
      <c r="P471"/>
      <c r="Q471"/>
      <c r="R471"/>
    </row>
    <row r="472" spans="15:18">
      <c r="O472"/>
      <c r="P472"/>
      <c r="Q472"/>
      <c r="R472"/>
    </row>
    <row r="473" spans="15:18">
      <c r="O473"/>
      <c r="P473"/>
      <c r="Q473"/>
      <c r="R473"/>
    </row>
    <row r="474" spans="15:18">
      <c r="O474"/>
      <c r="P474"/>
      <c r="Q474"/>
      <c r="R474"/>
    </row>
    <row r="475" spans="15:18">
      <c r="O475"/>
      <c r="P475"/>
      <c r="Q475"/>
      <c r="R475"/>
    </row>
    <row r="476" spans="15:18">
      <c r="O476"/>
      <c r="P476"/>
      <c r="Q476"/>
      <c r="R476"/>
    </row>
    <row r="477" spans="15:18">
      <c r="O477"/>
      <c r="P477"/>
      <c r="Q477"/>
      <c r="R477"/>
    </row>
    <row r="478" spans="15:18">
      <c r="O478"/>
      <c r="P478"/>
      <c r="Q478"/>
      <c r="R478"/>
    </row>
    <row r="479" spans="15:18">
      <c r="O479"/>
      <c r="P479"/>
      <c r="Q479"/>
      <c r="R479"/>
    </row>
    <row r="480" spans="15:18">
      <c r="O480"/>
      <c r="P480"/>
      <c r="Q480"/>
      <c r="R480"/>
    </row>
    <row r="481" spans="15:18">
      <c r="O481"/>
      <c r="P481"/>
      <c r="Q481"/>
      <c r="R481"/>
    </row>
    <row r="482" spans="15:18">
      <c r="O482"/>
      <c r="P482"/>
      <c r="Q482"/>
      <c r="R482"/>
    </row>
    <row r="483" spans="15:18">
      <c r="O483"/>
      <c r="P483"/>
      <c r="Q483"/>
      <c r="R483"/>
    </row>
    <row r="484" spans="15:18">
      <c r="O484"/>
      <c r="P484"/>
      <c r="Q484"/>
      <c r="R484"/>
    </row>
    <row r="485" spans="15:18">
      <c r="O485"/>
      <c r="P485"/>
      <c r="Q485"/>
      <c r="R485"/>
    </row>
    <row r="486" spans="15:18">
      <c r="O486"/>
      <c r="P486"/>
      <c r="Q486"/>
      <c r="R486"/>
    </row>
    <row r="487" spans="15:18">
      <c r="O487"/>
      <c r="P487"/>
      <c r="Q487"/>
      <c r="R487"/>
    </row>
    <row r="488" spans="15:18">
      <c r="O488"/>
      <c r="P488"/>
      <c r="Q488"/>
      <c r="R488"/>
    </row>
    <row r="489" spans="15:18">
      <c r="O489"/>
      <c r="P489"/>
      <c r="Q489"/>
      <c r="R489"/>
    </row>
    <row r="490" spans="15:18">
      <c r="O490"/>
      <c r="P490"/>
      <c r="Q490"/>
      <c r="R490"/>
    </row>
    <row r="491" spans="15:18">
      <c r="O491"/>
      <c r="P491"/>
      <c r="Q491"/>
      <c r="R491"/>
    </row>
    <row r="492" spans="15:18">
      <c r="O492"/>
      <c r="P492"/>
      <c r="Q492"/>
      <c r="R492"/>
    </row>
    <row r="493" spans="15:18">
      <c r="O493"/>
      <c r="P493"/>
      <c r="Q493"/>
      <c r="R493"/>
    </row>
    <row r="494" spans="15:18">
      <c r="O494"/>
      <c r="P494"/>
      <c r="Q494"/>
      <c r="R494"/>
    </row>
    <row r="495" spans="15:18">
      <c r="O495"/>
      <c r="P495"/>
      <c r="Q495"/>
      <c r="R495"/>
    </row>
    <row r="496" spans="15:18">
      <c r="O496"/>
      <c r="P496"/>
      <c r="Q496"/>
      <c r="R496"/>
    </row>
    <row r="497" spans="15:18">
      <c r="O497"/>
      <c r="P497"/>
      <c r="Q497"/>
      <c r="R497"/>
    </row>
    <row r="498" spans="15:18">
      <c r="O498"/>
      <c r="P498"/>
      <c r="Q498"/>
      <c r="R498"/>
    </row>
    <row r="499" spans="15:18">
      <c r="O499"/>
      <c r="P499"/>
      <c r="Q499"/>
      <c r="R499"/>
    </row>
    <row r="500" spans="15:18">
      <c r="O500"/>
      <c r="P500"/>
      <c r="Q500"/>
      <c r="R500"/>
    </row>
    <row r="501" spans="15:18">
      <c r="O501"/>
      <c r="P501"/>
      <c r="Q501"/>
      <c r="R501"/>
    </row>
    <row r="502" spans="15:18">
      <c r="O502"/>
      <c r="P502"/>
      <c r="Q502"/>
      <c r="R502"/>
    </row>
    <row r="503" spans="15:18">
      <c r="O503"/>
      <c r="P503"/>
      <c r="Q503"/>
      <c r="R503"/>
    </row>
    <row r="504" spans="15:18">
      <c r="O504"/>
      <c r="P504"/>
      <c r="Q504"/>
      <c r="R504"/>
    </row>
    <row r="505" spans="15:18">
      <c r="O505"/>
      <c r="P505"/>
      <c r="Q505"/>
      <c r="R505"/>
    </row>
    <row r="506" spans="15:18">
      <c r="O506"/>
      <c r="P506"/>
      <c r="Q506"/>
      <c r="R506"/>
    </row>
    <row r="507" spans="15:18">
      <c r="O507"/>
      <c r="P507"/>
      <c r="Q507"/>
      <c r="R507"/>
    </row>
    <row r="508" spans="15:18">
      <c r="O508"/>
      <c r="P508"/>
      <c r="Q508"/>
      <c r="R508"/>
    </row>
    <row r="509" spans="15:18">
      <c r="O509"/>
      <c r="P509"/>
      <c r="Q509"/>
      <c r="R509"/>
    </row>
    <row r="510" spans="15:18">
      <c r="O510"/>
      <c r="P510"/>
      <c r="Q510"/>
      <c r="R510"/>
    </row>
    <row r="511" spans="15:18">
      <c r="O511"/>
      <c r="P511"/>
      <c r="Q511"/>
      <c r="R511"/>
    </row>
    <row r="512" spans="15:18">
      <c r="O512"/>
      <c r="P512"/>
      <c r="Q512"/>
      <c r="R512"/>
    </row>
    <row r="513" spans="15:18">
      <c r="O513"/>
      <c r="P513"/>
      <c r="Q513"/>
      <c r="R513"/>
    </row>
    <row r="514" spans="15:18">
      <c r="O514"/>
      <c r="P514"/>
      <c r="Q514"/>
      <c r="R514"/>
    </row>
    <row r="515" spans="15:18">
      <c r="O515"/>
      <c r="P515"/>
      <c r="Q515"/>
      <c r="R515"/>
    </row>
    <row r="516" spans="15:18">
      <c r="O516"/>
      <c r="P516"/>
      <c r="Q516"/>
      <c r="R516"/>
    </row>
    <row r="517" spans="15:18">
      <c r="O517"/>
      <c r="P517"/>
      <c r="Q517"/>
      <c r="R517"/>
    </row>
    <row r="518" spans="15:18">
      <c r="O518"/>
      <c r="P518"/>
      <c r="Q518"/>
      <c r="R518"/>
    </row>
    <row r="519" spans="15:18">
      <c r="O519"/>
      <c r="P519"/>
      <c r="Q519"/>
      <c r="R519"/>
    </row>
    <row r="520" spans="15:18">
      <c r="O520"/>
      <c r="P520"/>
      <c r="Q520"/>
      <c r="R520"/>
    </row>
    <row r="521" spans="15:18">
      <c r="O521"/>
      <c r="P521"/>
      <c r="Q521"/>
      <c r="R521"/>
    </row>
    <row r="522" spans="15:18">
      <c r="O522"/>
      <c r="P522"/>
      <c r="Q522"/>
      <c r="R522"/>
    </row>
    <row r="523" spans="15:18">
      <c r="O523"/>
      <c r="P523"/>
      <c r="Q523"/>
      <c r="R523"/>
    </row>
    <row r="524" spans="15:18">
      <c r="O524"/>
      <c r="P524"/>
      <c r="Q524"/>
      <c r="R524"/>
    </row>
    <row r="525" spans="15:18">
      <c r="O525"/>
      <c r="P525"/>
      <c r="Q525"/>
      <c r="R525"/>
    </row>
    <row r="526" spans="15:18">
      <c r="O526"/>
      <c r="P526"/>
      <c r="Q526"/>
      <c r="R526"/>
    </row>
    <row r="527" spans="15:18">
      <c r="O527"/>
      <c r="P527"/>
      <c r="Q527"/>
      <c r="R527"/>
    </row>
    <row r="528" spans="15:18">
      <c r="O528"/>
      <c r="P528"/>
      <c r="Q528"/>
      <c r="R528"/>
    </row>
    <row r="529" spans="15:18">
      <c r="O529"/>
      <c r="P529"/>
      <c r="Q529"/>
      <c r="R529"/>
    </row>
    <row r="530" spans="15:18">
      <c r="O530"/>
      <c r="P530"/>
      <c r="Q530"/>
      <c r="R530"/>
    </row>
    <row r="531" spans="15:18">
      <c r="O531"/>
      <c r="P531"/>
      <c r="Q531"/>
      <c r="R531"/>
    </row>
    <row r="532" spans="15:18">
      <c r="O532"/>
      <c r="P532"/>
      <c r="Q532"/>
      <c r="R532"/>
    </row>
    <row r="533" spans="15:18">
      <c r="O533"/>
      <c r="P533"/>
      <c r="Q533"/>
      <c r="R533"/>
    </row>
    <row r="534" spans="15:18">
      <c r="O534"/>
      <c r="P534"/>
      <c r="Q534"/>
      <c r="R534"/>
    </row>
    <row r="535" spans="15:18">
      <c r="O535"/>
      <c r="P535"/>
      <c r="Q535"/>
      <c r="R535"/>
    </row>
    <row r="536" spans="15:18">
      <c r="O536"/>
      <c r="P536"/>
      <c r="Q536"/>
      <c r="R536"/>
    </row>
    <row r="537" spans="15:18">
      <c r="O537"/>
      <c r="P537"/>
      <c r="Q537"/>
      <c r="R537"/>
    </row>
    <row r="538" spans="15:18">
      <c r="O538"/>
      <c r="P538"/>
      <c r="Q538"/>
      <c r="R538"/>
    </row>
    <row r="539" spans="15:18">
      <c r="O539"/>
      <c r="P539"/>
      <c r="Q539"/>
      <c r="R539"/>
    </row>
    <row r="540" spans="15:18">
      <c r="O540"/>
      <c r="P540"/>
      <c r="Q540"/>
      <c r="R540"/>
    </row>
    <row r="541" spans="15:18">
      <c r="O541"/>
      <c r="P541"/>
      <c r="Q541"/>
      <c r="R541"/>
    </row>
    <row r="542" spans="15:18">
      <c r="O542"/>
      <c r="P542"/>
      <c r="Q542"/>
      <c r="R542"/>
    </row>
    <row r="543" spans="15:18">
      <c r="O543"/>
      <c r="P543"/>
      <c r="Q543"/>
      <c r="R543"/>
    </row>
    <row r="544" spans="15:18">
      <c r="O544"/>
      <c r="P544"/>
      <c r="Q544"/>
      <c r="R544"/>
    </row>
    <row r="545" spans="15:18">
      <c r="O545"/>
      <c r="P545"/>
      <c r="Q545"/>
      <c r="R545"/>
    </row>
    <row r="546" spans="15:18">
      <c r="O546"/>
      <c r="P546"/>
      <c r="Q546"/>
      <c r="R546"/>
    </row>
    <row r="547" spans="15:18">
      <c r="O547"/>
      <c r="P547"/>
      <c r="Q547"/>
      <c r="R547"/>
    </row>
    <row r="548" spans="15:18">
      <c r="O548"/>
      <c r="P548"/>
      <c r="Q548"/>
      <c r="R548"/>
    </row>
    <row r="549" spans="15:18">
      <c r="O549"/>
      <c r="P549"/>
      <c r="Q549"/>
      <c r="R549"/>
    </row>
    <row r="550" spans="15:18">
      <c r="O550"/>
      <c r="P550"/>
      <c r="Q550"/>
      <c r="R550"/>
    </row>
    <row r="551" spans="15:18">
      <c r="O551"/>
      <c r="P551"/>
      <c r="Q551"/>
      <c r="R551"/>
    </row>
    <row r="552" spans="15:18">
      <c r="O552"/>
      <c r="P552"/>
      <c r="Q552"/>
      <c r="R552"/>
    </row>
    <row r="553" spans="15:18">
      <c r="O553"/>
      <c r="P553"/>
      <c r="Q553"/>
      <c r="R553"/>
    </row>
    <row r="554" spans="15:18">
      <c r="O554"/>
      <c r="P554"/>
      <c r="Q554"/>
      <c r="R554"/>
    </row>
    <row r="555" spans="15:18">
      <c r="O555"/>
      <c r="P555"/>
      <c r="Q555"/>
      <c r="R555"/>
    </row>
    <row r="556" spans="15:18">
      <c r="O556"/>
      <c r="P556"/>
      <c r="Q556"/>
      <c r="R556"/>
    </row>
    <row r="557" spans="15:18">
      <c r="O557"/>
      <c r="P557"/>
      <c r="Q557"/>
      <c r="R557"/>
    </row>
    <row r="558" spans="15:18">
      <c r="O558"/>
      <c r="P558"/>
      <c r="Q558"/>
      <c r="R558"/>
    </row>
    <row r="559" spans="15:18">
      <c r="O559"/>
      <c r="P559"/>
      <c r="Q559"/>
      <c r="R559"/>
    </row>
    <row r="560" spans="15:18">
      <c r="O560"/>
      <c r="P560"/>
      <c r="Q560"/>
      <c r="R560"/>
    </row>
    <row r="561" spans="15:18">
      <c r="O561"/>
      <c r="P561"/>
      <c r="Q561"/>
      <c r="R561"/>
    </row>
    <row r="562" spans="15:18">
      <c r="O562"/>
      <c r="P562"/>
      <c r="Q562"/>
      <c r="R562"/>
    </row>
    <row r="563" spans="15:18">
      <c r="O563"/>
      <c r="P563"/>
      <c r="Q563"/>
      <c r="R563"/>
    </row>
    <row r="564" spans="15:18">
      <c r="O564"/>
      <c r="P564"/>
      <c r="Q564"/>
      <c r="R564"/>
    </row>
    <row r="565" spans="15:18">
      <c r="O565"/>
      <c r="P565"/>
      <c r="Q565"/>
      <c r="R565"/>
    </row>
    <row r="566" spans="15:18">
      <c r="O566"/>
      <c r="P566"/>
      <c r="Q566"/>
      <c r="R566"/>
    </row>
    <row r="567" spans="15:18">
      <c r="O567"/>
      <c r="P567"/>
      <c r="Q567"/>
      <c r="R567"/>
    </row>
    <row r="568" spans="15:18">
      <c r="O568"/>
      <c r="P568"/>
      <c r="Q568"/>
      <c r="R568"/>
    </row>
    <row r="569" spans="15:18">
      <c r="O569"/>
      <c r="P569"/>
      <c r="Q569"/>
      <c r="R569"/>
    </row>
    <row r="570" spans="15:18">
      <c r="O570"/>
      <c r="P570"/>
      <c r="Q570"/>
      <c r="R570"/>
    </row>
    <row r="571" spans="15:18">
      <c r="O571"/>
      <c r="P571"/>
      <c r="Q571"/>
      <c r="R571"/>
    </row>
    <row r="572" spans="15:18">
      <c r="O572"/>
      <c r="P572"/>
      <c r="Q572"/>
      <c r="R572"/>
    </row>
    <row r="573" spans="15:18">
      <c r="O573"/>
      <c r="P573"/>
      <c r="Q573"/>
      <c r="R573"/>
    </row>
    <row r="574" spans="15:18">
      <c r="O574"/>
      <c r="P574"/>
      <c r="Q574"/>
      <c r="R574"/>
    </row>
    <row r="575" spans="15:18">
      <c r="O575"/>
      <c r="P575"/>
      <c r="Q575"/>
      <c r="R575"/>
    </row>
    <row r="576" spans="15:18">
      <c r="O576"/>
      <c r="P576"/>
      <c r="Q576"/>
      <c r="R576"/>
    </row>
    <row r="577" spans="15:18">
      <c r="O577"/>
      <c r="P577"/>
      <c r="Q577"/>
      <c r="R577"/>
    </row>
    <row r="578" spans="15:18">
      <c r="O578"/>
      <c r="P578"/>
      <c r="Q578"/>
      <c r="R578"/>
    </row>
    <row r="579" spans="15:18">
      <c r="O579"/>
      <c r="P579"/>
      <c r="Q579"/>
      <c r="R579"/>
    </row>
    <row r="580" spans="15:18">
      <c r="O580"/>
      <c r="P580"/>
      <c r="Q580"/>
      <c r="R580"/>
    </row>
    <row r="581" spans="15:18">
      <c r="O581"/>
      <c r="P581"/>
      <c r="Q581"/>
      <c r="R581"/>
    </row>
    <row r="582" spans="15:18">
      <c r="O582"/>
      <c r="P582"/>
      <c r="Q582"/>
      <c r="R582"/>
    </row>
    <row r="583" spans="15:18">
      <c r="O583"/>
      <c r="P583"/>
      <c r="Q583"/>
      <c r="R583"/>
    </row>
    <row r="584" spans="15:18">
      <c r="O584"/>
      <c r="P584"/>
      <c r="Q584"/>
      <c r="R584"/>
    </row>
    <row r="585" spans="15:18">
      <c r="O585"/>
      <c r="P585"/>
      <c r="Q585"/>
      <c r="R585"/>
    </row>
    <row r="586" spans="15:18">
      <c r="O586"/>
      <c r="P586"/>
      <c r="Q586"/>
      <c r="R586"/>
    </row>
    <row r="587" spans="15:18">
      <c r="O587"/>
      <c r="P587"/>
      <c r="Q587"/>
      <c r="R587"/>
    </row>
    <row r="588" spans="15:18">
      <c r="O588"/>
      <c r="P588"/>
      <c r="Q588"/>
      <c r="R588"/>
    </row>
    <row r="589" spans="15:18">
      <c r="O589"/>
      <c r="P589"/>
      <c r="Q589"/>
      <c r="R589"/>
    </row>
    <row r="590" spans="15:18">
      <c r="O590"/>
      <c r="P590"/>
      <c r="Q590"/>
      <c r="R590"/>
    </row>
    <row r="591" spans="15:18">
      <c r="O591"/>
      <c r="P591"/>
      <c r="Q591"/>
      <c r="R591"/>
    </row>
    <row r="592" spans="15:18">
      <c r="O592"/>
      <c r="P592"/>
      <c r="Q592"/>
      <c r="R592"/>
    </row>
    <row r="593" spans="15:18">
      <c r="O593"/>
      <c r="P593"/>
      <c r="Q593"/>
      <c r="R593"/>
    </row>
    <row r="594" spans="15:18">
      <c r="O594"/>
      <c r="P594"/>
      <c r="Q594"/>
      <c r="R594"/>
    </row>
    <row r="595" spans="15:18">
      <c r="O595"/>
      <c r="P595"/>
      <c r="Q595"/>
      <c r="R595"/>
    </row>
    <row r="596" spans="15:18">
      <c r="O596"/>
      <c r="P596"/>
      <c r="Q596"/>
      <c r="R596"/>
    </row>
    <row r="597" spans="15:18">
      <c r="O597"/>
      <c r="P597"/>
      <c r="Q597"/>
      <c r="R597"/>
    </row>
    <row r="598" spans="15:18">
      <c r="O598"/>
      <c r="P598"/>
      <c r="Q598"/>
      <c r="R598"/>
    </row>
    <row r="599" spans="15:18">
      <c r="O599"/>
      <c r="P599"/>
      <c r="Q599"/>
      <c r="R599"/>
    </row>
    <row r="600" spans="15:18">
      <c r="O600"/>
      <c r="P600"/>
      <c r="Q600"/>
      <c r="R600"/>
    </row>
    <row r="601" spans="15:18">
      <c r="O601"/>
      <c r="P601"/>
      <c r="Q601"/>
      <c r="R601"/>
    </row>
    <row r="602" spans="15:18">
      <c r="O602"/>
      <c r="P602"/>
      <c r="Q602"/>
      <c r="R602"/>
    </row>
    <row r="603" spans="15:18">
      <c r="O603"/>
      <c r="P603"/>
      <c r="Q603"/>
      <c r="R603"/>
    </row>
    <row r="604" spans="15:18">
      <c r="O604"/>
      <c r="P604"/>
      <c r="Q604"/>
      <c r="R604"/>
    </row>
    <row r="605" spans="15:18">
      <c r="O605"/>
      <c r="P605"/>
      <c r="Q605"/>
      <c r="R605"/>
    </row>
    <row r="606" spans="15:18">
      <c r="O606"/>
      <c r="P606"/>
      <c r="Q606"/>
      <c r="R606"/>
    </row>
    <row r="607" spans="15:18">
      <c r="O607"/>
      <c r="P607"/>
      <c r="Q607"/>
      <c r="R607"/>
    </row>
    <row r="608" spans="15:18">
      <c r="O608"/>
      <c r="P608"/>
      <c r="Q608"/>
      <c r="R608"/>
    </row>
    <row r="609" spans="15:18">
      <c r="O609"/>
      <c r="P609"/>
      <c r="Q609"/>
      <c r="R609"/>
    </row>
    <row r="610" spans="15:18">
      <c r="O610"/>
      <c r="P610"/>
      <c r="Q610"/>
      <c r="R610"/>
    </row>
    <row r="611" spans="15:18">
      <c r="O611"/>
      <c r="P611"/>
      <c r="Q611"/>
      <c r="R611"/>
    </row>
    <row r="612" spans="15:18">
      <c r="O612"/>
      <c r="P612"/>
      <c r="Q612"/>
      <c r="R612"/>
    </row>
    <row r="613" spans="15:18">
      <c r="O613"/>
      <c r="P613"/>
      <c r="Q613"/>
      <c r="R613"/>
    </row>
    <row r="614" spans="15:18">
      <c r="O614"/>
      <c r="P614"/>
      <c r="Q614"/>
      <c r="R614"/>
    </row>
    <row r="615" spans="15:18">
      <c r="O615"/>
      <c r="P615"/>
      <c r="Q615"/>
      <c r="R615"/>
    </row>
    <row r="616" spans="15:18">
      <c r="O616"/>
      <c r="P616"/>
      <c r="Q616"/>
      <c r="R616"/>
    </row>
    <row r="617" spans="15:18">
      <c r="O617"/>
      <c r="P617"/>
      <c r="Q617"/>
      <c r="R617"/>
    </row>
    <row r="618" spans="15:18">
      <c r="O618"/>
      <c r="P618"/>
      <c r="Q618"/>
      <c r="R618"/>
    </row>
    <row r="619" spans="15:18">
      <c r="O619"/>
      <c r="P619"/>
      <c r="Q619"/>
      <c r="R619"/>
    </row>
    <row r="620" spans="15:18">
      <c r="O620"/>
      <c r="P620"/>
      <c r="Q620"/>
      <c r="R620"/>
    </row>
    <row r="621" spans="15:18">
      <c r="O621"/>
      <c r="P621"/>
      <c r="Q621"/>
      <c r="R621"/>
    </row>
    <row r="622" spans="15:18">
      <c r="O622"/>
      <c r="P622"/>
      <c r="Q622"/>
      <c r="R622"/>
    </row>
    <row r="623" spans="15:18">
      <c r="O623"/>
      <c r="P623"/>
      <c r="Q623"/>
      <c r="R623"/>
    </row>
    <row r="624" spans="15:18">
      <c r="O624"/>
      <c r="P624"/>
      <c r="Q624"/>
      <c r="R624"/>
    </row>
    <row r="625" spans="15:18">
      <c r="O625"/>
      <c r="P625"/>
      <c r="Q625"/>
      <c r="R625"/>
    </row>
    <row r="626" spans="15:18">
      <c r="O626"/>
      <c r="P626"/>
      <c r="Q626"/>
      <c r="R626"/>
    </row>
    <row r="627" spans="15:18">
      <c r="O627"/>
      <c r="P627"/>
      <c r="Q627"/>
      <c r="R627"/>
    </row>
    <row r="628" spans="15:18">
      <c r="O628"/>
      <c r="P628"/>
      <c r="Q628"/>
      <c r="R628"/>
    </row>
    <row r="629" spans="15:18">
      <c r="O629"/>
      <c r="P629"/>
      <c r="Q629"/>
      <c r="R629"/>
    </row>
    <row r="630" spans="15:18">
      <c r="O630"/>
      <c r="P630"/>
      <c r="Q630"/>
      <c r="R630"/>
    </row>
    <row r="631" spans="15:18">
      <c r="O631"/>
      <c r="P631"/>
      <c r="Q631"/>
      <c r="R631"/>
    </row>
    <row r="632" spans="15:18">
      <c r="O632"/>
      <c r="P632"/>
      <c r="Q632"/>
      <c r="R632"/>
    </row>
    <row r="633" spans="15:18">
      <c r="O633"/>
      <c r="P633"/>
      <c r="Q633"/>
      <c r="R633"/>
    </row>
    <row r="634" spans="15:18">
      <c r="O634"/>
      <c r="P634"/>
      <c r="Q634"/>
      <c r="R634"/>
    </row>
    <row r="635" spans="15:18">
      <c r="O635"/>
      <c r="P635"/>
      <c r="Q635"/>
      <c r="R635"/>
    </row>
    <row r="636" spans="15:18">
      <c r="O636"/>
      <c r="P636"/>
      <c r="Q636"/>
      <c r="R636"/>
    </row>
    <row r="637" spans="15:18">
      <c r="O637"/>
      <c r="P637"/>
      <c r="Q637"/>
      <c r="R637"/>
    </row>
    <row r="638" spans="15:18">
      <c r="O638"/>
      <c r="P638"/>
      <c r="Q638"/>
      <c r="R638"/>
    </row>
  </sheetData>
  <mergeCells count="1">
    <mergeCell ref="B35:E35"/>
  </mergeCells>
  <pageMargins left="0.699305555555556" right="0.699305555555556" top="0.75" bottom="0.75" header="0.511111111111111" footer="0.51111111111111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05" zoomScaleNormal="105" workbookViewId="0">
      <pane xSplit="2" ySplit="2" topLeftCell="H17" activePane="bottomRight" state="frozen"/>
      <selection/>
      <selection pane="topRight"/>
      <selection pane="bottomLeft"/>
      <selection pane="bottomRight" activeCell="A1" sqref="A1:E1"/>
    </sheetView>
  </sheetViews>
  <sheetFormatPr defaultColWidth="9.64545454545454" defaultRowHeight="14.5"/>
  <cols>
    <col min="1" max="1" width="5.32727272727273" customWidth="1"/>
    <col min="2" max="2" width="36.3454545454545" customWidth="1"/>
    <col min="3" max="3" width="14.8818181818182" customWidth="1"/>
    <col min="4" max="4" width="20.3272727272727" customWidth="1"/>
    <col min="5" max="5" width="18.4363636363636" customWidth="1"/>
    <col min="6" max="6" width="17.4363636363636" customWidth="1"/>
    <col min="7" max="7" width="19.1090909090909" customWidth="1"/>
    <col min="8" max="247" width="10" customWidth="1"/>
    <col min="248" max="1025" width="9" customWidth="1"/>
  </cols>
  <sheetData>
    <row r="1" spans="1:5">
      <c r="A1" s="11" t="s">
        <v>109</v>
      </c>
      <c r="B1" s="158"/>
      <c r="C1" s="158"/>
      <c r="D1" s="158"/>
      <c r="E1" s="158"/>
    </row>
    <row r="2" s="168" customFormat="1" spans="1:7">
      <c r="A2" s="170" t="s">
        <v>110</v>
      </c>
      <c r="B2" s="170" t="s">
        <v>111</v>
      </c>
      <c r="C2" s="170" t="s">
        <v>112</v>
      </c>
      <c r="D2" s="18" t="s">
        <v>113</v>
      </c>
      <c r="E2" s="171" t="s">
        <v>114</v>
      </c>
      <c r="F2" s="172" t="s">
        <v>115</v>
      </c>
      <c r="G2" s="172" t="s">
        <v>116</v>
      </c>
    </row>
    <row r="3" spans="1:10">
      <c r="A3" s="16">
        <v>1</v>
      </c>
      <c r="B3" s="16" t="s">
        <v>117</v>
      </c>
      <c r="C3" s="16" t="s">
        <v>118</v>
      </c>
      <c r="D3" s="173" t="s">
        <v>119</v>
      </c>
      <c r="E3" s="173" t="s">
        <v>119</v>
      </c>
      <c r="F3" s="173" t="s">
        <v>119</v>
      </c>
      <c r="G3" s="173" t="s">
        <v>119</v>
      </c>
      <c r="H3" s="92"/>
      <c r="I3" s="92"/>
      <c r="J3" s="92"/>
    </row>
    <row r="4" spans="1:10">
      <c r="A4" s="16">
        <v>2</v>
      </c>
      <c r="B4" s="16" t="s">
        <v>120</v>
      </c>
      <c r="C4" s="16" t="s">
        <v>121</v>
      </c>
      <c r="D4" s="173" t="s">
        <v>122</v>
      </c>
      <c r="E4" s="173" t="s">
        <v>122</v>
      </c>
      <c r="F4" s="173" t="s">
        <v>122</v>
      </c>
      <c r="G4" s="173" t="s">
        <v>122</v>
      </c>
      <c r="H4" s="92"/>
      <c r="I4" s="92"/>
      <c r="J4" s="92"/>
    </row>
    <row r="5" spans="1:10">
      <c r="A5" s="16">
        <v>3</v>
      </c>
      <c r="B5" s="16" t="s">
        <v>123</v>
      </c>
      <c r="C5" s="16" t="s">
        <v>124</v>
      </c>
      <c r="D5" s="146" t="s">
        <v>125</v>
      </c>
      <c r="E5" s="146" t="s">
        <v>125</v>
      </c>
      <c r="F5" s="173" t="s">
        <v>125</v>
      </c>
      <c r="G5" s="146" t="s">
        <v>126</v>
      </c>
      <c r="H5" s="92"/>
      <c r="I5" s="92"/>
      <c r="J5" s="92"/>
    </row>
    <row r="6" spans="1:10">
      <c r="A6" s="16">
        <v>4</v>
      </c>
      <c r="B6" s="16" t="s">
        <v>127</v>
      </c>
      <c r="C6" s="16" t="s">
        <v>124</v>
      </c>
      <c r="D6" s="173" t="s">
        <v>128</v>
      </c>
      <c r="E6" s="173" t="s">
        <v>128</v>
      </c>
      <c r="F6" s="173" t="s">
        <v>128</v>
      </c>
      <c r="G6" s="173" t="s">
        <v>128</v>
      </c>
      <c r="H6" s="92"/>
      <c r="I6" s="92"/>
      <c r="J6" s="92"/>
    </row>
    <row r="7" spans="1:10">
      <c r="A7" s="16">
        <v>5</v>
      </c>
      <c r="B7" s="16" t="s">
        <v>129</v>
      </c>
      <c r="C7" s="16" t="s">
        <v>130</v>
      </c>
      <c r="D7" s="173" t="s">
        <v>119</v>
      </c>
      <c r="E7" s="173" t="s">
        <v>119</v>
      </c>
      <c r="F7" s="173" t="s">
        <v>119</v>
      </c>
      <c r="G7" s="173" t="s">
        <v>119</v>
      </c>
      <c r="H7" s="92"/>
      <c r="I7" s="92"/>
      <c r="J7" s="92"/>
    </row>
    <row r="8" spans="1:10">
      <c r="A8" s="16">
        <v>6</v>
      </c>
      <c r="B8" s="16" t="s">
        <v>131</v>
      </c>
      <c r="C8" s="16" t="s">
        <v>132</v>
      </c>
      <c r="D8" s="173" t="s">
        <v>119</v>
      </c>
      <c r="E8" s="173" t="s">
        <v>119</v>
      </c>
      <c r="F8" s="173" t="s">
        <v>133</v>
      </c>
      <c r="G8" s="173" t="s">
        <v>119</v>
      </c>
      <c r="H8" s="92"/>
      <c r="I8" s="92"/>
      <c r="J8" s="92"/>
    </row>
    <row r="9" spans="1:10">
      <c r="A9" s="16">
        <v>7</v>
      </c>
      <c r="B9" s="16" t="s">
        <v>134</v>
      </c>
      <c r="C9" s="16" t="s">
        <v>135</v>
      </c>
      <c r="D9" s="173" t="s">
        <v>136</v>
      </c>
      <c r="E9" s="173" t="s">
        <v>136</v>
      </c>
      <c r="F9" s="173" t="s">
        <v>136</v>
      </c>
      <c r="G9" s="173" t="s">
        <v>136</v>
      </c>
      <c r="H9" s="92"/>
      <c r="I9" s="92"/>
      <c r="J9" s="92"/>
    </row>
    <row r="10" spans="1:10">
      <c r="A10" s="16">
        <v>8</v>
      </c>
      <c r="B10" s="16" t="s">
        <v>137</v>
      </c>
      <c r="C10" s="16" t="s">
        <v>138</v>
      </c>
      <c r="D10" s="173" t="s">
        <v>139</v>
      </c>
      <c r="E10" s="173" t="s">
        <v>139</v>
      </c>
      <c r="F10" s="173" t="s">
        <v>139</v>
      </c>
      <c r="G10" s="173" t="s">
        <v>139</v>
      </c>
      <c r="H10" s="92"/>
      <c r="I10" s="92"/>
      <c r="J10" s="92"/>
    </row>
    <row r="11" spans="1:10">
      <c r="A11" s="16">
        <v>9</v>
      </c>
      <c r="B11" s="16" t="s">
        <v>140</v>
      </c>
      <c r="C11" s="16" t="s">
        <v>141</v>
      </c>
      <c r="D11" s="173" t="s">
        <v>142</v>
      </c>
      <c r="E11" s="173" t="s">
        <v>142</v>
      </c>
      <c r="F11" s="173" t="s">
        <v>142</v>
      </c>
      <c r="G11" s="173" t="s">
        <v>142</v>
      </c>
      <c r="H11" s="92"/>
      <c r="I11" s="92"/>
      <c r="J11" s="92"/>
    </row>
    <row r="12" spans="1:10">
      <c r="A12" s="16">
        <v>10</v>
      </c>
      <c r="B12" s="16" t="s">
        <v>143</v>
      </c>
      <c r="C12" s="16" t="s">
        <v>144</v>
      </c>
      <c r="D12" s="173" t="s">
        <v>119</v>
      </c>
      <c r="E12" s="173" t="s">
        <v>119</v>
      </c>
      <c r="F12" s="173" t="s">
        <v>119</v>
      </c>
      <c r="G12" s="173" t="s">
        <v>119</v>
      </c>
      <c r="H12" s="92"/>
      <c r="I12" s="92"/>
      <c r="J12" s="92"/>
    </row>
    <row r="13" spans="1:10">
      <c r="A13" s="20">
        <v>11</v>
      </c>
      <c r="B13" s="20" t="s">
        <v>145</v>
      </c>
      <c r="C13" s="20" t="s">
        <v>118</v>
      </c>
      <c r="D13" s="174" t="s">
        <v>119</v>
      </c>
      <c r="E13" s="174" t="s">
        <v>119</v>
      </c>
      <c r="F13" s="174" t="s">
        <v>119</v>
      </c>
      <c r="G13" s="174" t="s">
        <v>119</v>
      </c>
      <c r="H13" s="92"/>
      <c r="I13" s="92"/>
      <c r="J13" s="92"/>
    </row>
    <row r="14" s="169" customFormat="1" spans="1:10">
      <c r="A14" s="169">
        <v>12</v>
      </c>
      <c r="B14" s="169" t="s">
        <v>146</v>
      </c>
      <c r="C14" s="169" t="s">
        <v>147</v>
      </c>
      <c r="D14" s="175" t="s">
        <v>119</v>
      </c>
      <c r="E14" s="175" t="s">
        <v>119</v>
      </c>
      <c r="F14" s="175" t="s">
        <v>119</v>
      </c>
      <c r="G14" s="175" t="s">
        <v>119</v>
      </c>
      <c r="H14" s="176"/>
      <c r="I14" s="176"/>
      <c r="J14" s="176"/>
    </row>
    <row r="15" spans="1:10">
      <c r="A15" s="177">
        <v>13</v>
      </c>
      <c r="B15" s="178" t="s">
        <v>148</v>
      </c>
      <c r="C15" s="178" t="s">
        <v>149</v>
      </c>
      <c r="D15" s="92"/>
      <c r="E15" s="179" t="s">
        <v>136</v>
      </c>
      <c r="F15" s="179" t="s">
        <v>136</v>
      </c>
      <c r="G15" s="179" t="s">
        <v>136</v>
      </c>
      <c r="H15" s="92"/>
      <c r="I15" s="92"/>
      <c r="J15" s="92"/>
    </row>
    <row r="16" spans="1:10">
      <c r="A16" s="177">
        <v>14</v>
      </c>
      <c r="B16" s="178" t="s">
        <v>150</v>
      </c>
      <c r="C16" s="178" t="s">
        <v>151</v>
      </c>
      <c r="D16" s="180"/>
      <c r="E16" s="179" t="s">
        <v>139</v>
      </c>
      <c r="F16" s="179" t="s">
        <v>139</v>
      </c>
      <c r="G16" s="179" t="s">
        <v>139</v>
      </c>
      <c r="H16" s="92"/>
      <c r="I16" s="92"/>
      <c r="J16" s="92"/>
    </row>
    <row r="17" spans="1:10">
      <c r="A17" s="177">
        <v>15</v>
      </c>
      <c r="B17" s="178" t="s">
        <v>152</v>
      </c>
      <c r="C17" s="178" t="s">
        <v>153</v>
      </c>
      <c r="D17" s="92"/>
      <c r="E17" s="179" t="s">
        <v>154</v>
      </c>
      <c r="F17" s="179" t="s">
        <v>154</v>
      </c>
      <c r="G17" s="179" t="s">
        <v>154</v>
      </c>
      <c r="H17" s="92"/>
      <c r="I17" s="92"/>
      <c r="J17" s="92"/>
    </row>
    <row r="18" spans="1:10">
      <c r="A18" s="177">
        <v>16</v>
      </c>
      <c r="B18" s="178" t="s">
        <v>155</v>
      </c>
      <c r="C18" s="178" t="s">
        <v>156</v>
      </c>
      <c r="D18" s="181"/>
      <c r="E18" s="179" t="s">
        <v>136</v>
      </c>
      <c r="F18" s="179" t="s">
        <v>136</v>
      </c>
      <c r="G18" s="179" t="s">
        <v>136</v>
      </c>
      <c r="H18" s="92"/>
      <c r="I18" s="92"/>
      <c r="J18" s="92"/>
    </row>
    <row r="19" spans="1:10">
      <c r="A19" s="177">
        <v>17</v>
      </c>
      <c r="B19" s="178" t="s">
        <v>157</v>
      </c>
      <c r="C19" s="178" t="s">
        <v>158</v>
      </c>
      <c r="D19" s="92"/>
      <c r="E19" s="179" t="s">
        <v>136</v>
      </c>
      <c r="F19" s="179" t="s">
        <v>136</v>
      </c>
      <c r="G19" s="179" t="s">
        <v>136</v>
      </c>
      <c r="H19" s="92"/>
      <c r="I19" s="92"/>
      <c r="J19" s="92"/>
    </row>
    <row r="20" spans="1:10">
      <c r="A20" s="177">
        <v>18</v>
      </c>
      <c r="B20" s="178" t="s">
        <v>159</v>
      </c>
      <c r="C20" s="178" t="s">
        <v>151</v>
      </c>
      <c r="D20" s="92"/>
      <c r="E20" s="179" t="s">
        <v>154</v>
      </c>
      <c r="F20" s="179" t="s">
        <v>154</v>
      </c>
      <c r="G20" s="179" t="s">
        <v>154</v>
      </c>
      <c r="H20" s="92"/>
      <c r="I20" s="92"/>
      <c r="J20" s="92"/>
    </row>
    <row r="21" spans="1:10">
      <c r="A21" s="177">
        <v>19</v>
      </c>
      <c r="B21" s="178" t="s">
        <v>160</v>
      </c>
      <c r="C21" s="178" t="s">
        <v>161</v>
      </c>
      <c r="D21" s="92"/>
      <c r="E21" s="179" t="s">
        <v>122</v>
      </c>
      <c r="F21" s="179" t="s">
        <v>122</v>
      </c>
      <c r="G21" s="179" t="s">
        <v>122</v>
      </c>
      <c r="H21" s="92"/>
      <c r="I21" s="92"/>
      <c r="J21" s="92"/>
    </row>
    <row r="22" spans="1:10">
      <c r="A22" s="177">
        <v>20</v>
      </c>
      <c r="B22" s="182" t="s">
        <v>162</v>
      </c>
      <c r="C22" s="178" t="s">
        <v>163</v>
      </c>
      <c r="D22" s="180"/>
      <c r="E22" s="179" t="s">
        <v>122</v>
      </c>
      <c r="F22" s="179" t="s">
        <v>122</v>
      </c>
      <c r="G22" s="179" t="s">
        <v>122</v>
      </c>
      <c r="H22" s="92"/>
      <c r="I22" s="92"/>
      <c r="J22" s="92"/>
    </row>
    <row r="23" spans="1:10">
      <c r="A23" s="177">
        <v>21</v>
      </c>
      <c r="B23" s="178" t="s">
        <v>164</v>
      </c>
      <c r="C23" s="178" t="s">
        <v>165</v>
      </c>
      <c r="D23" s="92"/>
      <c r="E23" s="179" t="s">
        <v>122</v>
      </c>
      <c r="F23" s="179" t="s">
        <v>122</v>
      </c>
      <c r="G23" s="179" t="s">
        <v>122</v>
      </c>
      <c r="H23" s="92"/>
      <c r="I23" s="92"/>
      <c r="J23" s="92"/>
    </row>
    <row r="24" spans="1:10">
      <c r="A24" t="s">
        <v>166</v>
      </c>
      <c r="B24" t="s">
        <v>167</v>
      </c>
      <c r="C24" t="s">
        <v>168</v>
      </c>
      <c r="D24" s="178" t="s">
        <v>169</v>
      </c>
      <c r="E24" s="92"/>
      <c r="F24" s="178" t="s">
        <v>169</v>
      </c>
      <c r="G24" s="178" t="s">
        <v>169</v>
      </c>
      <c r="H24" s="92"/>
      <c r="I24" s="92"/>
      <c r="J24" s="92"/>
    </row>
    <row r="25" spans="1:10">
      <c r="A25">
        <v>23</v>
      </c>
      <c r="B25" t="s">
        <v>170</v>
      </c>
      <c r="C25" t="s">
        <v>171</v>
      </c>
      <c r="D25" s="179" t="s">
        <v>122</v>
      </c>
      <c r="E25" s="92"/>
      <c r="F25" s="179" t="s">
        <v>122</v>
      </c>
      <c r="G25" s="179" t="s">
        <v>122</v>
      </c>
      <c r="H25" s="92"/>
      <c r="I25" s="92"/>
      <c r="J25" s="92"/>
    </row>
    <row r="26" spans="1:7">
      <c r="A26">
        <v>24</v>
      </c>
      <c r="B26" t="s">
        <v>172</v>
      </c>
      <c r="C26" t="s">
        <v>138</v>
      </c>
      <c r="D26" s="178" t="s">
        <v>173</v>
      </c>
      <c r="F26" s="178" t="s">
        <v>173</v>
      </c>
      <c r="G26" s="178" t="s">
        <v>173</v>
      </c>
    </row>
    <row r="27" spans="1:7">
      <c r="A27">
        <v>25</v>
      </c>
      <c r="B27" t="s">
        <v>174</v>
      </c>
      <c r="C27" t="s">
        <v>175</v>
      </c>
      <c r="D27" s="178" t="s">
        <v>176</v>
      </c>
      <c r="F27" s="178" t="s">
        <v>176</v>
      </c>
      <c r="G27" s="178" t="s">
        <v>176</v>
      </c>
    </row>
    <row r="28" spans="1:7">
      <c r="A28">
        <v>26</v>
      </c>
      <c r="B28" t="s">
        <v>177</v>
      </c>
      <c r="C28" t="s">
        <v>135</v>
      </c>
      <c r="D28" s="178" t="s">
        <v>169</v>
      </c>
      <c r="F28" s="178" t="s">
        <v>169</v>
      </c>
      <c r="G28" s="178" t="s">
        <v>169</v>
      </c>
    </row>
    <row r="29" spans="1:7">
      <c r="A29">
        <v>27</v>
      </c>
      <c r="B29" t="s">
        <v>178</v>
      </c>
      <c r="C29" t="s">
        <v>168</v>
      </c>
      <c r="D29" s="179" t="s">
        <v>122</v>
      </c>
      <c r="F29" s="179" t="s">
        <v>122</v>
      </c>
      <c r="G29" s="179" t="s">
        <v>122</v>
      </c>
    </row>
    <row r="30" spans="1:7">
      <c r="A30">
        <v>28</v>
      </c>
      <c r="B30" t="s">
        <v>179</v>
      </c>
      <c r="C30" t="s">
        <v>171</v>
      </c>
      <c r="D30" s="178" t="s">
        <v>173</v>
      </c>
      <c r="F30" s="178" t="s">
        <v>173</v>
      </c>
      <c r="G30" s="178" t="s">
        <v>173</v>
      </c>
    </row>
    <row r="31" spans="1:7">
      <c r="A31">
        <v>29</v>
      </c>
      <c r="B31" t="s">
        <v>180</v>
      </c>
      <c r="C31" t="s">
        <v>181</v>
      </c>
      <c r="D31" s="178" t="s">
        <v>173</v>
      </c>
      <c r="F31" s="178" t="s">
        <v>173</v>
      </c>
      <c r="G31" s="178" t="s">
        <v>173</v>
      </c>
    </row>
    <row r="32" spans="1:7">
      <c r="A32">
        <v>30</v>
      </c>
      <c r="B32" t="s">
        <v>182</v>
      </c>
      <c r="C32" t="s">
        <v>181</v>
      </c>
      <c r="D32" s="179" t="s">
        <v>183</v>
      </c>
      <c r="F32" s="179" t="s">
        <v>183</v>
      </c>
      <c r="G32" s="179" t="s">
        <v>183</v>
      </c>
    </row>
    <row r="33" spans="1:7">
      <c r="A33">
        <v>31</v>
      </c>
      <c r="B33" t="s">
        <v>184</v>
      </c>
      <c r="C33" t="s">
        <v>185</v>
      </c>
      <c r="D33" s="179" t="s">
        <v>183</v>
      </c>
      <c r="F33" s="179" t="s">
        <v>183</v>
      </c>
      <c r="G33" s="179" t="s">
        <v>183</v>
      </c>
    </row>
    <row r="34" spans="1:7">
      <c r="A34">
        <v>32</v>
      </c>
      <c r="B34" t="s">
        <v>186</v>
      </c>
      <c r="C34" t="s">
        <v>187</v>
      </c>
      <c r="D34" s="179" t="s">
        <v>188</v>
      </c>
      <c r="F34" s="179" t="s">
        <v>188</v>
      </c>
      <c r="G34" s="179" t="s">
        <v>188</v>
      </c>
    </row>
    <row r="35" spans="1:7">
      <c r="A35">
        <v>33</v>
      </c>
      <c r="B35" t="s">
        <v>189</v>
      </c>
      <c r="C35" t="s">
        <v>190</v>
      </c>
      <c r="D35" s="179" t="s">
        <v>188</v>
      </c>
      <c r="F35" s="179" t="s">
        <v>188</v>
      </c>
      <c r="G35" s="179" t="s">
        <v>188</v>
      </c>
    </row>
  </sheetData>
  <autoFilter xmlns:etc="http://www.wps.cn/officeDocument/2017/etCustomData" ref="A1:G35" etc:filterBottomFollowUsedRange="0">
    <extLst/>
  </autoFilter>
  <mergeCells count="1">
    <mergeCell ref="A1:E1"/>
  </mergeCells>
  <pageMargins left="0.699305555555556" right="0.699305555555556" top="0.75" bottom="0.75" header="0.511111111111111" footer="0.51111111111111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tabSelected="1" zoomScale="129" zoomScaleNormal="129" topLeftCell="A3" workbookViewId="0">
      <selection activeCell="C18" sqref="C18"/>
    </sheetView>
  </sheetViews>
  <sheetFormatPr defaultColWidth="9.64545454545454" defaultRowHeight="14.5"/>
  <cols>
    <col min="1" max="1" width="31.3272727272727" customWidth="1"/>
    <col min="2" max="2" width="9.43636363636364" customWidth="1"/>
    <col min="3" max="3" width="5.55454545454545" customWidth="1"/>
    <col min="4" max="4" width="6.32727272727273" customWidth="1"/>
    <col min="5" max="5" width="11.5363636363636" customWidth="1"/>
    <col min="6" max="6" width="14.3272727272727" customWidth="1"/>
    <col min="7" max="7" width="15.2545454545455" customWidth="1"/>
    <col min="8" max="8" width="14.2545454545455" customWidth="1"/>
    <col min="9" max="248" width="10" customWidth="1"/>
    <col min="249" max="1025" width="9" customWidth="1"/>
  </cols>
  <sheetData>
    <row r="1" spans="1:5">
      <c r="A1" s="156" t="s">
        <v>191</v>
      </c>
      <c r="B1" s="157"/>
      <c r="C1" s="158" t="s">
        <v>192</v>
      </c>
      <c r="D1" s="158"/>
      <c r="E1" s="158"/>
    </row>
    <row r="2" s="10" customFormat="1" spans="1:9">
      <c r="A2" s="159" t="s">
        <v>9</v>
      </c>
      <c r="B2" s="10" t="s">
        <v>193</v>
      </c>
      <c r="C2" s="10" t="s">
        <v>194</v>
      </c>
      <c r="D2" s="159" t="s">
        <v>12</v>
      </c>
      <c r="E2" s="159" t="s">
        <v>13</v>
      </c>
      <c r="F2" s="159" t="s">
        <v>95</v>
      </c>
      <c r="G2" s="159" t="s">
        <v>33</v>
      </c>
      <c r="H2" s="159"/>
      <c r="I2" s="159"/>
    </row>
    <row r="3" spans="1:9">
      <c r="A3" s="16" t="s">
        <v>16</v>
      </c>
      <c r="B3" s="137">
        <v>23</v>
      </c>
      <c r="C3" s="137">
        <v>25</v>
      </c>
      <c r="D3" s="138"/>
      <c r="E3" s="16"/>
      <c r="F3" s="16"/>
      <c r="G3" s="16"/>
      <c r="H3" s="16"/>
      <c r="I3" s="16"/>
    </row>
    <row r="4" spans="1:9">
      <c r="A4" s="16" t="s">
        <v>18</v>
      </c>
      <c r="B4" s="137">
        <v>7</v>
      </c>
      <c r="C4" s="137">
        <v>1</v>
      </c>
      <c r="D4" s="138"/>
      <c r="E4" s="16"/>
      <c r="F4" s="16"/>
      <c r="G4" s="16"/>
      <c r="H4" s="16"/>
      <c r="I4" s="16"/>
    </row>
    <row r="5" spans="1:9">
      <c r="A5" s="16" t="s">
        <v>19</v>
      </c>
      <c r="B5" s="137">
        <v>246</v>
      </c>
      <c r="C5" s="137">
        <v>301</v>
      </c>
      <c r="D5" s="138"/>
      <c r="E5" s="16"/>
      <c r="F5" s="16"/>
      <c r="G5" s="16"/>
      <c r="H5" s="16"/>
      <c r="I5" s="16"/>
    </row>
    <row r="6" spans="1:9">
      <c r="A6" s="16" t="s">
        <v>195</v>
      </c>
      <c r="B6" s="137">
        <v>88.26</v>
      </c>
      <c r="C6" s="137">
        <v>80.28</v>
      </c>
      <c r="D6" s="141"/>
      <c r="E6" s="16"/>
      <c r="F6" s="16"/>
      <c r="G6" s="16"/>
      <c r="H6" s="16"/>
      <c r="I6" s="16"/>
    </row>
    <row r="7" spans="1:9">
      <c r="A7" s="16" t="s">
        <v>196</v>
      </c>
      <c r="B7" s="137">
        <v>60.5</v>
      </c>
      <c r="C7" s="137">
        <v>69.01</v>
      </c>
      <c r="D7" s="141"/>
      <c r="E7" s="16"/>
      <c r="F7" s="16"/>
      <c r="G7" s="16"/>
      <c r="H7" s="16"/>
      <c r="I7" s="16"/>
    </row>
    <row r="8" spans="1:9">
      <c r="A8" s="16" t="s">
        <v>197</v>
      </c>
      <c r="B8" s="137">
        <v>25</v>
      </c>
      <c r="C8" s="137">
        <v>30</v>
      </c>
      <c r="D8" s="138"/>
      <c r="E8" s="16"/>
      <c r="F8" s="16"/>
      <c r="G8" s="16"/>
      <c r="H8" s="16"/>
      <c r="I8" s="16"/>
    </row>
    <row r="9" spans="1:9">
      <c r="A9" s="16" t="s">
        <v>198</v>
      </c>
      <c r="B9" s="137">
        <v>95</v>
      </c>
      <c r="C9" s="137">
        <v>69</v>
      </c>
      <c r="D9" s="138"/>
      <c r="E9" s="16"/>
      <c r="F9" s="16"/>
      <c r="G9" s="16"/>
      <c r="H9" s="16"/>
      <c r="I9" s="16"/>
    </row>
    <row r="10" spans="1:9">
      <c r="A10" s="16" t="s">
        <v>199</v>
      </c>
      <c r="B10" s="137">
        <v>85</v>
      </c>
      <c r="C10" s="137">
        <v>95</v>
      </c>
      <c r="D10" s="138"/>
      <c r="E10" s="160"/>
      <c r="F10" s="16"/>
      <c r="G10" s="160"/>
      <c r="H10" s="16"/>
      <c r="I10" s="160"/>
    </row>
    <row r="11" spans="1:9">
      <c r="A11" s="16" t="s">
        <v>200</v>
      </c>
      <c r="B11" s="137">
        <v>49</v>
      </c>
      <c r="C11" s="137">
        <v>60</v>
      </c>
      <c r="D11" s="138"/>
      <c r="E11" s="16"/>
      <c r="F11" s="16"/>
      <c r="G11" s="16"/>
      <c r="H11" s="16"/>
      <c r="I11" s="16"/>
    </row>
    <row r="12" spans="1:9">
      <c r="A12" s="16" t="s">
        <v>201</v>
      </c>
      <c r="B12" s="137">
        <v>79</v>
      </c>
      <c r="C12" s="137">
        <v>58</v>
      </c>
      <c r="D12" s="138"/>
      <c r="E12" s="16"/>
      <c r="F12" s="16"/>
      <c r="G12" s="16"/>
      <c r="H12" s="16"/>
      <c r="I12" s="16"/>
    </row>
    <row r="13" spans="1:9">
      <c r="A13" s="16" t="s">
        <v>24</v>
      </c>
      <c r="B13" s="161">
        <v>13.75</v>
      </c>
      <c r="C13" s="161">
        <v>14</v>
      </c>
      <c r="D13" s="162"/>
      <c r="E13" s="16"/>
      <c r="F13" s="17"/>
      <c r="G13" s="16"/>
      <c r="H13" s="17"/>
      <c r="I13" s="16"/>
    </row>
    <row r="14" spans="1:9">
      <c r="A14" s="16" t="s">
        <v>25</v>
      </c>
      <c r="B14" s="137">
        <v>165</v>
      </c>
      <c r="C14" s="137">
        <v>187</v>
      </c>
      <c r="D14" s="138"/>
      <c r="E14" s="16"/>
      <c r="F14" s="16"/>
      <c r="G14" s="16"/>
      <c r="H14" s="16"/>
      <c r="I14" s="16"/>
    </row>
    <row r="15" spans="1:9">
      <c r="A15" s="16" t="s">
        <v>202</v>
      </c>
      <c r="B15" s="137">
        <v>183</v>
      </c>
      <c r="C15" s="137">
        <v>185</v>
      </c>
      <c r="D15" s="138"/>
      <c r="E15" s="16"/>
      <c r="F15" s="16"/>
      <c r="G15" s="16"/>
      <c r="H15" s="16"/>
      <c r="I15" s="16"/>
    </row>
    <row r="16" spans="1:9">
      <c r="A16" s="16" t="s">
        <v>26</v>
      </c>
      <c r="B16" s="137">
        <v>9.5</v>
      </c>
      <c r="C16" s="137">
        <v>8.79</v>
      </c>
      <c r="D16" s="138"/>
      <c r="E16" s="16"/>
      <c r="F16" s="16"/>
      <c r="G16" s="16"/>
      <c r="H16" s="16"/>
      <c r="I16" s="16"/>
    </row>
    <row r="17" spans="1:9">
      <c r="A17" s="16" t="s">
        <v>203</v>
      </c>
      <c r="B17" s="161">
        <v>5</v>
      </c>
      <c r="C17" s="161">
        <v>6</v>
      </c>
      <c r="D17" s="162"/>
      <c r="E17" s="16"/>
      <c r="F17" s="17"/>
      <c r="G17" s="16"/>
      <c r="H17" s="17"/>
      <c r="I17" s="16"/>
    </row>
    <row r="18" spans="1:9">
      <c r="A18" s="16" t="s">
        <v>204</v>
      </c>
      <c r="B18" s="159">
        <v>57</v>
      </c>
      <c r="C18" s="159">
        <v>69</v>
      </c>
      <c r="D18" s="16"/>
      <c r="E18" s="16"/>
      <c r="F18" s="16"/>
      <c r="G18" s="16"/>
      <c r="H18" s="16"/>
      <c r="I18" s="16"/>
    </row>
    <row r="19" spans="1:5">
      <c r="A19" s="163"/>
      <c r="B19" s="163"/>
      <c r="C19" s="163"/>
      <c r="D19" s="163"/>
      <c r="E19" s="163"/>
    </row>
    <row r="20" spans="1:5">
      <c r="A20" s="156" t="s">
        <v>205</v>
      </c>
      <c r="B20" s="157"/>
      <c r="C20" s="158" t="s">
        <v>192</v>
      </c>
      <c r="D20" s="158"/>
      <c r="E20" s="158"/>
    </row>
    <row r="21" spans="1:9">
      <c r="A21" s="159" t="s">
        <v>9</v>
      </c>
      <c r="B21" s="159" t="s">
        <v>93</v>
      </c>
      <c r="C21" s="159" t="s">
        <v>94</v>
      </c>
      <c r="D21" s="159" t="s">
        <v>12</v>
      </c>
      <c r="E21" s="159" t="s">
        <v>13</v>
      </c>
      <c r="F21" s="159" t="s">
        <v>95</v>
      </c>
      <c r="G21" s="159"/>
      <c r="H21" s="159" t="s">
        <v>33</v>
      </c>
      <c r="I21" s="159"/>
    </row>
    <row r="22" spans="1:9">
      <c r="A22" s="16" t="s">
        <v>16</v>
      </c>
      <c r="B22" s="138"/>
      <c r="C22" s="138"/>
      <c r="D22" s="138"/>
      <c r="E22" s="138"/>
      <c r="F22" s="16"/>
      <c r="G22" s="16"/>
      <c r="H22" s="16"/>
      <c r="I22" s="16"/>
    </row>
    <row r="23" spans="1:9">
      <c r="A23" s="16" t="s">
        <v>18</v>
      </c>
      <c r="B23" s="138"/>
      <c r="C23" s="138"/>
      <c r="D23" s="138"/>
      <c r="E23" s="138"/>
      <c r="F23" s="16"/>
      <c r="G23" s="16"/>
      <c r="H23" s="16"/>
      <c r="I23" s="16"/>
    </row>
    <row r="24" spans="1:9">
      <c r="A24" s="16" t="s">
        <v>19</v>
      </c>
      <c r="B24" s="138"/>
      <c r="C24" s="138"/>
      <c r="D24" s="138"/>
      <c r="E24" s="138"/>
      <c r="F24" s="16"/>
      <c r="G24" s="16"/>
      <c r="H24" s="16"/>
      <c r="I24" s="16"/>
    </row>
    <row r="25" spans="1:9">
      <c r="A25" s="16" t="s">
        <v>195</v>
      </c>
      <c r="B25" s="141"/>
      <c r="C25" s="141"/>
      <c r="D25" s="141"/>
      <c r="E25" s="138"/>
      <c r="F25" s="16"/>
      <c r="G25" s="16"/>
      <c r="H25" s="16"/>
      <c r="I25" s="16"/>
    </row>
    <row r="26" spans="1:9">
      <c r="A26" s="16" t="s">
        <v>196</v>
      </c>
      <c r="B26" s="141"/>
      <c r="C26" s="141"/>
      <c r="D26" s="141"/>
      <c r="E26" s="138"/>
      <c r="F26" s="16"/>
      <c r="G26" s="16"/>
      <c r="H26" s="16"/>
      <c r="I26" s="16"/>
    </row>
    <row r="27" spans="1:9">
      <c r="A27" s="16" t="s">
        <v>197</v>
      </c>
      <c r="B27" s="138"/>
      <c r="C27" s="138"/>
      <c r="D27" s="138"/>
      <c r="E27" s="138"/>
      <c r="F27" s="16"/>
      <c r="G27" s="16"/>
      <c r="H27" s="16"/>
      <c r="I27" s="16"/>
    </row>
    <row r="28" spans="1:9">
      <c r="A28" s="16" t="s">
        <v>198</v>
      </c>
      <c r="B28" s="138"/>
      <c r="C28" s="138"/>
      <c r="D28" s="138"/>
      <c r="E28" s="138"/>
      <c r="F28" s="16"/>
      <c r="G28" s="16"/>
      <c r="H28" s="16"/>
      <c r="I28" s="16"/>
    </row>
    <row r="29" spans="1:9">
      <c r="A29" s="16" t="s">
        <v>199</v>
      </c>
      <c r="B29" s="138"/>
      <c r="C29" s="138"/>
      <c r="D29" s="138"/>
      <c r="E29" s="164"/>
      <c r="F29" s="16"/>
      <c r="G29" s="160"/>
      <c r="H29" s="16"/>
      <c r="I29" s="160"/>
    </row>
    <row r="30" spans="1:9">
      <c r="A30" s="16" t="s">
        <v>200</v>
      </c>
      <c r="B30" s="138"/>
      <c r="C30" s="138"/>
      <c r="D30" s="138"/>
      <c r="E30" s="138"/>
      <c r="F30" s="16"/>
      <c r="G30" s="16"/>
      <c r="H30" s="16"/>
      <c r="I30" s="16"/>
    </row>
    <row r="31" spans="1:9">
      <c r="A31" s="16" t="s">
        <v>201</v>
      </c>
      <c r="B31" s="138"/>
      <c r="C31" s="138"/>
      <c r="D31" s="138"/>
      <c r="E31" s="138"/>
      <c r="F31" s="16"/>
      <c r="G31" s="16"/>
      <c r="H31" s="16"/>
      <c r="I31" s="16"/>
    </row>
    <row r="32" spans="1:9">
      <c r="A32" s="16" t="s">
        <v>24</v>
      </c>
      <c r="B32" s="138"/>
      <c r="C32" s="138"/>
      <c r="D32" s="162"/>
      <c r="E32" s="138"/>
      <c r="F32" s="17"/>
      <c r="G32" s="16"/>
      <c r="H32" s="17"/>
      <c r="I32" s="16"/>
    </row>
    <row r="33" spans="1:9">
      <c r="A33" s="16" t="s">
        <v>25</v>
      </c>
      <c r="B33" s="138"/>
      <c r="C33" s="138"/>
      <c r="D33" s="138"/>
      <c r="E33" s="138"/>
      <c r="F33" s="16"/>
      <c r="G33" s="16"/>
      <c r="H33" s="16"/>
      <c r="I33" s="16"/>
    </row>
    <row r="34" spans="1:9">
      <c r="A34" s="16" t="s">
        <v>202</v>
      </c>
      <c r="B34" s="138"/>
      <c r="C34" s="138"/>
      <c r="D34" s="138"/>
      <c r="E34" s="138"/>
      <c r="F34" s="16"/>
      <c r="G34" s="16"/>
      <c r="H34" s="16"/>
      <c r="I34" s="16"/>
    </row>
    <row r="35" spans="1:9">
      <c r="A35" s="16" t="s">
        <v>26</v>
      </c>
      <c r="B35" s="138"/>
      <c r="C35" s="138"/>
      <c r="D35" s="138"/>
      <c r="E35" s="138"/>
      <c r="F35" s="16"/>
      <c r="G35" s="16"/>
      <c r="H35" s="16"/>
      <c r="I35" s="16"/>
    </row>
    <row r="36" spans="1:9">
      <c r="A36" s="16" t="s">
        <v>203</v>
      </c>
      <c r="B36" s="138"/>
      <c r="C36" s="138"/>
      <c r="D36" s="162"/>
      <c r="E36" s="138"/>
      <c r="F36" s="17"/>
      <c r="G36" s="16"/>
      <c r="H36" s="17"/>
      <c r="I36" s="16"/>
    </row>
    <row r="37" spans="1:9">
      <c r="A37" s="16" t="s">
        <v>204</v>
      </c>
      <c r="B37" s="165"/>
      <c r="C37" s="16"/>
      <c r="D37" s="16"/>
      <c r="E37" s="16"/>
      <c r="F37" s="16"/>
      <c r="G37" s="16"/>
      <c r="H37" s="16"/>
      <c r="I37" s="16"/>
    </row>
    <row r="39" spans="1:5">
      <c r="A39" s="156" t="s">
        <v>206</v>
      </c>
      <c r="B39" s="157"/>
      <c r="C39" s="158" t="s">
        <v>192</v>
      </c>
      <c r="D39" s="158"/>
      <c r="E39" s="158"/>
    </row>
    <row r="40" spans="1:9">
      <c r="A40" s="159" t="s">
        <v>9</v>
      </c>
      <c r="B40" s="166" t="s">
        <v>207</v>
      </c>
      <c r="C40" s="166" t="s">
        <v>208</v>
      </c>
      <c r="D40" s="159" t="s">
        <v>12</v>
      </c>
      <c r="E40" s="159" t="s">
        <v>13</v>
      </c>
      <c r="F40" s="159" t="s">
        <v>95</v>
      </c>
      <c r="G40" s="159"/>
      <c r="H40" s="159" t="s">
        <v>33</v>
      </c>
      <c r="I40" s="159"/>
    </row>
    <row r="41" spans="1:9">
      <c r="A41" s="16" t="s">
        <v>16</v>
      </c>
      <c r="B41" s="137">
        <v>23</v>
      </c>
      <c r="C41" s="137">
        <v>25</v>
      </c>
      <c r="D41" s="16"/>
      <c r="E41" s="138"/>
      <c r="F41" s="16"/>
      <c r="G41" s="16"/>
      <c r="H41" s="16"/>
      <c r="I41" s="16"/>
    </row>
    <row r="42" spans="1:9">
      <c r="A42" s="16" t="s">
        <v>18</v>
      </c>
      <c r="B42" s="137">
        <v>0</v>
      </c>
      <c r="C42" s="137">
        <v>0</v>
      </c>
      <c r="D42" s="16"/>
      <c r="E42" s="138"/>
      <c r="F42" s="16"/>
      <c r="G42" s="16"/>
      <c r="H42" s="16"/>
      <c r="I42" s="16"/>
    </row>
    <row r="43" spans="1:9">
      <c r="A43" s="16" t="s">
        <v>19</v>
      </c>
      <c r="B43" s="137">
        <v>323</v>
      </c>
      <c r="C43" s="137">
        <v>323</v>
      </c>
      <c r="D43" s="16"/>
      <c r="E43" s="138"/>
      <c r="F43" s="16"/>
      <c r="G43" s="16"/>
      <c r="H43" s="16"/>
      <c r="I43" s="16"/>
    </row>
    <row r="44" spans="1:9">
      <c r="A44" s="16" t="s">
        <v>195</v>
      </c>
      <c r="B44" s="137">
        <v>96.39</v>
      </c>
      <c r="C44" s="137">
        <v>95.36</v>
      </c>
      <c r="D44" s="16"/>
      <c r="E44" s="138"/>
      <c r="F44" s="16"/>
      <c r="G44" s="16"/>
      <c r="H44" s="16"/>
      <c r="I44" s="16"/>
    </row>
    <row r="45" spans="1:9">
      <c r="A45" s="16" t="s">
        <v>196</v>
      </c>
      <c r="B45" s="137">
        <v>91.24</v>
      </c>
      <c r="C45" s="137">
        <v>92.27</v>
      </c>
      <c r="D45" s="16"/>
      <c r="E45" s="138"/>
      <c r="F45" s="16"/>
      <c r="G45" s="16"/>
      <c r="H45" s="16"/>
      <c r="I45" s="16"/>
    </row>
    <row r="46" spans="1:9">
      <c r="A46" s="16" t="s">
        <v>197</v>
      </c>
      <c r="B46" s="137">
        <v>7</v>
      </c>
      <c r="C46" s="137">
        <v>9</v>
      </c>
      <c r="D46" s="16"/>
      <c r="E46" s="138"/>
      <c r="F46" s="16"/>
      <c r="G46" s="16"/>
      <c r="H46" s="16"/>
      <c r="I46" s="16"/>
    </row>
    <row r="47" spans="1:9">
      <c r="A47" s="16" t="s">
        <v>198</v>
      </c>
      <c r="B47" s="137">
        <v>15</v>
      </c>
      <c r="C47" s="137">
        <v>19</v>
      </c>
      <c r="D47" s="16"/>
      <c r="E47" s="138"/>
      <c r="F47" s="16"/>
      <c r="G47" s="16"/>
      <c r="H47" s="16"/>
      <c r="I47" s="16"/>
    </row>
    <row r="48" spans="1:9">
      <c r="A48" s="16" t="s">
        <v>199</v>
      </c>
      <c r="B48" s="137">
        <v>98</v>
      </c>
      <c r="C48" s="137">
        <v>97</v>
      </c>
      <c r="D48" s="16"/>
      <c r="E48" s="164"/>
      <c r="F48" s="16"/>
      <c r="G48" s="160"/>
      <c r="H48" s="16"/>
      <c r="I48" s="160"/>
    </row>
    <row r="49" spans="1:9">
      <c r="A49" s="16" t="s">
        <v>200</v>
      </c>
      <c r="B49" s="137">
        <v>94</v>
      </c>
      <c r="C49" s="137">
        <v>91</v>
      </c>
      <c r="D49" s="16"/>
      <c r="E49" s="138"/>
      <c r="F49" s="16"/>
      <c r="G49" s="16"/>
      <c r="H49" s="16"/>
      <c r="I49" s="16"/>
    </row>
    <row r="50" spans="1:9">
      <c r="A50" s="16" t="s">
        <v>201</v>
      </c>
      <c r="B50" s="137">
        <v>90</v>
      </c>
      <c r="C50" s="137">
        <v>88</v>
      </c>
      <c r="D50" s="16"/>
      <c r="E50" s="138"/>
      <c r="F50" s="16"/>
      <c r="G50" s="16"/>
      <c r="H50" s="16"/>
      <c r="I50" s="16"/>
    </row>
    <row r="51" spans="1:9">
      <c r="A51" s="16" t="s">
        <v>24</v>
      </c>
      <c r="B51" s="137">
        <v>14.04</v>
      </c>
      <c r="C51" s="161">
        <v>14.36</v>
      </c>
      <c r="D51" s="17"/>
      <c r="E51" s="138"/>
      <c r="F51" s="17"/>
      <c r="G51" s="16"/>
      <c r="H51" s="17"/>
      <c r="I51" s="16"/>
    </row>
    <row r="52" spans="1:9">
      <c r="A52" s="16" t="s">
        <v>25</v>
      </c>
      <c r="B52" s="137">
        <v>192</v>
      </c>
      <c r="C52" s="137">
        <v>192</v>
      </c>
      <c r="D52" s="16"/>
      <c r="E52" s="138"/>
      <c r="F52" s="16"/>
      <c r="G52" s="16"/>
      <c r="H52" s="16"/>
      <c r="I52" s="16"/>
    </row>
    <row r="53" spans="1:9">
      <c r="A53" s="16" t="s">
        <v>202</v>
      </c>
      <c r="B53" s="137">
        <v>192</v>
      </c>
      <c r="C53" s="137">
        <v>192</v>
      </c>
      <c r="D53" s="16"/>
      <c r="E53" s="138"/>
      <c r="F53" s="16"/>
      <c r="G53" s="16"/>
      <c r="H53" s="16"/>
      <c r="I53" s="16"/>
    </row>
    <row r="54" spans="1:9">
      <c r="A54" s="16" t="s">
        <v>26</v>
      </c>
      <c r="B54" s="137">
        <v>9.26</v>
      </c>
      <c r="C54" s="137">
        <v>9.24</v>
      </c>
      <c r="D54" s="16"/>
      <c r="E54" s="138"/>
      <c r="F54" s="16"/>
      <c r="G54" s="16"/>
      <c r="H54" s="16"/>
      <c r="I54" s="16"/>
    </row>
    <row r="55" spans="1:9">
      <c r="A55" s="16" t="s">
        <v>203</v>
      </c>
      <c r="B55" s="137">
        <v>4</v>
      </c>
      <c r="C55" s="161">
        <v>4</v>
      </c>
      <c r="D55" s="17"/>
      <c r="E55" s="138"/>
      <c r="F55" s="17"/>
      <c r="G55" s="16"/>
      <c r="H55" s="17"/>
      <c r="I55" s="16"/>
    </row>
    <row r="56" spans="1:9">
      <c r="A56" s="16" t="s">
        <v>204</v>
      </c>
      <c r="B56" s="167"/>
      <c r="C56" s="16"/>
      <c r="D56" s="16"/>
      <c r="E56" s="16"/>
      <c r="F56" s="16"/>
      <c r="G56" s="16"/>
      <c r="H56" s="16"/>
      <c r="I56" s="16"/>
    </row>
    <row r="59" spans="1:5">
      <c r="A59" s="156" t="s">
        <v>209</v>
      </c>
      <c r="B59" s="157"/>
      <c r="C59" s="158" t="s">
        <v>192</v>
      </c>
      <c r="D59" s="158"/>
      <c r="E59" s="158"/>
    </row>
    <row r="60" spans="1:9">
      <c r="A60" s="159" t="s">
        <v>9</v>
      </c>
      <c r="B60" s="159" t="s">
        <v>193</v>
      </c>
      <c r="C60" s="159" t="s">
        <v>33</v>
      </c>
      <c r="D60" s="159" t="s">
        <v>12</v>
      </c>
      <c r="E60" s="159" t="s">
        <v>13</v>
      </c>
      <c r="F60" s="159" t="s">
        <v>95</v>
      </c>
      <c r="G60" s="159"/>
      <c r="H60" s="159"/>
      <c r="I60" s="159"/>
    </row>
    <row r="61" spans="1:9">
      <c r="A61" s="16" t="s">
        <v>16</v>
      </c>
      <c r="B61" s="137">
        <v>17</v>
      </c>
      <c r="C61" s="137">
        <v>23</v>
      </c>
      <c r="D61" s="138"/>
      <c r="E61" s="138"/>
      <c r="F61" s="16"/>
      <c r="G61" s="16"/>
      <c r="H61" s="16"/>
      <c r="I61" s="16"/>
    </row>
    <row r="62" spans="1:9">
      <c r="A62" s="16" t="s">
        <v>18</v>
      </c>
      <c r="B62" s="137">
        <v>6</v>
      </c>
      <c r="C62" s="137">
        <v>0</v>
      </c>
      <c r="D62" s="138"/>
      <c r="E62" s="138"/>
      <c r="F62" s="16"/>
      <c r="G62" s="16"/>
      <c r="H62" s="16"/>
      <c r="I62" s="16"/>
    </row>
    <row r="63" spans="1:9">
      <c r="A63" s="16" t="s">
        <v>19</v>
      </c>
      <c r="B63" s="137">
        <v>207</v>
      </c>
      <c r="C63" s="137">
        <v>298</v>
      </c>
      <c r="D63" s="138"/>
      <c r="E63" s="138"/>
      <c r="F63" s="16"/>
      <c r="G63" s="16"/>
      <c r="H63" s="16"/>
      <c r="I63" s="16"/>
    </row>
    <row r="64" spans="1:9">
      <c r="A64" s="16" t="s">
        <v>195</v>
      </c>
      <c r="B64" s="137">
        <v>74.4</v>
      </c>
      <c r="C64" s="137">
        <v>89.55</v>
      </c>
      <c r="D64" s="141"/>
      <c r="E64" s="138"/>
      <c r="F64" s="16"/>
      <c r="G64" s="16"/>
      <c r="H64" s="16"/>
      <c r="I64" s="16"/>
    </row>
    <row r="65" spans="1:9">
      <c r="A65" s="16" t="s">
        <v>196</v>
      </c>
      <c r="B65" s="137">
        <v>70</v>
      </c>
      <c r="C65" s="137">
        <v>80</v>
      </c>
      <c r="D65" s="141"/>
      <c r="E65" s="138"/>
      <c r="F65" s="16"/>
      <c r="G65" s="16"/>
      <c r="H65" s="16"/>
      <c r="I65" s="16"/>
    </row>
    <row r="66" spans="1:9">
      <c r="A66" s="16" t="s">
        <v>197</v>
      </c>
      <c r="B66" s="137">
        <v>53</v>
      </c>
      <c r="C66" s="137">
        <v>17</v>
      </c>
      <c r="D66" s="138"/>
      <c r="E66" s="138"/>
      <c r="F66" s="16"/>
      <c r="G66" s="16"/>
      <c r="H66" s="16"/>
      <c r="I66" s="16"/>
    </row>
    <row r="67" spans="1:9">
      <c r="A67" s="16" t="s">
        <v>198</v>
      </c>
      <c r="B67" s="137">
        <v>25</v>
      </c>
      <c r="C67" s="137">
        <v>16</v>
      </c>
      <c r="D67" s="138"/>
      <c r="E67" s="138"/>
      <c r="F67" s="16"/>
      <c r="G67" s="16"/>
      <c r="H67" s="16"/>
      <c r="I67" s="16"/>
    </row>
    <row r="68" spans="1:9">
      <c r="A68" s="16" t="s">
        <v>199</v>
      </c>
      <c r="B68" s="137">
        <v>89</v>
      </c>
      <c r="C68" s="137">
        <v>98</v>
      </c>
      <c r="D68" s="138"/>
      <c r="E68" s="164"/>
      <c r="F68" s="16"/>
      <c r="G68" s="160"/>
      <c r="H68" s="16"/>
      <c r="I68" s="160"/>
    </row>
    <row r="69" spans="1:9">
      <c r="A69" s="16" t="s">
        <v>200</v>
      </c>
      <c r="B69" s="137">
        <v>33</v>
      </c>
      <c r="C69" s="137">
        <v>90</v>
      </c>
      <c r="D69" s="138"/>
      <c r="E69" s="138"/>
      <c r="F69" s="16"/>
      <c r="G69" s="16"/>
      <c r="H69" s="16"/>
      <c r="I69" s="16"/>
    </row>
    <row r="70" spans="1:9">
      <c r="A70" s="16" t="s">
        <v>201</v>
      </c>
      <c r="B70" s="137">
        <v>85</v>
      </c>
      <c r="C70" s="137">
        <v>85</v>
      </c>
      <c r="D70" s="138"/>
      <c r="E70" s="138"/>
      <c r="F70" s="16"/>
      <c r="G70" s="16"/>
      <c r="H70" s="16"/>
      <c r="I70" s="16"/>
    </row>
    <row r="71" spans="1:9">
      <c r="A71" s="16" t="s">
        <v>24</v>
      </c>
      <c r="B71" s="137">
        <v>12.71</v>
      </c>
      <c r="C71" s="161">
        <v>12.96</v>
      </c>
      <c r="D71" s="162"/>
      <c r="E71" s="138"/>
      <c r="F71" s="17"/>
      <c r="G71" s="16"/>
      <c r="H71" s="17"/>
      <c r="I71" s="16"/>
    </row>
    <row r="72" spans="1:9">
      <c r="A72" s="16" t="s">
        <v>25</v>
      </c>
      <c r="B72" s="137">
        <v>162</v>
      </c>
      <c r="C72" s="137">
        <v>210</v>
      </c>
      <c r="D72" s="138"/>
      <c r="E72" s="138"/>
      <c r="F72" s="16"/>
      <c r="G72" s="16"/>
      <c r="H72" s="16"/>
      <c r="I72" s="16"/>
    </row>
    <row r="73" spans="1:9">
      <c r="A73" s="16" t="s">
        <v>202</v>
      </c>
      <c r="B73" s="137">
        <v>162</v>
      </c>
      <c r="C73" s="137">
        <v>210</v>
      </c>
      <c r="D73" s="141"/>
      <c r="E73" s="138"/>
      <c r="F73" s="16"/>
      <c r="G73" s="16"/>
      <c r="H73" s="16"/>
      <c r="I73" s="16"/>
    </row>
    <row r="74" spans="1:9">
      <c r="A74" s="16" t="s">
        <v>26</v>
      </c>
      <c r="B74" s="137">
        <v>9.53</v>
      </c>
      <c r="C74" s="137">
        <v>9.13</v>
      </c>
      <c r="D74" s="138"/>
      <c r="E74" s="138"/>
      <c r="F74" s="16"/>
      <c r="G74" s="16"/>
      <c r="H74" s="16"/>
      <c r="I74" s="16"/>
    </row>
    <row r="75" spans="1:9">
      <c r="A75" s="16" t="s">
        <v>203</v>
      </c>
      <c r="B75" s="137">
        <v>3</v>
      </c>
      <c r="C75" s="161">
        <v>3</v>
      </c>
      <c r="D75" s="162"/>
      <c r="E75" s="138"/>
      <c r="F75" s="17"/>
      <c r="G75" s="16"/>
      <c r="H75" s="17"/>
      <c r="I75" s="16"/>
    </row>
    <row r="76" spans="1:9">
      <c r="A76" s="16" t="s">
        <v>204</v>
      </c>
      <c r="B76" s="167"/>
      <c r="C76" s="16"/>
      <c r="D76" s="16"/>
      <c r="E76" s="16"/>
      <c r="F76" s="16"/>
      <c r="G76" s="16"/>
      <c r="H76" s="16"/>
      <c r="I76" s="16"/>
    </row>
    <row r="79" spans="1:5">
      <c r="A79" s="156" t="s">
        <v>210</v>
      </c>
      <c r="B79" s="157"/>
      <c r="C79" s="158" t="s">
        <v>192</v>
      </c>
      <c r="D79" s="158"/>
      <c r="E79" s="158"/>
    </row>
    <row r="80" spans="1:9">
      <c r="A80" s="159" t="s">
        <v>9</v>
      </c>
      <c r="B80" s="159" t="s">
        <v>93</v>
      </c>
      <c r="C80" s="159" t="s">
        <v>94</v>
      </c>
      <c r="D80" s="159" t="s">
        <v>12</v>
      </c>
      <c r="E80" s="159" t="s">
        <v>13</v>
      </c>
      <c r="F80" s="159" t="s">
        <v>95</v>
      </c>
      <c r="G80" s="159"/>
      <c r="H80" s="159"/>
      <c r="I80" s="159"/>
    </row>
    <row r="81" spans="1:9">
      <c r="A81" s="16" t="s">
        <v>16</v>
      </c>
      <c r="B81" s="16"/>
      <c r="C81" s="16"/>
      <c r="D81" s="16"/>
      <c r="E81" s="16"/>
      <c r="F81" s="16"/>
      <c r="G81" s="16"/>
      <c r="H81" s="16"/>
      <c r="I81" s="16"/>
    </row>
    <row r="82" spans="1:9">
      <c r="A82" s="16" t="s">
        <v>18</v>
      </c>
      <c r="B82" s="16"/>
      <c r="C82" s="16"/>
      <c r="D82" s="16"/>
      <c r="E82" s="16"/>
      <c r="F82" s="16"/>
      <c r="G82" s="16"/>
      <c r="H82" s="16"/>
      <c r="I82" s="16"/>
    </row>
    <row r="83" spans="1:9">
      <c r="A83" s="16" t="s">
        <v>19</v>
      </c>
      <c r="B83" s="16"/>
      <c r="C83" s="16"/>
      <c r="D83" s="16"/>
      <c r="E83" s="16"/>
      <c r="F83" s="16"/>
      <c r="G83" s="16"/>
      <c r="H83" s="16"/>
      <c r="I83" s="16"/>
    </row>
    <row r="84" spans="1:9">
      <c r="A84" s="16" t="s">
        <v>195</v>
      </c>
      <c r="B84" s="16"/>
      <c r="C84" s="16"/>
      <c r="D84" s="16"/>
      <c r="E84" s="16"/>
      <c r="F84" s="16"/>
      <c r="G84" s="16"/>
      <c r="H84" s="16"/>
      <c r="I84" s="16"/>
    </row>
    <row r="85" spans="1:9">
      <c r="A85" s="16" t="s">
        <v>196</v>
      </c>
      <c r="B85" s="16"/>
      <c r="C85" s="16"/>
      <c r="D85" s="16"/>
      <c r="E85" s="16"/>
      <c r="F85" s="16"/>
      <c r="G85" s="16"/>
      <c r="H85" s="16"/>
      <c r="I85" s="16"/>
    </row>
    <row r="86" spans="1:9">
      <c r="A86" s="16" t="s">
        <v>197</v>
      </c>
      <c r="B86" s="16"/>
      <c r="C86" s="16"/>
      <c r="D86" s="16"/>
      <c r="E86" s="16"/>
      <c r="F86" s="16"/>
      <c r="G86" s="16"/>
      <c r="H86" s="16"/>
      <c r="I86" s="16"/>
    </row>
    <row r="87" spans="1:9">
      <c r="A87" s="16" t="s">
        <v>198</v>
      </c>
      <c r="B87" s="16"/>
      <c r="C87" s="16"/>
      <c r="D87" s="16"/>
      <c r="E87" s="16"/>
      <c r="F87" s="16"/>
      <c r="G87" s="16"/>
      <c r="H87" s="16"/>
      <c r="I87" s="16"/>
    </row>
    <row r="88" spans="1:9">
      <c r="A88" s="16" t="s">
        <v>199</v>
      </c>
      <c r="B88" s="16"/>
      <c r="C88" s="16"/>
      <c r="D88" s="16"/>
      <c r="E88" s="160"/>
      <c r="F88" s="16"/>
      <c r="G88" s="160"/>
      <c r="H88" s="16"/>
      <c r="I88" s="160"/>
    </row>
    <row r="89" spans="1:9">
      <c r="A89" s="16" t="s">
        <v>200</v>
      </c>
      <c r="B89" s="16"/>
      <c r="C89" s="16"/>
      <c r="D89" s="16"/>
      <c r="E89" s="16"/>
      <c r="F89" s="16"/>
      <c r="G89" s="16"/>
      <c r="H89" s="16"/>
      <c r="I89" s="16"/>
    </row>
    <row r="90" spans="1:9">
      <c r="A90" s="16" t="s">
        <v>201</v>
      </c>
      <c r="B90" s="16"/>
      <c r="C90" s="16"/>
      <c r="D90" s="16"/>
      <c r="E90" s="16"/>
      <c r="F90" s="16"/>
      <c r="G90" s="16"/>
      <c r="H90" s="16"/>
      <c r="I90" s="16"/>
    </row>
    <row r="91" spans="1:9">
      <c r="A91" s="16" t="s">
        <v>24</v>
      </c>
      <c r="B91" s="16"/>
      <c r="C91" s="16"/>
      <c r="D91" s="17"/>
      <c r="E91" s="16"/>
      <c r="F91" s="17"/>
      <c r="G91" s="16"/>
      <c r="H91" s="17"/>
      <c r="I91" s="16"/>
    </row>
    <row r="92" spans="1:9">
      <c r="A92" s="16" t="s">
        <v>25</v>
      </c>
      <c r="B92" s="16"/>
      <c r="C92" s="16"/>
      <c r="D92" s="16"/>
      <c r="E92" s="16"/>
      <c r="F92" s="16"/>
      <c r="G92" s="16"/>
      <c r="H92" s="16"/>
      <c r="I92" s="16"/>
    </row>
    <row r="93" spans="1:9">
      <c r="A93" s="16" t="s">
        <v>202</v>
      </c>
      <c r="B93" s="16"/>
      <c r="C93" s="16"/>
      <c r="D93" s="16"/>
      <c r="E93" s="16"/>
      <c r="F93" s="16"/>
      <c r="G93" s="16"/>
      <c r="H93" s="16"/>
      <c r="I93" s="16"/>
    </row>
    <row r="94" spans="1:9">
      <c r="A94" s="16" t="s">
        <v>26</v>
      </c>
      <c r="B94" s="16"/>
      <c r="C94" s="16"/>
      <c r="D94" s="16"/>
      <c r="E94" s="16"/>
      <c r="F94" s="16"/>
      <c r="G94" s="16"/>
      <c r="H94" s="16"/>
      <c r="I94" s="16"/>
    </row>
    <row r="95" spans="1:9">
      <c r="A95" s="16" t="s">
        <v>203</v>
      </c>
      <c r="B95" s="16"/>
      <c r="C95" s="16"/>
      <c r="D95" s="17"/>
      <c r="E95" s="16"/>
      <c r="F95" s="17"/>
      <c r="G95" s="16"/>
      <c r="H95" s="17"/>
      <c r="I95" s="16"/>
    </row>
    <row r="96" spans="1:9">
      <c r="A96" s="16" t="s">
        <v>204</v>
      </c>
      <c r="B96" s="16"/>
      <c r="C96" s="16"/>
      <c r="D96" s="16"/>
      <c r="E96" s="16"/>
      <c r="F96" s="16"/>
      <c r="G96" s="16"/>
      <c r="H96" s="16"/>
      <c r="I96" s="16"/>
    </row>
  </sheetData>
  <mergeCells count="11">
    <mergeCell ref="A1:B1"/>
    <mergeCell ref="C1:E1"/>
    <mergeCell ref="A19:E19"/>
    <mergeCell ref="A20:B20"/>
    <mergeCell ref="C20:E20"/>
    <mergeCell ref="A39:B39"/>
    <mergeCell ref="C39:E39"/>
    <mergeCell ref="A59:B59"/>
    <mergeCell ref="C59:E59"/>
    <mergeCell ref="A79:B79"/>
    <mergeCell ref="C79:E79"/>
  </mergeCells>
  <pageMargins left="0.699305555555556" right="0.699305555555556" top="0.75" bottom="0.75" header="0.511111111111111" footer="0.51111111111111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zoomScale="200" zoomScaleNormal="200" workbookViewId="0">
      <selection activeCell="A1" sqref="A1:F1"/>
    </sheetView>
  </sheetViews>
  <sheetFormatPr defaultColWidth="9.64545454545454" defaultRowHeight="14.5"/>
  <cols>
    <col min="1" max="1" width="16.2272727272727" customWidth="1"/>
    <col min="2" max="2" width="10" customWidth="1"/>
    <col min="3" max="3" width="8.88181818181818" customWidth="1"/>
    <col min="4" max="256" width="10" customWidth="1"/>
    <col min="257" max="1025" width="9" customWidth="1"/>
  </cols>
  <sheetData>
    <row r="1" s="132" customFormat="1" spans="1:11">
      <c r="A1" s="133" t="s">
        <v>211</v>
      </c>
      <c r="B1" s="134"/>
      <c r="C1" s="134"/>
      <c r="D1" s="134"/>
      <c r="E1" s="134"/>
      <c r="F1" s="134"/>
      <c r="G1" s="133" t="s">
        <v>212</v>
      </c>
      <c r="H1" s="134"/>
      <c r="I1" s="134"/>
      <c r="J1" s="134"/>
      <c r="K1" s="134"/>
    </row>
    <row r="2" spans="1:15">
      <c r="A2" s="122" t="s">
        <v>213</v>
      </c>
      <c r="B2" s="135" t="s">
        <v>33</v>
      </c>
      <c r="C2" s="136"/>
      <c r="D2" s="135"/>
      <c r="E2" s="136"/>
      <c r="F2" s="135"/>
      <c r="G2" s="136"/>
      <c r="H2" s="135" t="s">
        <v>13</v>
      </c>
      <c r="I2" s="136"/>
      <c r="J2" s="135" t="s">
        <v>95</v>
      </c>
      <c r="K2" s="136"/>
      <c r="L2" s="135"/>
      <c r="M2" s="136"/>
      <c r="N2" s="135"/>
      <c r="O2" s="136"/>
    </row>
    <row r="3" spans="1:15">
      <c r="A3" s="122"/>
      <c r="B3" s="16" t="s">
        <v>214</v>
      </c>
      <c r="C3" s="16" t="s">
        <v>215</v>
      </c>
      <c r="D3" s="16" t="s">
        <v>214</v>
      </c>
      <c r="E3" s="16" t="s">
        <v>216</v>
      </c>
      <c r="F3" s="16" t="s">
        <v>214</v>
      </c>
      <c r="G3" s="16" t="s">
        <v>216</v>
      </c>
      <c r="H3" s="16" t="s">
        <v>214</v>
      </c>
      <c r="I3" s="16" t="s">
        <v>216</v>
      </c>
      <c r="J3" s="16" t="s">
        <v>214</v>
      </c>
      <c r="K3" s="16" t="s">
        <v>216</v>
      </c>
      <c r="L3" s="16" t="s">
        <v>214</v>
      </c>
      <c r="M3" s="16" t="s">
        <v>216</v>
      </c>
      <c r="N3" s="16" t="s">
        <v>214</v>
      </c>
      <c r="O3" s="16" t="s">
        <v>216</v>
      </c>
    </row>
    <row r="4" spans="1:15">
      <c r="A4" s="124" t="s">
        <v>217</v>
      </c>
      <c r="B4" s="137">
        <v>3</v>
      </c>
      <c r="C4" s="137">
        <v>41</v>
      </c>
      <c r="D4" s="138"/>
      <c r="E4" s="139"/>
      <c r="F4" s="138"/>
      <c r="G4" s="140"/>
      <c r="H4" s="16"/>
      <c r="I4" s="123"/>
      <c r="J4" s="16"/>
      <c r="K4" s="16"/>
      <c r="L4" s="16"/>
      <c r="M4" s="123"/>
      <c r="N4" s="16"/>
      <c r="O4" s="16"/>
    </row>
    <row r="5" spans="1:15">
      <c r="A5" s="124" t="s">
        <v>218</v>
      </c>
      <c r="B5" s="141">
        <v>3</v>
      </c>
      <c r="C5" s="141">
        <v>17</v>
      </c>
      <c r="D5" s="138"/>
      <c r="E5" s="139"/>
      <c r="F5" s="138"/>
      <c r="G5" s="140"/>
      <c r="H5" s="16"/>
      <c r="I5" s="123"/>
      <c r="J5" s="16"/>
      <c r="K5" s="16"/>
      <c r="L5" s="16"/>
      <c r="M5" s="123"/>
      <c r="N5" s="16"/>
      <c r="O5" s="16"/>
    </row>
    <row r="6" spans="1:15">
      <c r="A6" s="124" t="s">
        <v>219</v>
      </c>
      <c r="B6" s="137">
        <v>5</v>
      </c>
      <c r="C6" s="137">
        <v>109</v>
      </c>
      <c r="D6" s="138"/>
      <c r="E6" s="139"/>
      <c r="F6" s="138"/>
      <c r="G6" s="140"/>
      <c r="H6" s="16"/>
      <c r="I6" s="123"/>
      <c r="J6" s="16"/>
      <c r="K6" s="16"/>
      <c r="L6" s="16"/>
      <c r="M6" s="123"/>
      <c r="N6" s="16"/>
      <c r="O6" s="16"/>
    </row>
    <row r="7" spans="1:15">
      <c r="A7" s="124" t="s">
        <v>220</v>
      </c>
      <c r="B7" s="137">
        <v>0</v>
      </c>
      <c r="C7" s="137">
        <v>0</v>
      </c>
      <c r="D7" s="138"/>
      <c r="E7" s="139"/>
      <c r="F7" s="138"/>
      <c r="G7" s="140"/>
      <c r="H7" s="16"/>
      <c r="I7" s="123"/>
      <c r="J7" s="16"/>
      <c r="K7" s="16"/>
      <c r="L7" s="16"/>
      <c r="M7" s="123"/>
      <c r="N7" s="16"/>
      <c r="O7" s="16"/>
    </row>
    <row r="8" spans="1:15">
      <c r="A8" s="124" t="s">
        <v>221</v>
      </c>
      <c r="B8" s="141">
        <v>7</v>
      </c>
      <c r="C8" s="141">
        <v>133</v>
      </c>
      <c r="D8" s="138"/>
      <c r="E8" s="139"/>
      <c r="F8" s="138"/>
      <c r="G8" s="140"/>
      <c r="H8" s="16"/>
      <c r="I8" s="123"/>
      <c r="J8" s="16"/>
      <c r="K8" s="16"/>
      <c r="L8" s="16"/>
      <c r="M8" s="123"/>
      <c r="N8" s="16"/>
      <c r="O8" s="16"/>
    </row>
    <row r="9" spans="1:15">
      <c r="A9" s="124" t="s">
        <v>222</v>
      </c>
      <c r="B9" s="137">
        <v>3</v>
      </c>
      <c r="C9" s="137">
        <v>10</v>
      </c>
      <c r="D9" s="138"/>
      <c r="E9" s="139"/>
      <c r="F9" s="138"/>
      <c r="G9" s="140"/>
      <c r="H9" s="16"/>
      <c r="I9" s="123"/>
      <c r="J9" s="16"/>
      <c r="K9" s="16"/>
      <c r="L9" s="16"/>
      <c r="M9" s="123"/>
      <c r="N9" s="16"/>
      <c r="O9" s="16"/>
    </row>
    <row r="10" spans="1:15">
      <c r="A10" s="124" t="s">
        <v>223</v>
      </c>
      <c r="B10" s="141">
        <v>1</v>
      </c>
      <c r="C10" s="137">
        <v>3</v>
      </c>
      <c r="D10" s="138"/>
      <c r="E10" s="139"/>
      <c r="F10" s="138"/>
      <c r="G10" s="140"/>
      <c r="H10" s="16"/>
      <c r="I10" s="123"/>
      <c r="J10" s="16"/>
      <c r="K10" s="16"/>
      <c r="L10" s="16"/>
      <c r="M10" s="123"/>
      <c r="N10" s="16"/>
      <c r="O10" s="16"/>
    </row>
    <row r="11" spans="1:15">
      <c r="A11" s="124" t="s">
        <v>224</v>
      </c>
      <c r="B11" s="137">
        <v>2</v>
      </c>
      <c r="C11" s="137">
        <v>7</v>
      </c>
      <c r="D11" s="138"/>
      <c r="E11" s="139"/>
      <c r="F11" s="138"/>
      <c r="G11" s="140"/>
      <c r="H11" s="16"/>
      <c r="I11" s="123"/>
      <c r="J11" s="16"/>
      <c r="K11" s="16"/>
      <c r="L11" s="16"/>
      <c r="M11" s="123"/>
      <c r="N11" s="16"/>
      <c r="O11" s="16"/>
    </row>
    <row r="12" spans="1:15">
      <c r="A12" s="124" t="s">
        <v>225</v>
      </c>
      <c r="B12" s="137">
        <v>5</v>
      </c>
      <c r="C12" s="137">
        <v>55</v>
      </c>
      <c r="D12" s="142"/>
      <c r="E12" s="142"/>
      <c r="F12" s="138"/>
      <c r="G12" s="140"/>
      <c r="H12" s="16"/>
      <c r="I12" s="123"/>
      <c r="J12" s="16"/>
      <c r="K12" s="16"/>
      <c r="L12" s="16"/>
      <c r="M12" s="123"/>
      <c r="N12" s="16"/>
      <c r="O12" s="16"/>
    </row>
    <row r="13" spans="1:15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</row>
    <row r="14" s="132" customFormat="1" spans="1:11">
      <c r="A14" s="133" t="s">
        <v>226</v>
      </c>
      <c r="B14" s="134"/>
      <c r="C14" s="134"/>
      <c r="D14" s="134"/>
      <c r="E14" s="134"/>
      <c r="F14" s="134"/>
      <c r="G14" s="133" t="s">
        <v>227</v>
      </c>
      <c r="H14" s="134"/>
      <c r="I14" s="134"/>
      <c r="J14" s="134"/>
      <c r="K14" s="134"/>
    </row>
    <row r="15" spans="1:15">
      <c r="A15" s="122" t="s">
        <v>213</v>
      </c>
      <c r="B15" s="135" t="s">
        <v>93</v>
      </c>
      <c r="C15" s="136"/>
      <c r="D15" s="135" t="s">
        <v>94</v>
      </c>
      <c r="E15" s="136"/>
      <c r="F15" s="135" t="s">
        <v>12</v>
      </c>
      <c r="G15" s="136"/>
      <c r="H15" s="135" t="s">
        <v>13</v>
      </c>
      <c r="I15" s="136"/>
      <c r="J15" s="135" t="s">
        <v>95</v>
      </c>
      <c r="K15" s="136"/>
      <c r="L15" s="135"/>
      <c r="M15" s="136"/>
      <c r="N15" s="135"/>
      <c r="O15" s="136"/>
    </row>
    <row r="16" spans="1:15">
      <c r="A16" s="122"/>
      <c r="B16" s="16" t="s">
        <v>214</v>
      </c>
      <c r="C16" s="16" t="s">
        <v>215</v>
      </c>
      <c r="D16" s="16" t="s">
        <v>214</v>
      </c>
      <c r="E16" s="16" t="s">
        <v>216</v>
      </c>
      <c r="F16" s="16" t="s">
        <v>214</v>
      </c>
      <c r="G16" s="16" t="s">
        <v>216</v>
      </c>
      <c r="H16" s="16" t="s">
        <v>214</v>
      </c>
      <c r="I16" s="16" t="s">
        <v>216</v>
      </c>
      <c r="J16" s="16" t="s">
        <v>214</v>
      </c>
      <c r="K16" s="16" t="s">
        <v>216</v>
      </c>
      <c r="L16" s="16" t="s">
        <v>214</v>
      </c>
      <c r="M16" s="16" t="s">
        <v>216</v>
      </c>
      <c r="N16" s="16" t="s">
        <v>214</v>
      </c>
      <c r="O16" s="16" t="s">
        <v>216</v>
      </c>
    </row>
    <row r="17" spans="1:15">
      <c r="A17" s="124" t="s">
        <v>217</v>
      </c>
      <c r="B17" s="138"/>
      <c r="C17" s="139"/>
      <c r="D17" s="138"/>
      <c r="E17" s="139"/>
      <c r="F17" s="138"/>
      <c r="G17" s="140"/>
      <c r="H17" s="138"/>
      <c r="I17" s="140"/>
      <c r="J17" s="16"/>
      <c r="K17" s="16"/>
      <c r="L17" s="16"/>
      <c r="M17" s="123"/>
      <c r="N17" s="16"/>
      <c r="O17" s="16"/>
    </row>
    <row r="18" spans="1:15">
      <c r="A18" s="124" t="s">
        <v>218</v>
      </c>
      <c r="B18" s="138"/>
      <c r="C18" s="139"/>
      <c r="D18" s="138"/>
      <c r="E18" s="139"/>
      <c r="F18" s="138"/>
      <c r="G18" s="140"/>
      <c r="H18" s="138"/>
      <c r="I18" s="140"/>
      <c r="J18" s="16"/>
      <c r="K18" s="16"/>
      <c r="L18" s="16"/>
      <c r="M18" s="123"/>
      <c r="N18" s="16"/>
      <c r="O18" s="16"/>
    </row>
    <row r="19" spans="1:15">
      <c r="A19" s="124" t="s">
        <v>219</v>
      </c>
      <c r="B19" s="138"/>
      <c r="C19" s="139"/>
      <c r="D19" s="138"/>
      <c r="E19" s="139"/>
      <c r="F19" s="138"/>
      <c r="G19" s="140"/>
      <c r="H19" s="138"/>
      <c r="I19" s="140"/>
      <c r="J19" s="16"/>
      <c r="K19" s="16"/>
      <c r="L19" s="16"/>
      <c r="M19" s="123"/>
      <c r="N19" s="16"/>
      <c r="O19" s="16"/>
    </row>
    <row r="20" spans="1:15">
      <c r="A20" s="124" t="s">
        <v>220</v>
      </c>
      <c r="B20" s="138"/>
      <c r="C20" s="139"/>
      <c r="D20" s="138"/>
      <c r="E20" s="139"/>
      <c r="F20" s="138"/>
      <c r="G20" s="140"/>
      <c r="H20" s="138"/>
      <c r="I20" s="140"/>
      <c r="J20" s="16"/>
      <c r="K20" s="16"/>
      <c r="L20" s="16"/>
      <c r="M20" s="123"/>
      <c r="N20" s="16"/>
      <c r="O20" s="16"/>
    </row>
    <row r="21" spans="1:15">
      <c r="A21" s="124" t="s">
        <v>221</v>
      </c>
      <c r="B21" s="138"/>
      <c r="C21" s="139"/>
      <c r="D21" s="138"/>
      <c r="E21" s="139"/>
      <c r="F21" s="138"/>
      <c r="G21" s="140"/>
      <c r="H21" s="138"/>
      <c r="I21" s="140"/>
      <c r="J21" s="16"/>
      <c r="K21" s="16"/>
      <c r="L21" s="16"/>
      <c r="M21" s="123"/>
      <c r="N21" s="16"/>
      <c r="O21" s="16"/>
    </row>
    <row r="22" spans="1:15">
      <c r="A22" s="124" t="s">
        <v>222</v>
      </c>
      <c r="B22" s="138"/>
      <c r="C22" s="139"/>
      <c r="D22" s="138"/>
      <c r="E22" s="139"/>
      <c r="F22" s="138"/>
      <c r="G22" s="140"/>
      <c r="H22" s="138"/>
      <c r="I22" s="140"/>
      <c r="J22" s="16"/>
      <c r="K22" s="16"/>
      <c r="L22" s="16"/>
      <c r="M22" s="123"/>
      <c r="N22" s="16"/>
      <c r="O22" s="16"/>
    </row>
    <row r="23" spans="1:15">
      <c r="A23" s="124" t="s">
        <v>223</v>
      </c>
      <c r="B23" s="138"/>
      <c r="C23" s="139"/>
      <c r="D23" s="138"/>
      <c r="E23" s="139"/>
      <c r="F23" s="138"/>
      <c r="G23" s="140"/>
      <c r="H23" s="138"/>
      <c r="I23" s="140"/>
      <c r="J23" s="16"/>
      <c r="K23" s="16"/>
      <c r="L23" s="16"/>
      <c r="M23" s="123"/>
      <c r="N23" s="16"/>
      <c r="O23" s="16"/>
    </row>
    <row r="24" spans="1:15">
      <c r="A24" s="124" t="s">
        <v>224</v>
      </c>
      <c r="B24" s="138"/>
      <c r="C24" s="139"/>
      <c r="D24" s="138"/>
      <c r="E24" s="139"/>
      <c r="F24" s="138"/>
      <c r="G24" s="140"/>
      <c r="H24" s="138"/>
      <c r="I24" s="140"/>
      <c r="J24" s="16"/>
      <c r="K24" s="16"/>
      <c r="L24" s="16"/>
      <c r="M24" s="123"/>
      <c r="N24" s="16"/>
      <c r="O24" s="16"/>
    </row>
    <row r="25" spans="1:15">
      <c r="A25" s="124" t="s">
        <v>225</v>
      </c>
      <c r="B25" s="144"/>
      <c r="C25" s="144"/>
      <c r="D25" s="142"/>
      <c r="E25" s="142"/>
      <c r="F25" s="138"/>
      <c r="G25" s="140"/>
      <c r="H25" s="138"/>
      <c r="I25" s="140"/>
      <c r="J25" s="16"/>
      <c r="K25" s="16"/>
      <c r="L25" s="16"/>
      <c r="M25" s="123"/>
      <c r="N25" s="16"/>
      <c r="O25" s="16"/>
    </row>
    <row r="26" spans="1:15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</row>
    <row r="27" s="132" customFormat="1" spans="1:11">
      <c r="A27" s="133" t="s">
        <v>228</v>
      </c>
      <c r="B27" s="134"/>
      <c r="C27" s="134"/>
      <c r="D27" s="134"/>
      <c r="E27" s="134"/>
      <c r="F27" s="134"/>
      <c r="G27" s="133" t="s">
        <v>229</v>
      </c>
      <c r="H27" s="134"/>
      <c r="I27" s="134"/>
      <c r="J27" s="134"/>
      <c r="K27" s="134"/>
    </row>
    <row r="28" spans="1:15">
      <c r="A28" s="122" t="s">
        <v>213</v>
      </c>
      <c r="B28" s="145" t="s">
        <v>230</v>
      </c>
      <c r="C28" s="145"/>
      <c r="D28" s="145" t="s">
        <v>231</v>
      </c>
      <c r="E28" s="145"/>
      <c r="F28" s="135" t="s">
        <v>12</v>
      </c>
      <c r="G28" s="136"/>
      <c r="H28" s="135" t="s">
        <v>13</v>
      </c>
      <c r="I28" s="136"/>
      <c r="J28" s="135" t="s">
        <v>95</v>
      </c>
      <c r="K28" s="136"/>
      <c r="L28" s="135"/>
      <c r="M28" s="136"/>
      <c r="N28" s="135"/>
      <c r="O28" s="136"/>
    </row>
    <row r="29" spans="1:15">
      <c r="A29" s="122"/>
      <c r="B29" s="146" t="s">
        <v>232</v>
      </c>
      <c r="C29" s="146" t="s">
        <v>233</v>
      </c>
      <c r="D29" s="146" t="s">
        <v>232</v>
      </c>
      <c r="E29" s="146" t="s">
        <v>233</v>
      </c>
      <c r="F29" s="16" t="s">
        <v>214</v>
      </c>
      <c r="G29" s="16" t="s">
        <v>215</v>
      </c>
      <c r="H29" s="16" t="s">
        <v>214</v>
      </c>
      <c r="I29" s="16" t="s">
        <v>216</v>
      </c>
      <c r="J29" s="16" t="s">
        <v>214</v>
      </c>
      <c r="K29" s="16" t="s">
        <v>216</v>
      </c>
      <c r="L29" s="16" t="s">
        <v>214</v>
      </c>
      <c r="M29" s="16" t="s">
        <v>216</v>
      </c>
      <c r="N29" s="16" t="s">
        <v>214</v>
      </c>
      <c r="O29" s="16" t="s">
        <v>216</v>
      </c>
    </row>
    <row r="30" spans="1:15">
      <c r="A30" s="124" t="s">
        <v>217</v>
      </c>
      <c r="B30" s="137">
        <v>3</v>
      </c>
      <c r="C30" s="147" t="s">
        <v>234</v>
      </c>
      <c r="D30" s="137">
        <v>3</v>
      </c>
      <c r="E30" s="147" t="s">
        <v>234</v>
      </c>
      <c r="F30" s="16"/>
      <c r="G30" s="123"/>
      <c r="H30" s="138"/>
      <c r="I30" s="140"/>
      <c r="J30" s="16"/>
      <c r="K30" s="16"/>
      <c r="L30" s="16"/>
      <c r="M30" s="123"/>
      <c r="N30" s="16"/>
      <c r="O30" s="16"/>
    </row>
    <row r="31" spans="1:15">
      <c r="A31" s="124" t="s">
        <v>218</v>
      </c>
      <c r="B31" s="137">
        <v>1</v>
      </c>
      <c r="C31" s="148">
        <v>20</v>
      </c>
      <c r="D31" s="137">
        <v>1</v>
      </c>
      <c r="E31" s="148">
        <v>10</v>
      </c>
      <c r="F31" s="16"/>
      <c r="G31" s="123"/>
      <c r="H31" s="138"/>
      <c r="I31" s="140"/>
      <c r="J31" s="16"/>
      <c r="K31" s="16"/>
      <c r="L31" s="16"/>
      <c r="M31" s="123"/>
      <c r="N31" s="16"/>
      <c r="O31" s="16"/>
    </row>
    <row r="32" spans="1:15">
      <c r="A32" s="124" t="s">
        <v>219</v>
      </c>
      <c r="B32" s="137">
        <v>1</v>
      </c>
      <c r="C32" s="148">
        <v>17</v>
      </c>
      <c r="D32" s="137">
        <v>2</v>
      </c>
      <c r="E32" s="148">
        <v>20</v>
      </c>
      <c r="F32" s="16"/>
      <c r="G32" s="123"/>
      <c r="H32" s="141"/>
      <c r="I32" s="153"/>
      <c r="J32" s="16"/>
      <c r="K32" s="16"/>
      <c r="L32" s="16"/>
      <c r="M32" s="123"/>
      <c r="N32" s="16"/>
      <c r="O32" s="16"/>
    </row>
    <row r="33" spans="1:15">
      <c r="A33" s="124" t="s">
        <v>220</v>
      </c>
      <c r="B33" s="137">
        <v>0</v>
      </c>
      <c r="C33" s="149"/>
      <c r="D33" s="141"/>
      <c r="E33" s="149"/>
      <c r="F33" s="16"/>
      <c r="G33" s="123"/>
      <c r="H33" s="141"/>
      <c r="I33" s="153"/>
      <c r="J33" s="16"/>
      <c r="K33" s="16"/>
      <c r="L33" s="16"/>
      <c r="M33" s="123"/>
      <c r="N33" s="16"/>
      <c r="O33" s="16"/>
    </row>
    <row r="34" spans="1:15">
      <c r="A34" s="124" t="s">
        <v>221</v>
      </c>
      <c r="B34" s="137">
        <v>2</v>
      </c>
      <c r="C34" s="148">
        <v>50</v>
      </c>
      <c r="D34" s="137">
        <v>2</v>
      </c>
      <c r="E34" s="148">
        <v>20</v>
      </c>
      <c r="F34" s="16"/>
      <c r="G34" s="123"/>
      <c r="H34" s="138"/>
      <c r="I34" s="140"/>
      <c r="J34" s="16"/>
      <c r="K34" s="16"/>
      <c r="L34" s="16"/>
      <c r="M34" s="123"/>
      <c r="N34" s="16"/>
      <c r="O34" s="16"/>
    </row>
    <row r="35" spans="1:15">
      <c r="A35" s="124" t="s">
        <v>222</v>
      </c>
      <c r="B35" s="137">
        <v>2</v>
      </c>
      <c r="C35" s="148">
        <v>30</v>
      </c>
      <c r="D35" s="137">
        <v>1</v>
      </c>
      <c r="E35" s="148">
        <v>8</v>
      </c>
      <c r="F35" s="16"/>
      <c r="G35" s="123"/>
      <c r="H35" s="138"/>
      <c r="I35" s="140"/>
      <c r="J35" s="16"/>
      <c r="K35" s="16"/>
      <c r="L35" s="16"/>
      <c r="M35" s="123"/>
      <c r="N35" s="16"/>
      <c r="O35" s="16"/>
    </row>
    <row r="36" spans="1:15">
      <c r="A36" s="124" t="s">
        <v>223</v>
      </c>
      <c r="B36" s="137">
        <v>0</v>
      </c>
      <c r="C36" s="149"/>
      <c r="D36" s="141"/>
      <c r="E36" s="149"/>
      <c r="F36" s="16"/>
      <c r="G36" s="123"/>
      <c r="H36" s="141"/>
      <c r="I36" s="153"/>
      <c r="J36" s="16"/>
      <c r="K36" s="16"/>
      <c r="L36" s="16"/>
      <c r="M36" s="123"/>
      <c r="N36" s="16"/>
      <c r="O36" s="16"/>
    </row>
    <row r="37" spans="1:15">
      <c r="A37" s="124" t="s">
        <v>224</v>
      </c>
      <c r="B37" s="137">
        <v>2</v>
      </c>
      <c r="C37" s="148">
        <v>25</v>
      </c>
      <c r="D37" s="137">
        <v>2</v>
      </c>
      <c r="E37" s="148">
        <v>20</v>
      </c>
      <c r="F37" s="16"/>
      <c r="G37" s="123"/>
      <c r="H37" s="138"/>
      <c r="I37" s="140"/>
      <c r="J37" s="16"/>
      <c r="K37" s="16"/>
      <c r="L37" s="16"/>
      <c r="M37" s="123"/>
      <c r="N37" s="16"/>
      <c r="O37" s="16"/>
    </row>
    <row r="38" spans="1:15">
      <c r="A38" s="124" t="s">
        <v>225</v>
      </c>
      <c r="B38" s="150">
        <v>1</v>
      </c>
      <c r="C38" s="150">
        <v>20</v>
      </c>
      <c r="D38" s="151"/>
      <c r="E38" s="151"/>
      <c r="F38" s="16"/>
      <c r="G38" s="123"/>
      <c r="H38" s="141"/>
      <c r="I38" s="153"/>
      <c r="J38" s="16"/>
      <c r="K38" s="16"/>
      <c r="L38" s="16"/>
      <c r="M38" s="123"/>
      <c r="N38" s="16"/>
      <c r="O38" s="16"/>
    </row>
    <row r="39" spans="1:15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</row>
    <row r="40" s="132" customFormat="1" spans="1:11">
      <c r="A40" s="133" t="s">
        <v>235</v>
      </c>
      <c r="B40" s="134"/>
      <c r="C40" s="134"/>
      <c r="D40" s="134"/>
      <c r="E40" s="134"/>
      <c r="F40" s="134"/>
      <c r="G40" s="133" t="s">
        <v>236</v>
      </c>
      <c r="H40" s="134"/>
      <c r="I40" s="134"/>
      <c r="J40" s="134"/>
      <c r="K40" s="134"/>
    </row>
    <row r="41" spans="1:15">
      <c r="A41" s="122" t="s">
        <v>213</v>
      </c>
      <c r="B41" s="135" t="s">
        <v>93</v>
      </c>
      <c r="C41" s="136"/>
      <c r="D41" s="135" t="s">
        <v>94</v>
      </c>
      <c r="E41" s="136"/>
      <c r="F41" s="135" t="s">
        <v>12</v>
      </c>
      <c r="G41" s="136"/>
      <c r="H41" s="135" t="s">
        <v>13</v>
      </c>
      <c r="I41" s="136"/>
      <c r="J41" s="135" t="s">
        <v>95</v>
      </c>
      <c r="K41" s="136"/>
      <c r="L41" s="135"/>
      <c r="M41" s="136"/>
      <c r="N41" s="135"/>
      <c r="O41" s="136"/>
    </row>
    <row r="42" spans="1:15">
      <c r="A42" s="122"/>
      <c r="B42" s="16" t="s">
        <v>214</v>
      </c>
      <c r="C42" s="16" t="s">
        <v>215</v>
      </c>
      <c r="D42" s="16" t="s">
        <v>214</v>
      </c>
      <c r="E42" s="16" t="s">
        <v>216</v>
      </c>
      <c r="F42" s="16" t="s">
        <v>214</v>
      </c>
      <c r="G42" s="16" t="s">
        <v>216</v>
      </c>
      <c r="H42" s="16" t="s">
        <v>214</v>
      </c>
      <c r="I42" s="16" t="s">
        <v>216</v>
      </c>
      <c r="J42" s="16" t="s">
        <v>214</v>
      </c>
      <c r="K42" s="16" t="s">
        <v>216</v>
      </c>
      <c r="L42" s="16" t="s">
        <v>214</v>
      </c>
      <c r="M42" s="16" t="s">
        <v>216</v>
      </c>
      <c r="N42" s="16" t="s">
        <v>214</v>
      </c>
      <c r="O42" s="16" t="s">
        <v>216</v>
      </c>
    </row>
    <row r="43" spans="1:15">
      <c r="A43" s="124" t="s">
        <v>217</v>
      </c>
      <c r="B43" s="137">
        <v>2</v>
      </c>
      <c r="C43" s="148">
        <v>55</v>
      </c>
      <c r="D43" s="137">
        <v>3</v>
      </c>
      <c r="E43" s="152">
        <v>90</v>
      </c>
      <c r="F43" s="141"/>
      <c r="G43" s="140"/>
      <c r="H43" s="138"/>
      <c r="I43" s="140"/>
      <c r="J43" s="16"/>
      <c r="K43" s="16"/>
      <c r="L43" s="16"/>
      <c r="M43" s="123"/>
      <c r="N43" s="16"/>
      <c r="O43" s="16"/>
    </row>
    <row r="44" spans="1:15">
      <c r="A44" s="124" t="s">
        <v>218</v>
      </c>
      <c r="B44" s="141">
        <v>1</v>
      </c>
      <c r="C44" s="148">
        <v>20</v>
      </c>
      <c r="D44" s="137">
        <v>1</v>
      </c>
      <c r="E44" s="152">
        <v>15</v>
      </c>
      <c r="F44" s="141"/>
      <c r="G44" s="153"/>
      <c r="H44" s="138"/>
      <c r="I44" s="140"/>
      <c r="J44" s="16"/>
      <c r="K44" s="16"/>
      <c r="L44" s="16"/>
      <c r="M44" s="123"/>
      <c r="N44" s="16"/>
      <c r="O44" s="16"/>
    </row>
    <row r="45" spans="1:15">
      <c r="A45" s="124" t="s">
        <v>219</v>
      </c>
      <c r="B45" s="137">
        <v>2</v>
      </c>
      <c r="C45" s="148">
        <v>35</v>
      </c>
      <c r="D45" s="137">
        <v>2</v>
      </c>
      <c r="E45" s="152">
        <v>60</v>
      </c>
      <c r="F45" s="138"/>
      <c r="G45" s="140"/>
      <c r="H45" s="138"/>
      <c r="I45" s="140"/>
      <c r="J45" s="16"/>
      <c r="K45" s="16"/>
      <c r="L45" s="16"/>
      <c r="M45" s="123"/>
      <c r="N45" s="16"/>
      <c r="O45" s="16"/>
    </row>
    <row r="46" spans="1:15">
      <c r="A46" s="124" t="s">
        <v>220</v>
      </c>
      <c r="B46" s="137">
        <v>0</v>
      </c>
      <c r="C46" s="149"/>
      <c r="D46" s="137">
        <v>0</v>
      </c>
      <c r="E46" s="152">
        <v>0</v>
      </c>
      <c r="F46" s="141"/>
      <c r="G46" s="153"/>
      <c r="H46" s="138"/>
      <c r="I46" s="140"/>
      <c r="J46" s="16"/>
      <c r="K46" s="16"/>
      <c r="L46" s="16"/>
      <c r="M46" s="123"/>
      <c r="N46" s="16"/>
      <c r="O46" s="16"/>
    </row>
    <row r="47" spans="1:15">
      <c r="A47" s="124" t="s">
        <v>221</v>
      </c>
      <c r="B47" s="137">
        <v>5</v>
      </c>
      <c r="C47" s="148">
        <v>80</v>
      </c>
      <c r="D47" s="137">
        <v>2</v>
      </c>
      <c r="E47" s="152">
        <v>40</v>
      </c>
      <c r="F47" s="138"/>
      <c r="G47" s="140"/>
      <c r="H47" s="138"/>
      <c r="I47" s="140"/>
      <c r="J47" s="16"/>
      <c r="K47" s="16"/>
      <c r="L47" s="16"/>
      <c r="M47" s="123"/>
      <c r="N47" s="16"/>
      <c r="O47" s="16"/>
    </row>
    <row r="48" spans="1:15">
      <c r="A48" s="124" t="s">
        <v>222</v>
      </c>
      <c r="B48" s="137">
        <v>2</v>
      </c>
      <c r="C48" s="148">
        <v>45</v>
      </c>
      <c r="D48" s="137">
        <v>2</v>
      </c>
      <c r="E48" s="152">
        <v>30</v>
      </c>
      <c r="F48" s="138"/>
      <c r="G48" s="140"/>
      <c r="H48" s="138"/>
      <c r="I48" s="140"/>
      <c r="J48" s="16"/>
      <c r="K48" s="16"/>
      <c r="L48" s="16"/>
      <c r="M48" s="123"/>
      <c r="N48" s="16"/>
      <c r="O48" s="16"/>
    </row>
    <row r="49" spans="1:15">
      <c r="A49" s="124" t="s">
        <v>223</v>
      </c>
      <c r="B49" s="137">
        <v>1</v>
      </c>
      <c r="C49" s="148">
        <v>0</v>
      </c>
      <c r="D49" s="137">
        <v>0</v>
      </c>
      <c r="E49" s="152">
        <v>0</v>
      </c>
      <c r="F49" s="138"/>
      <c r="G49" s="140"/>
      <c r="H49" s="138"/>
      <c r="I49" s="140"/>
      <c r="J49" s="16"/>
      <c r="K49" s="16"/>
      <c r="L49" s="16"/>
      <c r="M49" s="123"/>
      <c r="N49" s="16"/>
      <c r="O49" s="16"/>
    </row>
    <row r="50" spans="1:15">
      <c r="A50" s="124" t="s">
        <v>224</v>
      </c>
      <c r="B50" s="137">
        <v>2</v>
      </c>
      <c r="C50" s="148">
        <v>100</v>
      </c>
      <c r="D50" s="137">
        <v>2</v>
      </c>
      <c r="E50" s="152">
        <v>30</v>
      </c>
      <c r="F50" s="138"/>
      <c r="G50" s="140"/>
      <c r="H50" s="138"/>
      <c r="I50" s="140"/>
      <c r="J50" s="16"/>
      <c r="K50" s="16"/>
      <c r="L50" s="16"/>
      <c r="M50" s="123"/>
      <c r="N50" s="16"/>
      <c r="O50" s="16"/>
    </row>
    <row r="51" spans="1:15">
      <c r="A51" s="124" t="s">
        <v>225</v>
      </c>
      <c r="B51" s="151">
        <v>2</v>
      </c>
      <c r="C51" s="151">
        <v>10</v>
      </c>
      <c r="D51" s="137">
        <v>0</v>
      </c>
      <c r="E51" s="152">
        <v>0</v>
      </c>
      <c r="F51" s="138"/>
      <c r="G51" s="140"/>
      <c r="H51" s="138"/>
      <c r="I51" s="140"/>
      <c r="J51" s="16"/>
      <c r="K51" s="16"/>
      <c r="L51" s="16"/>
      <c r="M51" s="123"/>
      <c r="N51" s="16"/>
      <c r="O51" s="16"/>
    </row>
    <row r="52" spans="1:15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</row>
    <row r="53" s="132" customFormat="1" spans="1:11">
      <c r="A53" s="133" t="s">
        <v>237</v>
      </c>
      <c r="B53" s="134"/>
      <c r="C53" s="134"/>
      <c r="D53" s="134"/>
      <c r="E53" s="134"/>
      <c r="F53" s="134"/>
      <c r="G53" s="133" t="s">
        <v>238</v>
      </c>
      <c r="H53" s="134"/>
      <c r="I53" s="134"/>
      <c r="J53" s="134"/>
      <c r="K53" s="134"/>
    </row>
    <row r="54" spans="1:15">
      <c r="A54" s="122" t="s">
        <v>213</v>
      </c>
      <c r="B54" s="135" t="s">
        <v>93</v>
      </c>
      <c r="C54" s="136"/>
      <c r="D54" s="135" t="s">
        <v>94</v>
      </c>
      <c r="E54" s="136"/>
      <c r="F54" s="135" t="s">
        <v>12</v>
      </c>
      <c r="G54" s="136"/>
      <c r="H54" s="135" t="s">
        <v>13</v>
      </c>
      <c r="I54" s="136"/>
      <c r="J54" s="135" t="s">
        <v>95</v>
      </c>
      <c r="K54" s="136"/>
      <c r="L54" s="135"/>
      <c r="M54" s="136"/>
      <c r="N54" s="135"/>
      <c r="O54" s="136"/>
    </row>
    <row r="55" spans="1:15">
      <c r="A55" s="122"/>
      <c r="B55" s="16" t="s">
        <v>214</v>
      </c>
      <c r="C55" s="16" t="s">
        <v>215</v>
      </c>
      <c r="D55" s="16" t="s">
        <v>214</v>
      </c>
      <c r="E55" s="16" t="s">
        <v>216</v>
      </c>
      <c r="F55" s="16" t="s">
        <v>214</v>
      </c>
      <c r="G55" s="16" t="s">
        <v>216</v>
      </c>
      <c r="H55" s="16" t="s">
        <v>214</v>
      </c>
      <c r="I55" s="16" t="s">
        <v>216</v>
      </c>
      <c r="J55" s="16" t="s">
        <v>214</v>
      </c>
      <c r="K55" s="16" t="s">
        <v>216</v>
      </c>
      <c r="L55" s="16" t="s">
        <v>214</v>
      </c>
      <c r="M55" s="16" t="s">
        <v>216</v>
      </c>
      <c r="N55" s="16" t="s">
        <v>214</v>
      </c>
      <c r="O55" s="16" t="s">
        <v>216</v>
      </c>
    </row>
    <row r="56" spans="1:15">
      <c r="A56" s="124" t="s">
        <v>217</v>
      </c>
      <c r="B56" s="16"/>
      <c r="C56" s="154"/>
      <c r="D56" s="16"/>
      <c r="E56" s="154"/>
      <c r="F56" s="16"/>
      <c r="G56" s="123"/>
      <c r="H56" s="16"/>
      <c r="I56" s="123"/>
      <c r="J56" s="16"/>
      <c r="K56" s="16"/>
      <c r="L56" s="16"/>
      <c r="M56" s="123"/>
      <c r="N56" s="16"/>
      <c r="O56" s="16"/>
    </row>
    <row r="57" spans="1:15">
      <c r="A57" s="124" t="s">
        <v>218</v>
      </c>
      <c r="B57" s="16"/>
      <c r="C57" s="154"/>
      <c r="D57" s="16"/>
      <c r="E57" s="154"/>
      <c r="F57" s="16"/>
      <c r="G57" s="123"/>
      <c r="H57" s="16"/>
      <c r="I57" s="123"/>
      <c r="J57" s="16"/>
      <c r="K57" s="16"/>
      <c r="L57" s="16"/>
      <c r="M57" s="123"/>
      <c r="N57" s="16"/>
      <c r="O57" s="16"/>
    </row>
    <row r="58" spans="1:15">
      <c r="A58" s="124" t="s">
        <v>219</v>
      </c>
      <c r="B58" s="16"/>
      <c r="C58" s="154"/>
      <c r="D58" s="16"/>
      <c r="E58" s="154"/>
      <c r="F58" s="16"/>
      <c r="G58" s="123"/>
      <c r="H58" s="16"/>
      <c r="I58" s="123"/>
      <c r="J58" s="16"/>
      <c r="K58" s="16"/>
      <c r="L58" s="16"/>
      <c r="M58" s="123"/>
      <c r="N58" s="16"/>
      <c r="O58" s="16"/>
    </row>
    <row r="59" spans="1:15">
      <c r="A59" s="124" t="s">
        <v>220</v>
      </c>
      <c r="B59" s="16"/>
      <c r="C59" s="154"/>
      <c r="D59" s="16"/>
      <c r="E59" s="154"/>
      <c r="F59" s="16"/>
      <c r="G59" s="123"/>
      <c r="H59" s="16"/>
      <c r="I59" s="123"/>
      <c r="J59" s="16"/>
      <c r="K59" s="16"/>
      <c r="L59" s="16"/>
      <c r="M59" s="123"/>
      <c r="N59" s="16"/>
      <c r="O59" s="16"/>
    </row>
    <row r="60" spans="1:15">
      <c r="A60" s="124" t="s">
        <v>221</v>
      </c>
      <c r="B60" s="16"/>
      <c r="C60" s="154"/>
      <c r="D60" s="16"/>
      <c r="E60" s="154"/>
      <c r="F60" s="16"/>
      <c r="G60" s="123"/>
      <c r="H60" s="16"/>
      <c r="I60" s="123"/>
      <c r="J60" s="16"/>
      <c r="K60" s="16"/>
      <c r="L60" s="16"/>
      <c r="M60" s="123"/>
      <c r="N60" s="16"/>
      <c r="O60" s="16"/>
    </row>
    <row r="61" spans="1:15">
      <c r="A61" s="124" t="s">
        <v>222</v>
      </c>
      <c r="B61" s="16"/>
      <c r="C61" s="154"/>
      <c r="D61" s="16"/>
      <c r="E61" s="154"/>
      <c r="F61" s="16"/>
      <c r="G61" s="123"/>
      <c r="H61" s="16"/>
      <c r="I61" s="123"/>
      <c r="J61" s="16"/>
      <c r="K61" s="16"/>
      <c r="L61" s="16"/>
      <c r="M61" s="123"/>
      <c r="N61" s="16"/>
      <c r="O61" s="16"/>
    </row>
    <row r="62" spans="1:15">
      <c r="A62" s="124" t="s">
        <v>223</v>
      </c>
      <c r="B62" s="16"/>
      <c r="C62" s="154"/>
      <c r="D62" s="16"/>
      <c r="E62" s="154"/>
      <c r="F62" s="16"/>
      <c r="G62" s="123"/>
      <c r="H62" s="16"/>
      <c r="I62" s="123"/>
      <c r="J62" s="16"/>
      <c r="K62" s="16"/>
      <c r="L62" s="16"/>
      <c r="M62" s="123"/>
      <c r="N62" s="16"/>
      <c r="O62" s="16"/>
    </row>
    <row r="63" spans="1:15">
      <c r="A63" s="124" t="s">
        <v>224</v>
      </c>
      <c r="B63" s="16"/>
      <c r="C63" s="154"/>
      <c r="D63" s="16"/>
      <c r="E63" s="154"/>
      <c r="F63" s="16"/>
      <c r="G63" s="123"/>
      <c r="H63" s="16"/>
      <c r="I63" s="123"/>
      <c r="J63" s="16"/>
      <c r="K63" s="16"/>
      <c r="L63" s="16"/>
      <c r="M63" s="123"/>
      <c r="N63" s="16"/>
      <c r="O63" s="16"/>
    </row>
    <row r="64" spans="1:15">
      <c r="A64" s="124" t="s">
        <v>225</v>
      </c>
      <c r="B64" s="155"/>
      <c r="C64" s="155"/>
      <c r="D64" s="126"/>
      <c r="E64" s="126"/>
      <c r="F64" s="16"/>
      <c r="G64" s="123"/>
      <c r="H64" s="16"/>
      <c r="I64" s="123"/>
      <c r="J64" s="16"/>
      <c r="K64" s="16"/>
      <c r="L64" s="16"/>
      <c r="M64" s="123"/>
      <c r="N64" s="16"/>
      <c r="O64" s="16"/>
    </row>
    <row r="65" spans="1:1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</row>
  </sheetData>
  <mergeCells count="55">
    <mergeCell ref="A1:F1"/>
    <mergeCell ref="G1:K1"/>
    <mergeCell ref="B2:C2"/>
    <mergeCell ref="D2:E2"/>
    <mergeCell ref="F2:G2"/>
    <mergeCell ref="H2:I2"/>
    <mergeCell ref="J2:K2"/>
    <mergeCell ref="L2:M2"/>
    <mergeCell ref="N2:O2"/>
    <mergeCell ref="A13:K13"/>
    <mergeCell ref="A14:F14"/>
    <mergeCell ref="G14:K14"/>
    <mergeCell ref="B15:C15"/>
    <mergeCell ref="D15:E15"/>
    <mergeCell ref="F15:G15"/>
    <mergeCell ref="H15:I15"/>
    <mergeCell ref="J15:K15"/>
    <mergeCell ref="L15:M15"/>
    <mergeCell ref="N15:O15"/>
    <mergeCell ref="A26:K26"/>
    <mergeCell ref="A27:F27"/>
    <mergeCell ref="G27:K27"/>
    <mergeCell ref="B28:C28"/>
    <mergeCell ref="D28:E28"/>
    <mergeCell ref="F28:G28"/>
    <mergeCell ref="H28:I28"/>
    <mergeCell ref="J28:K28"/>
    <mergeCell ref="L28:M28"/>
    <mergeCell ref="N28:O28"/>
    <mergeCell ref="A39:K39"/>
    <mergeCell ref="A40:F40"/>
    <mergeCell ref="G40:K40"/>
    <mergeCell ref="B41:C41"/>
    <mergeCell ref="D41:E41"/>
    <mergeCell ref="F41:G41"/>
    <mergeCell ref="H41:I41"/>
    <mergeCell ref="J41:K41"/>
    <mergeCell ref="L41:M41"/>
    <mergeCell ref="N41:O41"/>
    <mergeCell ref="A52:K52"/>
    <mergeCell ref="A53:F53"/>
    <mergeCell ref="G53:K53"/>
    <mergeCell ref="B54:C54"/>
    <mergeCell ref="D54:E54"/>
    <mergeCell ref="F54:G54"/>
    <mergeCell ref="H54:I54"/>
    <mergeCell ref="J54:K54"/>
    <mergeCell ref="L54:M54"/>
    <mergeCell ref="N54:O54"/>
    <mergeCell ref="A65:K65"/>
    <mergeCell ref="A2:A3"/>
    <mergeCell ref="A15:A16"/>
    <mergeCell ref="A28:A29"/>
    <mergeCell ref="A41:A42"/>
    <mergeCell ref="A54:A55"/>
  </mergeCells>
  <pageMargins left="0.699305555555556" right="0.699305555555556" top="0.75" bottom="0.75" header="0.511111111111111" footer="0.51111111111111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workbookViewId="0">
      <pane xSplit="1" ySplit="3" topLeftCell="E4" activePane="bottomRight" state="frozen"/>
      <selection/>
      <selection pane="topRight"/>
      <selection pane="bottomLeft"/>
      <selection pane="bottomRight" activeCell="H19" sqref="H19"/>
    </sheetView>
  </sheetViews>
  <sheetFormatPr defaultColWidth="9.64545454545454" defaultRowHeight="14.5"/>
  <cols>
    <col min="1" max="1" width="19" customWidth="1"/>
  </cols>
  <sheetData>
    <row r="1" spans="1:11">
      <c r="A1" s="120" t="s">
        <v>239</v>
      </c>
      <c r="B1" s="121"/>
      <c r="C1" s="121"/>
      <c r="D1" s="121"/>
      <c r="E1" s="121"/>
      <c r="F1" s="121" t="s">
        <v>240</v>
      </c>
      <c r="G1" s="121"/>
      <c r="H1" s="121"/>
      <c r="I1" s="121"/>
      <c r="J1" s="121"/>
      <c r="K1" s="121"/>
    </row>
    <row r="2" spans="1:17">
      <c r="A2" s="122" t="s">
        <v>241</v>
      </c>
      <c r="B2" s="120" t="s">
        <v>10</v>
      </c>
      <c r="C2" s="121"/>
      <c r="D2" s="120" t="s">
        <v>11</v>
      </c>
      <c r="E2" s="121"/>
      <c r="F2" s="120" t="s">
        <v>12</v>
      </c>
      <c r="G2" s="121"/>
      <c r="H2" s="120" t="s">
        <v>13</v>
      </c>
      <c r="I2" s="121"/>
      <c r="J2" s="120" t="s">
        <v>95</v>
      </c>
      <c r="K2" s="121"/>
      <c r="L2" s="120" t="s">
        <v>242</v>
      </c>
      <c r="M2" s="121"/>
      <c r="N2" s="120"/>
      <c r="O2" s="121"/>
      <c r="P2" s="120"/>
      <c r="Q2" s="121"/>
    </row>
    <row r="3" spans="1:17">
      <c r="A3" s="122"/>
      <c r="B3" s="123" t="s">
        <v>214</v>
      </c>
      <c r="C3" s="123" t="s">
        <v>243</v>
      </c>
      <c r="D3" s="16" t="s">
        <v>214</v>
      </c>
      <c r="E3" s="16" t="s">
        <v>5</v>
      </c>
      <c r="F3" s="123" t="s">
        <v>214</v>
      </c>
      <c r="G3" s="123" t="s">
        <v>5</v>
      </c>
      <c r="H3" s="16" t="s">
        <v>214</v>
      </c>
      <c r="I3" s="16" t="s">
        <v>5</v>
      </c>
      <c r="J3" s="123" t="s">
        <v>214</v>
      </c>
      <c r="K3" s="123" t="s">
        <v>5</v>
      </c>
      <c r="L3" s="123" t="s">
        <v>214</v>
      </c>
      <c r="M3" s="123" t="s">
        <v>5</v>
      </c>
      <c r="N3" s="123"/>
      <c r="O3" s="123"/>
      <c r="P3" s="123"/>
      <c r="Q3" s="123"/>
    </row>
    <row r="4" spans="1:17">
      <c r="A4" s="124" t="s">
        <v>217</v>
      </c>
      <c r="B4" s="16">
        <v>15</v>
      </c>
      <c r="C4" s="17">
        <v>0.3</v>
      </c>
      <c r="D4" s="125">
        <v>20</v>
      </c>
      <c r="E4" s="16">
        <v>0.41</v>
      </c>
      <c r="F4" s="16"/>
      <c r="G4" s="16"/>
      <c r="H4" s="16"/>
      <c r="I4" s="16"/>
      <c r="J4" s="123"/>
      <c r="K4" s="123"/>
      <c r="L4" s="123"/>
      <c r="M4" s="123"/>
      <c r="N4" s="123"/>
      <c r="O4" s="123"/>
      <c r="P4" s="123"/>
      <c r="Q4" s="123"/>
    </row>
    <row r="5" spans="1:17">
      <c r="A5" s="124" t="s">
        <v>218</v>
      </c>
      <c r="B5" s="16">
        <v>4</v>
      </c>
      <c r="C5" s="16">
        <v>92</v>
      </c>
      <c r="D5" s="126">
        <v>2</v>
      </c>
      <c r="E5" s="16">
        <v>47</v>
      </c>
      <c r="F5" s="16"/>
      <c r="G5" s="16"/>
      <c r="H5" s="16"/>
      <c r="I5" s="16"/>
      <c r="J5" s="123"/>
      <c r="K5" s="123"/>
      <c r="L5" s="123"/>
      <c r="M5" s="123"/>
      <c r="N5" s="123"/>
      <c r="O5" s="123"/>
      <c r="P5" s="123"/>
      <c r="Q5" s="123"/>
    </row>
    <row r="6" spans="1:17">
      <c r="A6" s="124" t="s">
        <v>219</v>
      </c>
      <c r="B6" s="16">
        <v>4</v>
      </c>
      <c r="C6" s="16">
        <v>107</v>
      </c>
      <c r="D6" s="126">
        <v>5</v>
      </c>
      <c r="E6" s="16">
        <v>155</v>
      </c>
      <c r="F6" s="16"/>
      <c r="G6" s="16"/>
      <c r="H6" s="16"/>
      <c r="I6" s="16"/>
      <c r="J6" s="123"/>
      <c r="K6" s="123"/>
      <c r="L6" s="123"/>
      <c r="M6" s="123"/>
      <c r="N6" s="123"/>
      <c r="O6" s="123"/>
      <c r="P6" s="123"/>
      <c r="Q6" s="123"/>
    </row>
    <row r="7" spans="1:17">
      <c r="A7" s="124" t="s">
        <v>220</v>
      </c>
      <c r="B7" s="16">
        <v>1</v>
      </c>
      <c r="C7" s="119" t="s">
        <v>244</v>
      </c>
      <c r="D7" s="126">
        <v>1</v>
      </c>
      <c r="E7" s="119" t="s">
        <v>245</v>
      </c>
      <c r="F7" s="16"/>
      <c r="G7" s="119"/>
      <c r="H7" s="16"/>
      <c r="I7" s="16"/>
      <c r="J7" s="123"/>
      <c r="K7" s="123"/>
      <c r="L7" s="123"/>
      <c r="M7" s="123"/>
      <c r="N7" s="123"/>
      <c r="O7" s="123"/>
      <c r="P7" s="123"/>
      <c r="Q7" s="123"/>
    </row>
    <row r="8" spans="1:17">
      <c r="A8" s="124" t="s">
        <v>221</v>
      </c>
      <c r="B8" s="16">
        <v>5</v>
      </c>
      <c r="C8" s="16">
        <v>111</v>
      </c>
      <c r="D8" s="126">
        <v>7</v>
      </c>
      <c r="E8" s="16">
        <v>204</v>
      </c>
      <c r="F8" s="16"/>
      <c r="G8" s="16"/>
      <c r="H8" s="16"/>
      <c r="I8" s="16"/>
      <c r="J8" s="123"/>
      <c r="K8" s="123"/>
      <c r="L8" s="123"/>
      <c r="M8" s="123"/>
      <c r="N8" s="123"/>
      <c r="O8" s="123"/>
      <c r="P8" s="123"/>
      <c r="Q8" s="123"/>
    </row>
    <row r="9" spans="1:17">
      <c r="A9" s="124" t="s">
        <v>222</v>
      </c>
      <c r="B9" s="16">
        <v>5</v>
      </c>
      <c r="C9" s="16">
        <v>144</v>
      </c>
      <c r="D9" s="126">
        <v>7</v>
      </c>
      <c r="E9" s="16">
        <v>171</v>
      </c>
      <c r="F9" s="16"/>
      <c r="G9" s="16"/>
      <c r="H9" s="16"/>
      <c r="I9" s="16"/>
      <c r="J9" s="123"/>
      <c r="K9" s="123"/>
      <c r="L9" s="123"/>
      <c r="M9" s="123"/>
      <c r="N9" s="123"/>
      <c r="O9" s="123"/>
      <c r="P9" s="123"/>
      <c r="Q9" s="123"/>
    </row>
    <row r="10" spans="1:17">
      <c r="A10" s="124" t="s">
        <v>223</v>
      </c>
      <c r="B10" s="16"/>
      <c r="C10" s="16">
        <v>9</v>
      </c>
      <c r="D10" s="126"/>
      <c r="E10" s="16">
        <v>3</v>
      </c>
      <c r="F10" s="16"/>
      <c r="G10" s="16"/>
      <c r="H10" s="16"/>
      <c r="I10" s="16"/>
      <c r="J10" s="123"/>
      <c r="K10" s="123"/>
      <c r="L10" s="123"/>
      <c r="M10" s="123"/>
      <c r="N10" s="123"/>
      <c r="O10" s="123"/>
      <c r="P10" s="123"/>
      <c r="Q10" s="123"/>
    </row>
    <row r="11" spans="1:17">
      <c r="A11" s="124" t="s">
        <v>224</v>
      </c>
      <c r="B11" s="119" t="s">
        <v>246</v>
      </c>
      <c r="C11" s="16" t="s">
        <v>247</v>
      </c>
      <c r="D11" s="127" t="s">
        <v>248</v>
      </c>
      <c r="E11" s="16" t="s">
        <v>249</v>
      </c>
      <c r="F11" s="16"/>
      <c r="G11" s="16"/>
      <c r="H11" s="16"/>
      <c r="I11" s="16"/>
      <c r="J11" s="123"/>
      <c r="K11" s="123"/>
      <c r="L11" s="123"/>
      <c r="M11" s="123"/>
      <c r="N11" s="123"/>
      <c r="O11" s="123"/>
      <c r="P11" s="123"/>
      <c r="Q11" s="123"/>
    </row>
    <row r="12" spans="1:17">
      <c r="A12" s="124" t="s">
        <v>225</v>
      </c>
      <c r="B12" s="119" t="s">
        <v>250</v>
      </c>
      <c r="C12" s="119" t="s">
        <v>251</v>
      </c>
      <c r="D12" s="126"/>
      <c r="E12" s="119" t="s">
        <v>252</v>
      </c>
      <c r="F12" s="16"/>
      <c r="G12" s="119"/>
      <c r="H12" s="16"/>
      <c r="I12" s="16"/>
      <c r="J12" s="123"/>
      <c r="K12" s="123"/>
      <c r="L12" s="123"/>
      <c r="M12" s="123"/>
      <c r="N12" s="123"/>
      <c r="O12" s="123"/>
      <c r="P12" s="123"/>
      <c r="Q12" s="123"/>
    </row>
    <row r="18" spans="2:5">
      <c r="B18" s="128"/>
      <c r="C18" s="128"/>
      <c r="D18" s="128"/>
      <c r="E18" s="128"/>
    </row>
    <row r="19" spans="2:6">
      <c r="B19" s="128"/>
      <c r="C19" s="129"/>
      <c r="D19" s="129"/>
      <c r="E19" s="128"/>
      <c r="F19" s="128"/>
    </row>
    <row r="20" spans="2:11">
      <c r="B20" s="128"/>
      <c r="C20" s="129"/>
      <c r="D20" s="129"/>
      <c r="E20" s="128"/>
      <c r="F20" s="128"/>
      <c r="G20" s="128"/>
      <c r="H20" s="129"/>
      <c r="I20" s="129"/>
      <c r="J20" s="128"/>
      <c r="K20" s="128"/>
    </row>
    <row r="21" spans="2:11">
      <c r="B21" s="128"/>
      <c r="C21" s="129"/>
      <c r="D21" s="129"/>
      <c r="E21" s="128"/>
      <c r="F21" s="128"/>
      <c r="G21" s="128"/>
      <c r="H21" s="129"/>
      <c r="I21" s="129"/>
      <c r="J21" s="128"/>
      <c r="K21" s="128"/>
    </row>
    <row r="22" spans="2:11">
      <c r="B22" s="128"/>
      <c r="C22" s="129"/>
      <c r="D22" s="129"/>
      <c r="E22" s="128"/>
      <c r="F22" s="128"/>
      <c r="G22" s="128"/>
      <c r="H22" s="129"/>
      <c r="I22" s="129"/>
      <c r="J22" s="128"/>
      <c r="K22" s="128"/>
    </row>
    <row r="23" spans="2:11">
      <c r="B23" s="128"/>
      <c r="C23" s="129"/>
      <c r="D23" s="129"/>
      <c r="E23" s="128"/>
      <c r="F23" s="128"/>
      <c r="G23" s="128"/>
      <c r="H23" s="129"/>
      <c r="I23" s="129"/>
      <c r="J23" s="128"/>
      <c r="K23" s="128"/>
    </row>
    <row r="24" spans="2:11">
      <c r="B24" s="128"/>
      <c r="C24" s="129"/>
      <c r="D24" s="129"/>
      <c r="E24" s="128"/>
      <c r="F24" s="128"/>
      <c r="G24" s="128"/>
      <c r="H24" s="129"/>
      <c r="I24" s="129"/>
      <c r="J24" s="128"/>
      <c r="K24" s="128"/>
    </row>
    <row r="25" spans="2:11">
      <c r="B25" s="128"/>
      <c r="C25" s="129"/>
      <c r="D25" s="129"/>
      <c r="E25" s="128"/>
      <c r="F25" s="128"/>
      <c r="G25" s="128"/>
      <c r="H25" s="129"/>
      <c r="I25" s="129"/>
      <c r="J25" s="128"/>
      <c r="K25" s="128"/>
    </row>
    <row r="26" spans="2:11">
      <c r="B26" s="128"/>
      <c r="C26" s="129"/>
      <c r="D26" s="129"/>
      <c r="E26" s="128"/>
      <c r="F26" s="128"/>
      <c r="G26" s="128"/>
      <c r="H26" s="129"/>
      <c r="I26" s="129"/>
      <c r="J26" s="128"/>
      <c r="K26" s="128"/>
    </row>
    <row r="27" spans="2:11">
      <c r="B27" s="128"/>
      <c r="C27" s="130"/>
      <c r="D27" s="131"/>
      <c r="E27" s="130"/>
      <c r="F27" s="128"/>
      <c r="G27" s="128"/>
      <c r="H27" s="129"/>
      <c r="I27" s="129"/>
      <c r="J27" s="128"/>
      <c r="K27" s="128"/>
    </row>
    <row r="28" spans="2:8">
      <c r="B28" s="128"/>
      <c r="C28" s="130"/>
      <c r="D28" s="130"/>
      <c r="E28" s="130"/>
      <c r="F28" s="130"/>
      <c r="G28" s="128"/>
      <c r="H28" s="129"/>
    </row>
  </sheetData>
  <mergeCells count="11">
    <mergeCell ref="A1:E1"/>
    <mergeCell ref="F1:K1"/>
    <mergeCell ref="B2:C2"/>
    <mergeCell ref="D2:E2"/>
    <mergeCell ref="F2:G2"/>
    <mergeCell ref="H2:I2"/>
    <mergeCell ref="J2:K2"/>
    <mergeCell ref="L2:M2"/>
    <mergeCell ref="N2:O2"/>
    <mergeCell ref="P2:Q2"/>
    <mergeCell ref="A2:A3"/>
  </mergeCells>
  <pageMargins left="0.699305555555556" right="0.699305555555556" top="0.75" bottom="0.75" header="0.511111111111111" footer="0.51111111111111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E20" sqref="E20"/>
    </sheetView>
  </sheetViews>
  <sheetFormatPr defaultColWidth="9.64545454545454" defaultRowHeight="14.5"/>
  <cols>
    <col min="1" max="1" width="4.55454545454545" customWidth="1"/>
    <col min="2" max="2" width="18.7727272727273" style="10" customWidth="1"/>
    <col min="3" max="3" width="10" customWidth="1"/>
    <col min="4" max="4" width="7.43636363636364" customWidth="1"/>
    <col min="5" max="5" width="6.88181818181818" customWidth="1"/>
    <col min="6" max="6" width="6.55454545454545" customWidth="1"/>
    <col min="7" max="8" width="7.66363636363636" customWidth="1"/>
    <col min="9" max="9" width="6.32727272727273" customWidth="1"/>
    <col min="10" max="253" width="10" customWidth="1"/>
    <col min="254" max="1025" width="9" customWidth="1"/>
  </cols>
  <sheetData>
    <row r="1" s="10" customFormat="1" spans="1:12">
      <c r="A1" s="18" t="s">
        <v>84</v>
      </c>
      <c r="B1" s="18" t="s">
        <v>253</v>
      </c>
      <c r="C1" s="18" t="s">
        <v>254</v>
      </c>
      <c r="D1" s="18" t="s">
        <v>255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95</v>
      </c>
      <c r="J1" s="18"/>
      <c r="K1" s="18"/>
      <c r="L1" s="18"/>
    </row>
    <row r="2" spans="1:12">
      <c r="A2" s="16">
        <v>1</v>
      </c>
      <c r="B2" s="18" t="s">
        <v>217</v>
      </c>
      <c r="C2" s="16"/>
      <c r="D2" s="16"/>
      <c r="E2" s="16">
        <v>326</v>
      </c>
      <c r="F2" s="16">
        <v>471</v>
      </c>
      <c r="G2" s="16"/>
      <c r="H2" s="16"/>
      <c r="I2" s="16"/>
      <c r="J2" s="16"/>
      <c r="K2" s="16"/>
      <c r="L2" s="16"/>
    </row>
    <row r="3" spans="1:12">
      <c r="A3" s="16">
        <v>2</v>
      </c>
      <c r="B3" s="18" t="s">
        <v>218</v>
      </c>
      <c r="C3" s="16"/>
      <c r="D3" s="16"/>
      <c r="E3" s="16">
        <v>92</v>
      </c>
      <c r="F3" s="16">
        <v>47</v>
      </c>
      <c r="G3" s="16"/>
      <c r="H3" s="16"/>
      <c r="I3" s="16"/>
      <c r="J3" s="16"/>
      <c r="K3" s="16"/>
      <c r="L3" s="16"/>
    </row>
    <row r="4" spans="1:12">
      <c r="A4" s="16">
        <v>3</v>
      </c>
      <c r="B4" s="18" t="s">
        <v>219</v>
      </c>
      <c r="C4" s="16"/>
      <c r="D4" s="16"/>
      <c r="E4" s="16">
        <v>107</v>
      </c>
      <c r="F4" s="16">
        <v>155</v>
      </c>
      <c r="G4" s="16"/>
      <c r="H4" s="16"/>
      <c r="I4" s="16"/>
      <c r="J4" s="16"/>
      <c r="K4" s="16"/>
      <c r="L4" s="16"/>
    </row>
    <row r="5" spans="1:12">
      <c r="A5" s="16">
        <v>4</v>
      </c>
      <c r="B5" s="18" t="s">
        <v>220</v>
      </c>
      <c r="C5" s="16"/>
      <c r="D5" s="16"/>
      <c r="E5" s="119" t="s">
        <v>244</v>
      </c>
      <c r="F5" s="119" t="s">
        <v>245</v>
      </c>
      <c r="G5" s="119"/>
      <c r="H5" s="119"/>
      <c r="I5" s="16"/>
      <c r="J5" s="16"/>
      <c r="K5" s="16"/>
      <c r="L5" s="16"/>
    </row>
    <row r="6" spans="1:12">
      <c r="A6" s="16">
        <v>5</v>
      </c>
      <c r="B6" s="18" t="s">
        <v>221</v>
      </c>
      <c r="C6" s="16"/>
      <c r="D6" s="16"/>
      <c r="E6" s="16">
        <v>111</v>
      </c>
      <c r="F6" s="16">
        <v>204</v>
      </c>
      <c r="G6" s="16"/>
      <c r="H6" s="16"/>
      <c r="I6" s="16"/>
      <c r="J6" s="16"/>
      <c r="K6" s="16"/>
      <c r="L6" s="16"/>
    </row>
    <row r="7" spans="1:12">
      <c r="A7" s="16">
        <v>6</v>
      </c>
      <c r="B7" s="18" t="s">
        <v>222</v>
      </c>
      <c r="C7" s="16"/>
      <c r="D7" s="16"/>
      <c r="E7" s="16">
        <v>144</v>
      </c>
      <c r="F7" s="16">
        <v>171</v>
      </c>
      <c r="G7" s="16"/>
      <c r="H7" s="16"/>
      <c r="I7" s="16"/>
      <c r="J7" s="16"/>
      <c r="K7" s="16"/>
      <c r="L7" s="16"/>
    </row>
    <row r="8" spans="1:12">
      <c r="A8" s="16">
        <v>7</v>
      </c>
      <c r="B8" s="18" t="s">
        <v>223</v>
      </c>
      <c r="C8" s="16"/>
      <c r="D8" s="16"/>
      <c r="E8" s="16">
        <v>9</v>
      </c>
      <c r="F8" s="16">
        <v>3</v>
      </c>
      <c r="G8" s="16"/>
      <c r="H8" s="16"/>
      <c r="I8" s="16"/>
      <c r="J8" s="16"/>
      <c r="K8" s="16"/>
      <c r="L8" s="16"/>
    </row>
    <row r="9" spans="1:12">
      <c r="A9" s="16">
        <v>8</v>
      </c>
      <c r="B9" s="18" t="s">
        <v>224</v>
      </c>
      <c r="C9" s="16"/>
      <c r="D9" s="16"/>
      <c r="E9" s="16" t="s">
        <v>247</v>
      </c>
      <c r="F9" s="16" t="s">
        <v>249</v>
      </c>
      <c r="G9" s="16"/>
      <c r="H9" s="16"/>
      <c r="I9" s="16"/>
      <c r="J9" s="16"/>
      <c r="K9" s="16"/>
      <c r="L9" s="16"/>
    </row>
    <row r="10" spans="1:12">
      <c r="A10" s="16">
        <v>9</v>
      </c>
      <c r="B10" s="18" t="s">
        <v>225</v>
      </c>
      <c r="C10" s="16"/>
      <c r="D10" s="16"/>
      <c r="E10" s="119" t="s">
        <v>251</v>
      </c>
      <c r="F10" s="119" t="s">
        <v>252</v>
      </c>
      <c r="G10" s="119"/>
      <c r="H10" s="119"/>
      <c r="I10" s="16"/>
      <c r="J10" s="16"/>
      <c r="K10" s="16"/>
      <c r="L10" s="16"/>
    </row>
  </sheetData>
  <pageMargins left="0.699305555555556" right="0.699305555555556" top="0.75" bottom="0.75" header="0.511111111111111" footer="0.51111111111111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9"/>
  <sheetViews>
    <sheetView zoomScale="82" zoomScaleNormal="82" topLeftCell="A11" workbookViewId="0">
      <selection activeCell="A17" sqref="$A17:$XFD17"/>
    </sheetView>
  </sheetViews>
  <sheetFormatPr defaultColWidth="9.64545454545454" defaultRowHeight="14.5"/>
  <cols>
    <col min="1" max="2" width="9.10909090909091" customWidth="1"/>
    <col min="3" max="3" width="26" customWidth="1"/>
    <col min="4" max="4" width="6.55454545454545" customWidth="1"/>
    <col min="5" max="5" width="7" customWidth="1"/>
    <col min="6" max="1025" width="8.32727272727273" customWidth="1"/>
  </cols>
  <sheetData>
    <row r="1" s="23" customFormat="1" ht="20.1" customHeight="1" spans="3:50">
      <c r="C1" s="24" t="s">
        <v>256</v>
      </c>
      <c r="E1" s="25"/>
      <c r="F1"/>
      <c r="G1"/>
      <c r="H1"/>
      <c r="N1"/>
      <c r="T1"/>
      <c r="Z1"/>
      <c r="AF1"/>
      <c r="AL1"/>
      <c r="AR1"/>
      <c r="AX1"/>
    </row>
    <row r="2" ht="20.1" customHeight="1" spans="1:57">
      <c r="A2" s="26"/>
      <c r="B2" s="27"/>
      <c r="C2" s="28"/>
      <c r="D2" s="29"/>
      <c r="E2" s="30" t="s">
        <v>257</v>
      </c>
      <c r="F2" s="31" t="s">
        <v>258</v>
      </c>
      <c r="G2" s="32" t="s">
        <v>258</v>
      </c>
      <c r="H2" s="33" t="s">
        <v>10</v>
      </c>
      <c r="I2" s="72"/>
      <c r="J2" s="72"/>
      <c r="K2" s="72"/>
      <c r="L2" s="72"/>
      <c r="M2" s="72"/>
      <c r="N2" s="33" t="s">
        <v>11</v>
      </c>
      <c r="O2" s="72"/>
      <c r="P2" s="72"/>
      <c r="Q2" s="72"/>
      <c r="R2" s="72"/>
      <c r="S2" s="72"/>
      <c r="T2" s="33">
        <v>45839</v>
      </c>
      <c r="U2" s="72"/>
      <c r="V2" s="72"/>
      <c r="W2" s="72"/>
      <c r="X2" s="72"/>
      <c r="Y2" s="72"/>
      <c r="Z2" s="33">
        <v>45870</v>
      </c>
      <c r="AA2" s="72"/>
      <c r="AB2" s="72"/>
      <c r="AC2" s="72"/>
      <c r="AD2" s="72"/>
      <c r="AE2" s="72"/>
      <c r="AF2" s="33">
        <v>45901</v>
      </c>
      <c r="AG2" s="72"/>
      <c r="AH2" s="72"/>
      <c r="AI2" s="72"/>
      <c r="AJ2" s="72"/>
      <c r="AK2" s="72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 t="s">
        <v>39</v>
      </c>
      <c r="BE2" s="87"/>
    </row>
    <row r="3" s="23" customFormat="1" ht="25.5" customHeight="1" spans="1:57">
      <c r="A3" s="34" t="s">
        <v>259</v>
      </c>
      <c r="B3" s="35" t="s">
        <v>260</v>
      </c>
      <c r="C3" s="36" t="s">
        <v>261</v>
      </c>
      <c r="D3" s="37" t="s">
        <v>262</v>
      </c>
      <c r="E3" s="38" t="s">
        <v>263</v>
      </c>
      <c r="F3" s="39" t="s">
        <v>263</v>
      </c>
      <c r="G3" s="40" t="s">
        <v>263</v>
      </c>
      <c r="H3" s="41" t="s">
        <v>264</v>
      </c>
      <c r="I3" s="73" t="s">
        <v>265</v>
      </c>
      <c r="J3" s="73" t="s">
        <v>266</v>
      </c>
      <c r="K3" s="73" t="s">
        <v>265</v>
      </c>
      <c r="L3" s="74" t="s">
        <v>267</v>
      </c>
      <c r="M3" s="75" t="s">
        <v>265</v>
      </c>
      <c r="N3" s="76" t="s">
        <v>264</v>
      </c>
      <c r="O3" s="73" t="s">
        <v>265</v>
      </c>
      <c r="P3" s="73" t="s">
        <v>266</v>
      </c>
      <c r="Q3" s="73" t="s">
        <v>265</v>
      </c>
      <c r="R3" s="74" t="s">
        <v>267</v>
      </c>
      <c r="S3" s="75" t="s">
        <v>265</v>
      </c>
      <c r="T3" s="76" t="s">
        <v>264</v>
      </c>
      <c r="U3" s="73" t="s">
        <v>265</v>
      </c>
      <c r="V3" s="73" t="s">
        <v>266</v>
      </c>
      <c r="W3" s="73" t="s">
        <v>265</v>
      </c>
      <c r="X3" s="74" t="s">
        <v>267</v>
      </c>
      <c r="Y3" s="75" t="s">
        <v>265</v>
      </c>
      <c r="Z3" s="76" t="s">
        <v>264</v>
      </c>
      <c r="AA3" s="73" t="s">
        <v>265</v>
      </c>
      <c r="AB3" s="73" t="s">
        <v>266</v>
      </c>
      <c r="AC3" s="73" t="s">
        <v>265</v>
      </c>
      <c r="AD3" s="74" t="s">
        <v>267</v>
      </c>
      <c r="AE3" s="75" t="s">
        <v>265</v>
      </c>
      <c r="AF3" s="76" t="s">
        <v>264</v>
      </c>
      <c r="AG3" s="73" t="s">
        <v>265</v>
      </c>
      <c r="AH3" s="73" t="s">
        <v>266</v>
      </c>
      <c r="AI3" s="73" t="s">
        <v>265</v>
      </c>
      <c r="AJ3" s="74" t="s">
        <v>267</v>
      </c>
      <c r="AK3" s="75" t="s">
        <v>265</v>
      </c>
      <c r="AL3" s="76" t="s">
        <v>264</v>
      </c>
      <c r="AM3" s="73" t="s">
        <v>265</v>
      </c>
      <c r="AN3" s="73" t="s">
        <v>266</v>
      </c>
      <c r="AO3" s="73" t="s">
        <v>265</v>
      </c>
      <c r="AP3" s="74" t="s">
        <v>267</v>
      </c>
      <c r="AQ3" s="75" t="s">
        <v>265</v>
      </c>
      <c r="AR3" s="76" t="s">
        <v>264</v>
      </c>
      <c r="AS3" s="73" t="s">
        <v>265</v>
      </c>
      <c r="AT3" s="73" t="s">
        <v>266</v>
      </c>
      <c r="AU3" s="73" t="s">
        <v>265</v>
      </c>
      <c r="AV3" s="74" t="s">
        <v>267</v>
      </c>
      <c r="AW3" s="75" t="s">
        <v>265</v>
      </c>
      <c r="AX3" s="76" t="s">
        <v>264</v>
      </c>
      <c r="AY3" s="73" t="s">
        <v>265</v>
      </c>
      <c r="AZ3" s="73" t="s">
        <v>266</v>
      </c>
      <c r="BA3" s="73" t="s">
        <v>265</v>
      </c>
      <c r="BB3" s="74" t="s">
        <v>267</v>
      </c>
      <c r="BC3" s="75" t="s">
        <v>265</v>
      </c>
      <c r="BD3" s="76" t="s">
        <v>264</v>
      </c>
      <c r="BE3" s="88" t="s">
        <v>265</v>
      </c>
    </row>
    <row r="4" ht="15.5" spans="1:57">
      <c r="A4" s="42"/>
      <c r="B4" s="43"/>
      <c r="C4" s="44" t="s">
        <v>268</v>
      </c>
      <c r="D4" s="45"/>
      <c r="E4" s="46"/>
      <c r="F4" s="47"/>
      <c r="G4" s="46"/>
      <c r="H4" s="48">
        <v>220</v>
      </c>
      <c r="I4" s="77"/>
      <c r="J4" s="48">
        <v>114</v>
      </c>
      <c r="K4" s="77"/>
      <c r="L4" s="77"/>
      <c r="M4" s="78"/>
      <c r="N4" s="48">
        <v>220</v>
      </c>
      <c r="O4" s="77"/>
      <c r="P4" s="48">
        <v>164</v>
      </c>
      <c r="Q4" s="77"/>
      <c r="R4" s="77"/>
      <c r="S4" s="78"/>
      <c r="T4" s="48"/>
      <c r="U4" s="77"/>
      <c r="V4" s="48"/>
      <c r="W4" s="77"/>
      <c r="X4" s="77"/>
      <c r="Y4" s="78"/>
      <c r="Z4" s="48"/>
      <c r="AA4" s="77"/>
      <c r="AB4" s="48"/>
      <c r="AC4" s="77"/>
      <c r="AD4" s="77"/>
      <c r="AE4" s="78"/>
      <c r="AF4" s="77"/>
      <c r="AG4" s="77"/>
      <c r="AH4" s="77"/>
      <c r="AI4" s="77"/>
      <c r="AJ4" s="77"/>
      <c r="AK4" s="78"/>
      <c r="AL4" s="77"/>
      <c r="AM4" s="77"/>
      <c r="AN4" s="77"/>
      <c r="AO4" s="77"/>
      <c r="AP4" s="77"/>
      <c r="AQ4" s="78"/>
      <c r="AR4" s="77"/>
      <c r="AS4" s="77"/>
      <c r="AT4" s="77"/>
      <c r="AU4" s="77"/>
      <c r="AV4" s="77"/>
      <c r="AW4" s="78"/>
      <c r="AX4" s="77"/>
      <c r="AY4" s="77"/>
      <c r="AZ4" s="77"/>
      <c r="BA4" s="77"/>
      <c r="BB4" s="77"/>
      <c r="BC4" s="78"/>
      <c r="BD4" s="77"/>
      <c r="BE4" s="89"/>
    </row>
    <row r="5" ht="15.5" spans="1:57">
      <c r="A5" s="42"/>
      <c r="B5" s="43"/>
      <c r="C5" s="44" t="s">
        <v>269</v>
      </c>
      <c r="D5" s="49"/>
      <c r="E5" s="50"/>
      <c r="F5" s="51"/>
      <c r="G5" s="50"/>
      <c r="H5" s="48">
        <v>112</v>
      </c>
      <c r="I5" s="77"/>
      <c r="J5" s="48">
        <v>111</v>
      </c>
      <c r="K5" s="77"/>
      <c r="L5" s="77"/>
      <c r="M5" s="78"/>
      <c r="N5" s="48">
        <v>116</v>
      </c>
      <c r="O5" s="77"/>
      <c r="P5" s="48">
        <v>126</v>
      </c>
      <c r="Q5" s="77"/>
      <c r="R5" s="77"/>
      <c r="S5" s="78"/>
      <c r="T5" s="48"/>
      <c r="U5" s="77"/>
      <c r="V5" s="48"/>
      <c r="W5" s="77"/>
      <c r="X5" s="77"/>
      <c r="Y5" s="78"/>
      <c r="Z5" s="48"/>
      <c r="AA5" s="77"/>
      <c r="AB5" s="48"/>
      <c r="AC5" s="77"/>
      <c r="AD5" s="77"/>
      <c r="AE5" s="78"/>
      <c r="AF5" s="77"/>
      <c r="AG5" s="77"/>
      <c r="AH5" s="77"/>
      <c r="AI5" s="77"/>
      <c r="AJ5" s="77"/>
      <c r="AK5" s="78"/>
      <c r="AL5" s="77"/>
      <c r="AM5" s="77"/>
      <c r="AN5" s="77"/>
      <c r="AO5" s="77"/>
      <c r="AP5" s="77"/>
      <c r="AQ5" s="78"/>
      <c r="AR5" s="77"/>
      <c r="AS5" s="77"/>
      <c r="AT5" s="77"/>
      <c r="AU5" s="77"/>
      <c r="AV5" s="77"/>
      <c r="AW5" s="78"/>
      <c r="AX5" s="77"/>
      <c r="AY5" s="77"/>
      <c r="AZ5" s="77"/>
      <c r="BA5" s="77"/>
      <c r="BB5" s="77"/>
      <c r="BC5" s="78"/>
      <c r="BD5" s="77"/>
      <c r="BE5" s="89"/>
    </row>
    <row r="6" ht="15.5" spans="1:57">
      <c r="A6" s="42"/>
      <c r="B6" s="43"/>
      <c r="C6" s="44" t="s">
        <v>270</v>
      </c>
      <c r="D6" s="49"/>
      <c r="E6" s="50"/>
      <c r="F6" s="52"/>
      <c r="G6" s="53"/>
      <c r="H6" s="48">
        <v>1018</v>
      </c>
      <c r="I6" s="77"/>
      <c r="J6" s="48">
        <v>544</v>
      </c>
      <c r="K6" s="77"/>
      <c r="L6" s="77"/>
      <c r="M6" s="78"/>
      <c r="N6" s="48">
        <v>850</v>
      </c>
      <c r="O6" s="77"/>
      <c r="P6" s="48">
        <v>374</v>
      </c>
      <c r="Q6" s="77"/>
      <c r="R6" s="77"/>
      <c r="S6" s="78"/>
      <c r="T6" s="48"/>
      <c r="U6" s="77"/>
      <c r="V6" s="48"/>
      <c r="W6" s="77"/>
      <c r="X6" s="77"/>
      <c r="Y6" s="78"/>
      <c r="Z6" s="48"/>
      <c r="AA6" s="77"/>
      <c r="AB6" s="48"/>
      <c r="AC6" s="77"/>
      <c r="AD6" s="77"/>
      <c r="AE6" s="78"/>
      <c r="AF6" s="77"/>
      <c r="AG6" s="77"/>
      <c r="AH6" s="77"/>
      <c r="AI6" s="77"/>
      <c r="AJ6" s="77"/>
      <c r="AK6" s="78"/>
      <c r="AL6" s="77"/>
      <c r="AM6" s="77"/>
      <c r="AN6" s="77"/>
      <c r="AO6" s="77"/>
      <c r="AP6" s="77"/>
      <c r="AQ6" s="78"/>
      <c r="AR6" s="77"/>
      <c r="AS6" s="77"/>
      <c r="AT6" s="77"/>
      <c r="AU6" s="77"/>
      <c r="AV6" s="77"/>
      <c r="AW6" s="78"/>
      <c r="AX6" s="77"/>
      <c r="AY6" s="77"/>
      <c r="AZ6" s="77"/>
      <c r="BA6" s="77"/>
      <c r="BB6" s="77"/>
      <c r="BC6" s="78"/>
      <c r="BD6" s="77"/>
      <c r="BE6" s="89"/>
    </row>
    <row r="7" ht="15.5" spans="1:57">
      <c r="A7" s="42"/>
      <c r="B7" s="43"/>
      <c r="C7" s="54" t="s">
        <v>271</v>
      </c>
      <c r="D7" s="49"/>
      <c r="E7" s="50"/>
      <c r="F7" s="52"/>
      <c r="G7" s="53"/>
      <c r="H7" s="55">
        <v>1.264626</v>
      </c>
      <c r="I7" s="77"/>
      <c r="J7" s="55">
        <v>0.6996184</v>
      </c>
      <c r="K7" s="77"/>
      <c r="L7" s="77"/>
      <c r="M7" s="78"/>
      <c r="N7" s="55">
        <v>1.0917204</v>
      </c>
      <c r="O7" s="77"/>
      <c r="P7" s="55">
        <v>0.5636964</v>
      </c>
      <c r="Q7" s="77"/>
      <c r="R7" s="77"/>
      <c r="S7" s="78"/>
      <c r="T7" s="48"/>
      <c r="U7" s="77"/>
      <c r="V7" s="48"/>
      <c r="W7" s="77"/>
      <c r="X7" s="77"/>
      <c r="Y7" s="78"/>
      <c r="Z7" s="48"/>
      <c r="AA7" s="77"/>
      <c r="AB7" s="48"/>
      <c r="AC7" s="77"/>
      <c r="AD7" s="77"/>
      <c r="AE7" s="78"/>
      <c r="AF7" s="77"/>
      <c r="AG7" s="77"/>
      <c r="AH7" s="77"/>
      <c r="AI7" s="77"/>
      <c r="AJ7" s="77"/>
      <c r="AK7" s="78"/>
      <c r="AL7" s="77"/>
      <c r="AM7" s="77"/>
      <c r="AN7" s="77"/>
      <c r="AO7" s="77"/>
      <c r="AP7" s="77"/>
      <c r="AQ7" s="78"/>
      <c r="AR7" s="77"/>
      <c r="AS7" s="77"/>
      <c r="AT7" s="77"/>
      <c r="AU7" s="77"/>
      <c r="AV7" s="77"/>
      <c r="AW7" s="78"/>
      <c r="AX7" s="77"/>
      <c r="AY7" s="77"/>
      <c r="AZ7" s="77"/>
      <c r="BA7" s="77"/>
      <c r="BB7" s="77"/>
      <c r="BC7" s="78"/>
      <c r="BD7" s="77"/>
      <c r="BE7" s="89"/>
    </row>
    <row r="8" ht="15.5" spans="1:57">
      <c r="A8" s="34"/>
      <c r="B8" s="35"/>
      <c r="C8" s="44" t="s">
        <v>272</v>
      </c>
      <c r="D8" s="56"/>
      <c r="E8" s="56"/>
      <c r="F8" s="57"/>
      <c r="G8" s="58"/>
      <c r="H8" s="48">
        <v>107</v>
      </c>
      <c r="I8" s="79"/>
      <c r="J8" s="48">
        <v>146</v>
      </c>
      <c r="K8" s="79"/>
      <c r="L8" s="80"/>
      <c r="M8" s="81"/>
      <c r="N8" s="48">
        <v>155</v>
      </c>
      <c r="O8" s="79"/>
      <c r="P8" s="48">
        <v>80</v>
      </c>
      <c r="Q8" s="79"/>
      <c r="R8" s="80"/>
      <c r="S8" s="81"/>
      <c r="T8" s="48"/>
      <c r="U8" s="79"/>
      <c r="V8" s="48"/>
      <c r="W8" s="79"/>
      <c r="X8" s="80"/>
      <c r="Y8" s="81"/>
      <c r="Z8" s="48"/>
      <c r="AA8" s="79"/>
      <c r="AB8" s="48"/>
      <c r="AC8" s="79"/>
      <c r="AD8" s="80"/>
      <c r="AE8" s="81"/>
      <c r="AF8" s="80"/>
      <c r="AG8" s="79"/>
      <c r="AH8" s="80"/>
      <c r="AI8" s="79"/>
      <c r="AJ8" s="80"/>
      <c r="AK8" s="81"/>
      <c r="AL8" s="80"/>
      <c r="AM8" s="79"/>
      <c r="AN8" s="80"/>
      <c r="AO8" s="79"/>
      <c r="AP8" s="80"/>
      <c r="AQ8" s="81"/>
      <c r="AR8" s="80"/>
      <c r="AS8" s="79"/>
      <c r="AT8" s="80"/>
      <c r="AU8" s="79"/>
      <c r="AV8" s="80"/>
      <c r="AW8" s="81"/>
      <c r="AX8" s="80"/>
      <c r="AY8" s="79"/>
      <c r="AZ8" s="80"/>
      <c r="BA8" s="79"/>
      <c r="BB8" s="80"/>
      <c r="BC8" s="81"/>
      <c r="BD8" s="80"/>
      <c r="BE8" s="81"/>
    </row>
    <row r="9" ht="15.5" spans="1:57">
      <c r="A9" s="42"/>
      <c r="B9" s="43"/>
      <c r="C9" s="54" t="s">
        <v>273</v>
      </c>
      <c r="D9" s="49"/>
      <c r="E9" s="50"/>
      <c r="F9" s="52"/>
      <c r="G9" s="53"/>
      <c r="H9" s="55">
        <v>0.0763873</v>
      </c>
      <c r="I9" s="77"/>
      <c r="J9" s="55">
        <v>0.1042294</v>
      </c>
      <c r="K9" s="77"/>
      <c r="L9" s="77"/>
      <c r="M9" s="78"/>
      <c r="N9" s="55">
        <v>0.1106545</v>
      </c>
      <c r="O9" s="77"/>
      <c r="P9" s="55">
        <v>0.057112</v>
      </c>
      <c r="Q9" s="77"/>
      <c r="R9" s="77"/>
      <c r="S9" s="78"/>
      <c r="T9" s="55"/>
      <c r="U9" s="77"/>
      <c r="V9" s="55"/>
      <c r="W9" s="77"/>
      <c r="X9" s="77"/>
      <c r="Y9" s="78"/>
      <c r="Z9" s="55"/>
      <c r="AA9" s="77"/>
      <c r="AB9" s="55"/>
      <c r="AC9" s="77"/>
      <c r="AD9" s="77"/>
      <c r="AE9" s="78"/>
      <c r="AF9" s="77"/>
      <c r="AG9" s="77"/>
      <c r="AH9" s="77"/>
      <c r="AI9" s="77"/>
      <c r="AJ9" s="77"/>
      <c r="AK9" s="78"/>
      <c r="AL9" s="77"/>
      <c r="AM9" s="77"/>
      <c r="AN9" s="77"/>
      <c r="AO9" s="77"/>
      <c r="AP9" s="77"/>
      <c r="AQ9" s="78"/>
      <c r="AR9" s="77"/>
      <c r="AS9" s="77"/>
      <c r="AT9" s="77"/>
      <c r="AU9" s="77"/>
      <c r="AV9" s="77"/>
      <c r="AW9" s="78"/>
      <c r="AX9" s="77"/>
      <c r="AY9" s="77"/>
      <c r="AZ9" s="77"/>
      <c r="BA9" s="77"/>
      <c r="BB9" s="77"/>
      <c r="BC9" s="78"/>
      <c r="BD9" s="77"/>
      <c r="BE9" s="89"/>
    </row>
    <row r="10" ht="15.5" spans="1:57">
      <c r="A10" s="42"/>
      <c r="B10" s="43"/>
      <c r="C10" s="44" t="s">
        <v>274</v>
      </c>
      <c r="D10" s="49"/>
      <c r="E10" s="50"/>
      <c r="F10" s="52"/>
      <c r="G10" s="53"/>
      <c r="H10" s="48">
        <v>326</v>
      </c>
      <c r="I10" s="77"/>
      <c r="J10" s="48">
        <v>269</v>
      </c>
      <c r="K10" s="77"/>
      <c r="L10" s="77"/>
      <c r="M10" s="78"/>
      <c r="N10" s="48">
        <v>471</v>
      </c>
      <c r="O10" s="77"/>
      <c r="P10" s="48">
        <v>243</v>
      </c>
      <c r="Q10" s="77"/>
      <c r="R10" s="77"/>
      <c r="S10" s="78"/>
      <c r="T10" s="48"/>
      <c r="U10" s="77"/>
      <c r="V10" s="48"/>
      <c r="W10" s="77"/>
      <c r="X10" s="77"/>
      <c r="Y10" s="78"/>
      <c r="Z10" s="48"/>
      <c r="AA10" s="77"/>
      <c r="AB10" s="48"/>
      <c r="AC10" s="77"/>
      <c r="AD10" s="77"/>
      <c r="AE10" s="78"/>
      <c r="AF10" s="77"/>
      <c r="AG10" s="77"/>
      <c r="AH10" s="77"/>
      <c r="AI10" s="77"/>
      <c r="AJ10" s="77"/>
      <c r="AK10" s="78"/>
      <c r="AL10" s="77"/>
      <c r="AM10" s="77"/>
      <c r="AN10" s="77"/>
      <c r="AO10" s="77"/>
      <c r="AP10" s="77"/>
      <c r="AQ10" s="78"/>
      <c r="AR10" s="77"/>
      <c r="AS10" s="77"/>
      <c r="AT10" s="77"/>
      <c r="AU10" s="77"/>
      <c r="AV10" s="77"/>
      <c r="AW10" s="78"/>
      <c r="AX10" s="77"/>
      <c r="AY10" s="77"/>
      <c r="AZ10" s="77"/>
      <c r="BA10" s="77"/>
      <c r="BB10" s="77"/>
      <c r="BC10" s="78"/>
      <c r="BD10" s="77"/>
      <c r="BE10" s="89"/>
    </row>
    <row r="11" ht="15.5" spans="1:57">
      <c r="A11" s="42"/>
      <c r="B11" s="43"/>
      <c r="C11" s="44" t="s">
        <v>275</v>
      </c>
      <c r="D11" s="49"/>
      <c r="E11" s="50"/>
      <c r="F11" s="52"/>
      <c r="G11" s="53"/>
      <c r="H11" s="48">
        <v>3</v>
      </c>
      <c r="I11" s="77"/>
      <c r="J11" s="48">
        <v>43</v>
      </c>
      <c r="K11" s="77"/>
      <c r="L11" s="77"/>
      <c r="M11" s="78"/>
      <c r="N11" s="48">
        <v>2</v>
      </c>
      <c r="O11" s="77"/>
      <c r="P11" s="48">
        <v>31</v>
      </c>
      <c r="Q11" s="77"/>
      <c r="R11" s="77"/>
      <c r="S11" s="78"/>
      <c r="T11" s="55"/>
      <c r="U11" s="77"/>
      <c r="V11" s="55"/>
      <c r="W11" s="77"/>
      <c r="X11" s="77"/>
      <c r="Y11" s="78"/>
      <c r="Z11" s="55"/>
      <c r="AA11" s="77"/>
      <c r="AB11" s="55"/>
      <c r="AC11" s="77"/>
      <c r="AD11" s="77"/>
      <c r="AE11" s="78"/>
      <c r="AF11" s="77"/>
      <c r="AG11" s="77"/>
      <c r="AH11" s="77"/>
      <c r="AI11" s="77"/>
      <c r="AJ11" s="77"/>
      <c r="AK11" s="78"/>
      <c r="AL11" s="77"/>
      <c r="AM11" s="77"/>
      <c r="AN11" s="77"/>
      <c r="AO11" s="77"/>
      <c r="AP11" s="77"/>
      <c r="AQ11" s="78"/>
      <c r="AR11" s="77"/>
      <c r="AS11" s="77"/>
      <c r="AT11" s="77"/>
      <c r="AU11" s="77"/>
      <c r="AV11" s="77"/>
      <c r="AW11" s="78"/>
      <c r="AX11" s="77"/>
      <c r="AY11" s="77"/>
      <c r="AZ11" s="77"/>
      <c r="BA11" s="77"/>
      <c r="BB11" s="77"/>
      <c r="BC11" s="78"/>
      <c r="BD11" s="77"/>
      <c r="BE11" s="89"/>
    </row>
    <row r="12" ht="15.5" spans="1:57">
      <c r="A12" s="34"/>
      <c r="B12" s="35"/>
      <c r="C12" s="44" t="s">
        <v>276</v>
      </c>
      <c r="D12" s="56"/>
      <c r="E12" s="56"/>
      <c r="F12" s="57"/>
      <c r="G12" s="58"/>
      <c r="H12" s="48">
        <v>41</v>
      </c>
      <c r="I12" s="79"/>
      <c r="J12" s="48">
        <v>6</v>
      </c>
      <c r="K12" s="79"/>
      <c r="L12" s="80"/>
      <c r="M12" s="81"/>
      <c r="N12" s="48">
        <v>0</v>
      </c>
      <c r="O12" s="79"/>
      <c r="P12" s="48">
        <v>6</v>
      </c>
      <c r="Q12" s="79"/>
      <c r="R12" s="80"/>
      <c r="S12" s="81"/>
      <c r="T12" s="48"/>
      <c r="U12" s="79"/>
      <c r="V12" s="48"/>
      <c r="W12" s="79"/>
      <c r="X12" s="80"/>
      <c r="Y12" s="81"/>
      <c r="Z12" s="48"/>
      <c r="AA12" s="79"/>
      <c r="AB12" s="48"/>
      <c r="AC12" s="79"/>
      <c r="AD12" s="80"/>
      <c r="AE12" s="81"/>
      <c r="AF12" s="80"/>
      <c r="AG12" s="79"/>
      <c r="AH12" s="80"/>
      <c r="AI12" s="79"/>
      <c r="AJ12" s="80"/>
      <c r="AK12" s="81"/>
      <c r="AL12" s="80"/>
      <c r="AM12" s="79"/>
      <c r="AN12" s="80"/>
      <c r="AO12" s="79"/>
      <c r="AP12" s="80"/>
      <c r="AQ12" s="81"/>
      <c r="AR12" s="80"/>
      <c r="AS12" s="79"/>
      <c r="AT12" s="80"/>
      <c r="AU12" s="79"/>
      <c r="AV12" s="80"/>
      <c r="AW12" s="81"/>
      <c r="AX12" s="80"/>
      <c r="AY12" s="79"/>
      <c r="AZ12" s="80"/>
      <c r="BA12" s="79"/>
      <c r="BB12" s="80"/>
      <c r="BC12" s="81"/>
      <c r="BD12" s="80"/>
      <c r="BE12" s="81"/>
    </row>
    <row r="13" ht="15.5" spans="1:57">
      <c r="A13" s="42"/>
      <c r="B13" s="43"/>
      <c r="C13" s="44" t="s">
        <v>277</v>
      </c>
      <c r="D13" s="49"/>
      <c r="E13" s="50"/>
      <c r="F13" s="52"/>
      <c r="G13" s="53"/>
      <c r="H13" s="48">
        <v>64</v>
      </c>
      <c r="I13" s="77"/>
      <c r="J13" s="48">
        <v>84</v>
      </c>
      <c r="K13" s="77"/>
      <c r="L13" s="77"/>
      <c r="M13" s="78"/>
      <c r="N13" s="48">
        <v>55</v>
      </c>
      <c r="O13" s="77"/>
      <c r="P13" s="48">
        <v>68</v>
      </c>
      <c r="Q13" s="77"/>
      <c r="R13" s="77"/>
      <c r="S13" s="78"/>
      <c r="T13" s="48"/>
      <c r="U13" s="77"/>
      <c r="V13" s="48"/>
      <c r="W13" s="77"/>
      <c r="X13" s="77"/>
      <c r="Y13" s="78"/>
      <c r="Z13" s="48"/>
      <c r="AA13" s="77"/>
      <c r="AB13" s="48"/>
      <c r="AC13" s="77"/>
      <c r="AD13" s="77"/>
      <c r="AE13" s="78"/>
      <c r="AF13" s="77"/>
      <c r="AG13" s="77"/>
      <c r="AH13" s="77"/>
      <c r="AI13" s="77"/>
      <c r="AJ13" s="77"/>
      <c r="AK13" s="78"/>
      <c r="AL13" s="77"/>
      <c r="AM13" s="77"/>
      <c r="AN13" s="77"/>
      <c r="AO13" s="77"/>
      <c r="AP13" s="77"/>
      <c r="AQ13" s="78"/>
      <c r="AR13" s="77"/>
      <c r="AS13" s="77"/>
      <c r="AT13" s="77"/>
      <c r="AU13" s="77"/>
      <c r="AV13" s="77"/>
      <c r="AW13" s="78"/>
      <c r="AX13" s="77"/>
      <c r="AY13" s="77"/>
      <c r="AZ13" s="77"/>
      <c r="BA13" s="77"/>
      <c r="BB13" s="77"/>
      <c r="BC13" s="78"/>
      <c r="BD13" s="77"/>
      <c r="BE13" s="89"/>
    </row>
    <row r="14" ht="15.5" spans="1:57">
      <c r="A14" s="42"/>
      <c r="B14" s="43"/>
      <c r="C14" s="44" t="s">
        <v>278</v>
      </c>
      <c r="D14" s="49"/>
      <c r="E14" s="50"/>
      <c r="F14" s="52"/>
      <c r="G14" s="53"/>
      <c r="H14" s="48">
        <v>13</v>
      </c>
      <c r="I14" s="77"/>
      <c r="J14" s="48">
        <v>66</v>
      </c>
      <c r="K14" s="77"/>
      <c r="L14" s="77"/>
      <c r="M14" s="78"/>
      <c r="N14" s="48">
        <v>73</v>
      </c>
      <c r="O14" s="77"/>
      <c r="P14" s="48">
        <v>53</v>
      </c>
      <c r="Q14" s="77"/>
      <c r="R14" s="77"/>
      <c r="S14" s="78"/>
      <c r="T14" s="48"/>
      <c r="U14" s="77"/>
      <c r="V14" s="48"/>
      <c r="W14" s="77"/>
      <c r="X14" s="77"/>
      <c r="Y14" s="78"/>
      <c r="Z14" s="48"/>
      <c r="AA14" s="77"/>
      <c r="AB14" s="48"/>
      <c r="AC14" s="77"/>
      <c r="AD14" s="77"/>
      <c r="AE14" s="78"/>
      <c r="AF14" s="77"/>
      <c r="AG14" s="77"/>
      <c r="AH14" s="77"/>
      <c r="AI14" s="77"/>
      <c r="AJ14" s="77"/>
      <c r="AK14" s="78"/>
      <c r="AL14" s="77"/>
      <c r="AM14" s="77"/>
      <c r="AN14" s="77"/>
      <c r="AO14" s="77"/>
      <c r="AP14" s="77"/>
      <c r="AQ14" s="78"/>
      <c r="AR14" s="77"/>
      <c r="AS14" s="77"/>
      <c r="AT14" s="77"/>
      <c r="AU14" s="77"/>
      <c r="AV14" s="77"/>
      <c r="AW14" s="78"/>
      <c r="AX14" s="77"/>
      <c r="AY14" s="77"/>
      <c r="AZ14" s="77"/>
      <c r="BA14" s="77"/>
      <c r="BB14" s="77"/>
      <c r="BC14" s="78"/>
      <c r="BD14" s="77"/>
      <c r="BE14" s="89"/>
    </row>
    <row r="15" ht="15.5" spans="1:57">
      <c r="A15" s="42"/>
      <c r="B15" s="43"/>
      <c r="C15" s="44" t="s">
        <v>279</v>
      </c>
      <c r="D15" s="49"/>
      <c r="E15" s="50"/>
      <c r="F15" s="52"/>
      <c r="G15" s="53"/>
      <c r="H15" s="48">
        <v>17</v>
      </c>
      <c r="I15" s="77"/>
      <c r="J15" s="48">
        <v>74</v>
      </c>
      <c r="K15" s="77"/>
      <c r="L15" s="77"/>
      <c r="M15" s="78"/>
      <c r="N15" s="48">
        <v>75</v>
      </c>
      <c r="O15" s="77"/>
      <c r="P15" s="48">
        <v>40</v>
      </c>
      <c r="Q15" s="77"/>
      <c r="R15" s="77"/>
      <c r="S15" s="78"/>
      <c r="T15" s="48"/>
      <c r="U15" s="77"/>
      <c r="V15" s="48"/>
      <c r="W15" s="77"/>
      <c r="X15" s="77"/>
      <c r="Y15" s="78"/>
      <c r="Z15" s="48"/>
      <c r="AA15" s="77"/>
      <c r="AB15" s="48"/>
      <c r="AC15" s="77"/>
      <c r="AD15" s="77"/>
      <c r="AE15" s="78"/>
      <c r="AF15" s="77"/>
      <c r="AG15" s="77"/>
      <c r="AH15" s="77"/>
      <c r="AI15" s="77"/>
      <c r="AJ15" s="77"/>
      <c r="AK15" s="78"/>
      <c r="AL15" s="77"/>
      <c r="AM15" s="77"/>
      <c r="AN15" s="77"/>
      <c r="AO15" s="77"/>
      <c r="AP15" s="77"/>
      <c r="AQ15" s="78"/>
      <c r="AR15" s="77"/>
      <c r="AS15" s="77"/>
      <c r="AT15" s="77"/>
      <c r="AU15" s="77"/>
      <c r="AV15" s="77"/>
      <c r="AW15" s="78"/>
      <c r="AX15" s="77"/>
      <c r="AY15" s="77"/>
      <c r="AZ15" s="77"/>
      <c r="BA15" s="77"/>
      <c r="BB15" s="77"/>
      <c r="BC15" s="78"/>
      <c r="BD15" s="77"/>
      <c r="BE15" s="89"/>
    </row>
    <row r="16" ht="15.5" spans="1:57">
      <c r="A16" s="42"/>
      <c r="B16" s="43"/>
      <c r="C16" s="44" t="s">
        <v>280</v>
      </c>
      <c r="D16" s="49"/>
      <c r="E16" s="50"/>
      <c r="F16" s="52"/>
      <c r="G16" s="53"/>
      <c r="H16" s="48">
        <v>43</v>
      </c>
      <c r="I16" s="77"/>
      <c r="J16" s="48">
        <v>30</v>
      </c>
      <c r="K16" s="77"/>
      <c r="L16" s="77"/>
      <c r="M16" s="78"/>
      <c r="N16" s="48">
        <v>83</v>
      </c>
      <c r="O16" s="77"/>
      <c r="P16" s="48">
        <v>17</v>
      </c>
      <c r="Q16" s="77"/>
      <c r="R16" s="77"/>
      <c r="S16" s="78"/>
      <c r="T16" s="55"/>
      <c r="U16" s="77"/>
      <c r="V16" s="55"/>
      <c r="W16" s="77"/>
      <c r="X16" s="77"/>
      <c r="Y16" s="78"/>
      <c r="Z16" s="55"/>
      <c r="AA16" s="77"/>
      <c r="AB16" s="55"/>
      <c r="AC16" s="77"/>
      <c r="AD16" s="77"/>
      <c r="AE16" s="78"/>
      <c r="AF16" s="77"/>
      <c r="AG16" s="77"/>
      <c r="AH16" s="77"/>
      <c r="AI16" s="77"/>
      <c r="AJ16" s="77"/>
      <c r="AK16" s="78"/>
      <c r="AL16" s="77"/>
      <c r="AM16" s="77"/>
      <c r="AN16" s="77"/>
      <c r="AO16" s="77"/>
      <c r="AP16" s="77"/>
      <c r="AQ16" s="78"/>
      <c r="AR16" s="77"/>
      <c r="AS16" s="77"/>
      <c r="AT16" s="77"/>
      <c r="AU16" s="77"/>
      <c r="AV16" s="77"/>
      <c r="AW16" s="78"/>
      <c r="AX16" s="77"/>
      <c r="AY16" s="77"/>
      <c r="AZ16" s="77"/>
      <c r="BA16" s="77"/>
      <c r="BB16" s="77"/>
      <c r="BC16" s="78"/>
      <c r="BD16" s="77"/>
      <c r="BE16" s="89"/>
    </row>
    <row r="17" ht="15.5" spans="1:57">
      <c r="A17" s="42"/>
      <c r="B17" s="43"/>
      <c r="C17" s="54" t="s">
        <v>281</v>
      </c>
      <c r="D17" s="49"/>
      <c r="E17" s="50"/>
      <c r="F17" s="52"/>
      <c r="G17" s="53"/>
      <c r="H17" s="55">
        <v>0.296404</v>
      </c>
      <c r="I17" s="77"/>
      <c r="J17" s="55">
        <v>0.2958674</v>
      </c>
      <c r="K17" s="77"/>
      <c r="L17" s="77"/>
      <c r="M17" s="78"/>
      <c r="N17" s="55">
        <v>0.4122848</v>
      </c>
      <c r="O17" s="77"/>
      <c r="P17" s="55">
        <v>0.2358889</v>
      </c>
      <c r="Q17" s="77"/>
      <c r="R17" s="77"/>
      <c r="S17" s="78"/>
      <c r="T17" s="48"/>
      <c r="U17" s="77"/>
      <c r="V17" s="48"/>
      <c r="W17" s="77"/>
      <c r="X17" s="77"/>
      <c r="Y17" s="78"/>
      <c r="Z17" s="48"/>
      <c r="AA17" s="77"/>
      <c r="AB17" s="48"/>
      <c r="AC17" s="77"/>
      <c r="AD17" s="77"/>
      <c r="AE17" s="78"/>
      <c r="AF17" s="77"/>
      <c r="AG17" s="77"/>
      <c r="AH17" s="77"/>
      <c r="AI17" s="77"/>
      <c r="AJ17" s="77"/>
      <c r="AK17" s="78"/>
      <c r="AL17" s="77"/>
      <c r="AM17" s="77"/>
      <c r="AN17" s="77"/>
      <c r="AO17" s="77"/>
      <c r="AP17" s="77"/>
      <c r="AQ17" s="78"/>
      <c r="AR17" s="77"/>
      <c r="AS17" s="77"/>
      <c r="AT17" s="77"/>
      <c r="AU17" s="77"/>
      <c r="AV17" s="77"/>
      <c r="AW17" s="78"/>
      <c r="AX17" s="77"/>
      <c r="AY17" s="77"/>
      <c r="AZ17" s="77"/>
      <c r="BA17" s="77"/>
      <c r="BB17" s="77"/>
      <c r="BC17" s="78"/>
      <c r="BD17" s="77"/>
      <c r="BE17" s="89"/>
    </row>
    <row r="18" ht="15.5" spans="1:57">
      <c r="A18" s="42"/>
      <c r="B18" s="43"/>
      <c r="C18" s="44" t="s">
        <v>282</v>
      </c>
      <c r="D18" s="49"/>
      <c r="E18" s="50"/>
      <c r="F18" s="52"/>
      <c r="G18" s="53"/>
      <c r="H18" s="48">
        <v>270</v>
      </c>
      <c r="I18" s="77"/>
      <c r="J18" s="48">
        <v>246</v>
      </c>
      <c r="K18" s="77"/>
      <c r="L18" s="77"/>
      <c r="M18" s="78"/>
      <c r="N18" s="48">
        <v>235</v>
      </c>
      <c r="O18" s="77"/>
      <c r="P18" s="48">
        <v>102</v>
      </c>
      <c r="Q18" s="77"/>
      <c r="R18" s="77"/>
      <c r="S18" s="78"/>
      <c r="T18" s="55"/>
      <c r="U18" s="77"/>
      <c r="V18" s="55"/>
      <c r="W18" s="77"/>
      <c r="X18" s="77"/>
      <c r="Y18" s="78"/>
      <c r="Z18" s="55"/>
      <c r="AA18" s="77"/>
      <c r="AB18" s="55"/>
      <c r="AC18" s="77"/>
      <c r="AD18" s="77"/>
      <c r="AE18" s="78"/>
      <c r="AF18" s="77"/>
      <c r="AG18" s="77"/>
      <c r="AH18" s="77"/>
      <c r="AI18" s="77"/>
      <c r="AJ18" s="77"/>
      <c r="AK18" s="78"/>
      <c r="AL18" s="77"/>
      <c r="AM18" s="77"/>
      <c r="AN18" s="77"/>
      <c r="AO18" s="77"/>
      <c r="AP18" s="77"/>
      <c r="AQ18" s="78"/>
      <c r="AR18" s="77"/>
      <c r="AS18" s="77"/>
      <c r="AT18" s="77"/>
      <c r="AU18" s="77"/>
      <c r="AV18" s="77"/>
      <c r="AW18" s="78"/>
      <c r="AX18" s="77"/>
      <c r="AY18" s="77"/>
      <c r="AZ18" s="77"/>
      <c r="BA18" s="77"/>
      <c r="BB18" s="77"/>
      <c r="BC18" s="78"/>
      <c r="BD18" s="77"/>
      <c r="BE18" s="89"/>
    </row>
    <row r="19" ht="15.5" spans="1:57">
      <c r="A19" s="42"/>
      <c r="B19" s="43"/>
      <c r="C19" s="44" t="s">
        <v>283</v>
      </c>
      <c r="D19" s="49"/>
      <c r="E19" s="50"/>
      <c r="F19" s="52"/>
      <c r="G19" s="53"/>
      <c r="H19" s="48">
        <v>1287</v>
      </c>
      <c r="I19" s="77"/>
      <c r="J19" s="48">
        <v>518</v>
      </c>
      <c r="K19" s="77"/>
      <c r="L19" s="77"/>
      <c r="M19" s="78"/>
      <c r="N19" s="48">
        <v>1380</v>
      </c>
      <c r="O19" s="77"/>
      <c r="P19" s="48">
        <v>778</v>
      </c>
      <c r="Q19" s="77"/>
      <c r="R19" s="77"/>
      <c r="S19" s="78"/>
      <c r="T19" s="48"/>
      <c r="U19" s="77"/>
      <c r="V19" s="48"/>
      <c r="W19" s="77"/>
      <c r="X19" s="77"/>
      <c r="Y19" s="78"/>
      <c r="Z19" s="48"/>
      <c r="AA19" s="77"/>
      <c r="AB19" s="48"/>
      <c r="AC19" s="77"/>
      <c r="AD19" s="77"/>
      <c r="AE19" s="78"/>
      <c r="AF19" s="77"/>
      <c r="AG19" s="77"/>
      <c r="AH19" s="77"/>
      <c r="AI19" s="77"/>
      <c r="AJ19" s="77"/>
      <c r="AK19" s="78"/>
      <c r="AL19" s="77"/>
      <c r="AM19" s="77"/>
      <c r="AN19" s="77"/>
      <c r="AO19" s="77"/>
      <c r="AP19" s="77"/>
      <c r="AQ19" s="78"/>
      <c r="AR19" s="77"/>
      <c r="AS19" s="77"/>
      <c r="AT19" s="77"/>
      <c r="AU19" s="77"/>
      <c r="AV19" s="77"/>
      <c r="AW19" s="78"/>
      <c r="AX19" s="77"/>
      <c r="AY19" s="77"/>
      <c r="AZ19" s="77"/>
      <c r="BA19" s="77"/>
      <c r="BB19" s="77"/>
      <c r="BC19" s="78"/>
      <c r="BD19" s="77"/>
      <c r="BE19" s="89"/>
    </row>
    <row r="20" ht="15.5" spans="1:57">
      <c r="A20" s="42"/>
      <c r="B20" s="43"/>
      <c r="C20" s="44" t="s">
        <v>284</v>
      </c>
      <c r="D20" s="49"/>
      <c r="E20" s="50"/>
      <c r="F20" s="52"/>
      <c r="G20" s="53"/>
      <c r="H20" s="48">
        <v>536</v>
      </c>
      <c r="I20" s="77"/>
      <c r="J20" s="48">
        <v>150</v>
      </c>
      <c r="K20" s="77"/>
      <c r="L20" s="77"/>
      <c r="M20" s="78"/>
      <c r="N20" s="48">
        <v>753</v>
      </c>
      <c r="O20" s="77"/>
      <c r="P20" s="48">
        <v>292</v>
      </c>
      <c r="Q20" s="77"/>
      <c r="R20" s="77"/>
      <c r="S20" s="78"/>
      <c r="T20" s="55"/>
      <c r="U20" s="77"/>
      <c r="V20" s="55"/>
      <c r="W20" s="77"/>
      <c r="X20" s="77"/>
      <c r="Y20" s="78"/>
      <c r="Z20" s="55"/>
      <c r="AA20" s="77"/>
      <c r="AB20" s="55"/>
      <c r="AC20" s="77"/>
      <c r="AD20" s="77"/>
      <c r="AE20" s="78"/>
      <c r="AF20" s="77"/>
      <c r="AG20" s="77"/>
      <c r="AH20" s="77"/>
      <c r="AI20" s="77"/>
      <c r="AJ20" s="77"/>
      <c r="AK20" s="78"/>
      <c r="AL20" s="77"/>
      <c r="AM20" s="77"/>
      <c r="AN20" s="77"/>
      <c r="AO20" s="77"/>
      <c r="AP20" s="77"/>
      <c r="AQ20" s="78"/>
      <c r="AR20" s="77"/>
      <c r="AS20" s="77"/>
      <c r="AT20" s="77"/>
      <c r="AU20" s="77"/>
      <c r="AV20" s="77"/>
      <c r="AW20" s="78"/>
      <c r="AX20" s="77"/>
      <c r="AY20" s="77"/>
      <c r="AZ20" s="77"/>
      <c r="BA20" s="77"/>
      <c r="BB20" s="77"/>
      <c r="BC20" s="78"/>
      <c r="BD20" s="77"/>
      <c r="BE20" s="89"/>
    </row>
    <row r="21" ht="15.5" spans="1:57">
      <c r="A21" s="42"/>
      <c r="B21" s="43"/>
      <c r="C21" s="54" t="s">
        <v>285</v>
      </c>
      <c r="D21" s="49"/>
      <c r="E21" s="50"/>
      <c r="F21" s="52"/>
      <c r="G21" s="53"/>
      <c r="H21" s="55">
        <v>2.184586</v>
      </c>
      <c r="I21" s="77"/>
      <c r="J21" s="55">
        <v>0.8937386</v>
      </c>
      <c r="K21" s="77"/>
      <c r="L21" s="77"/>
      <c r="M21" s="78"/>
      <c r="N21" s="55">
        <v>2.4994851</v>
      </c>
      <c r="O21" s="77"/>
      <c r="P21" s="55">
        <v>1.2485544</v>
      </c>
      <c r="Q21" s="77"/>
      <c r="R21" s="77"/>
      <c r="S21" s="78"/>
      <c r="T21" s="48"/>
      <c r="U21" s="77"/>
      <c r="V21" s="48"/>
      <c r="W21" s="77"/>
      <c r="X21" s="77"/>
      <c r="Y21" s="78"/>
      <c r="Z21" s="48"/>
      <c r="AA21" s="77"/>
      <c r="AB21" s="48"/>
      <c r="AC21" s="77"/>
      <c r="AD21" s="77"/>
      <c r="AE21" s="78"/>
      <c r="AF21" s="77"/>
      <c r="AG21" s="77"/>
      <c r="AH21" s="77"/>
      <c r="AI21" s="77"/>
      <c r="AJ21" s="77"/>
      <c r="AK21" s="78"/>
      <c r="AL21" s="77"/>
      <c r="AM21" s="77"/>
      <c r="AN21" s="77"/>
      <c r="AO21" s="77"/>
      <c r="AP21" s="77"/>
      <c r="AQ21" s="78"/>
      <c r="AR21" s="77"/>
      <c r="AS21" s="77"/>
      <c r="AT21" s="77"/>
      <c r="AU21" s="77"/>
      <c r="AV21" s="77"/>
      <c r="AW21" s="78"/>
      <c r="AX21" s="77"/>
      <c r="AY21" s="77"/>
      <c r="AZ21" s="77"/>
      <c r="BA21" s="77"/>
      <c r="BB21" s="77"/>
      <c r="BC21" s="78"/>
      <c r="BD21" s="77"/>
      <c r="BE21" s="89"/>
    </row>
    <row r="22" ht="15.5" spans="1:57">
      <c r="A22" s="42"/>
      <c r="B22" s="43"/>
      <c r="C22" s="44" t="s">
        <v>286</v>
      </c>
      <c r="D22" s="49"/>
      <c r="E22" s="50"/>
      <c r="F22" s="52"/>
      <c r="G22" s="53"/>
      <c r="H22" s="48">
        <v>2914</v>
      </c>
      <c r="I22" s="77"/>
      <c r="J22" s="48">
        <v>932</v>
      </c>
      <c r="K22" s="77"/>
      <c r="L22" s="77"/>
      <c r="M22" s="78"/>
      <c r="N22" s="48">
        <v>3475</v>
      </c>
      <c r="O22" s="77"/>
      <c r="P22" s="48">
        <v>1616</v>
      </c>
      <c r="Q22" s="77"/>
      <c r="R22" s="77"/>
      <c r="S22" s="78"/>
      <c r="T22" s="48"/>
      <c r="U22" s="77"/>
      <c r="V22" s="48"/>
      <c r="W22" s="77"/>
      <c r="X22" s="77"/>
      <c r="Y22" s="78"/>
      <c r="Z22" s="48"/>
      <c r="AA22" s="77"/>
      <c r="AB22" s="48"/>
      <c r="AC22" s="77"/>
      <c r="AD22" s="77"/>
      <c r="AE22" s="78"/>
      <c r="AF22" s="77"/>
      <c r="AG22" s="77"/>
      <c r="AH22" s="77"/>
      <c r="AI22" s="77"/>
      <c r="AJ22" s="77"/>
      <c r="AK22" s="78"/>
      <c r="AL22" s="77"/>
      <c r="AM22" s="77"/>
      <c r="AN22" s="77"/>
      <c r="AO22" s="77"/>
      <c r="AP22" s="77"/>
      <c r="AQ22" s="78"/>
      <c r="AR22" s="77"/>
      <c r="AS22" s="77"/>
      <c r="AT22" s="77"/>
      <c r="AU22" s="77"/>
      <c r="AV22" s="77"/>
      <c r="AW22" s="78"/>
      <c r="AX22" s="77"/>
      <c r="AY22" s="77"/>
      <c r="AZ22" s="77"/>
      <c r="BA22" s="77"/>
      <c r="BB22" s="77"/>
      <c r="BC22" s="78"/>
      <c r="BD22" s="77"/>
      <c r="BE22" s="89"/>
    </row>
    <row r="23" ht="15.5" spans="1:57">
      <c r="A23" s="42"/>
      <c r="B23" s="43"/>
      <c r="C23" s="44" t="s">
        <v>287</v>
      </c>
      <c r="D23" s="49"/>
      <c r="E23" s="50"/>
      <c r="F23" s="52"/>
      <c r="G23" s="53"/>
      <c r="H23" s="48">
        <v>1886</v>
      </c>
      <c r="I23" s="77"/>
      <c r="J23" s="48">
        <v>888</v>
      </c>
      <c r="K23" s="77"/>
      <c r="L23" s="77"/>
      <c r="M23" s="78"/>
      <c r="N23" s="48">
        <v>2891</v>
      </c>
      <c r="O23" s="77"/>
      <c r="P23" s="48">
        <v>1248</v>
      </c>
      <c r="Q23" s="77"/>
      <c r="R23" s="77"/>
      <c r="S23" s="78"/>
      <c r="T23" s="48"/>
      <c r="U23" s="77"/>
      <c r="V23" s="48"/>
      <c r="W23" s="77"/>
      <c r="X23" s="77"/>
      <c r="Y23" s="78"/>
      <c r="Z23" s="48"/>
      <c r="AA23" s="77"/>
      <c r="AB23" s="48"/>
      <c r="AC23" s="77"/>
      <c r="AD23" s="77"/>
      <c r="AE23" s="78"/>
      <c r="AF23" s="77"/>
      <c r="AG23" s="77"/>
      <c r="AH23" s="77"/>
      <c r="AI23" s="77"/>
      <c r="AJ23" s="77"/>
      <c r="AK23" s="78"/>
      <c r="AL23" s="77"/>
      <c r="AM23" s="77"/>
      <c r="AN23" s="77"/>
      <c r="AO23" s="77"/>
      <c r="AP23" s="77"/>
      <c r="AQ23" s="78"/>
      <c r="AR23" s="77"/>
      <c r="AS23" s="77"/>
      <c r="AT23" s="77"/>
      <c r="AU23" s="77"/>
      <c r="AV23" s="77"/>
      <c r="AW23" s="78"/>
      <c r="AX23" s="77"/>
      <c r="AY23" s="77"/>
      <c r="AZ23" s="77"/>
      <c r="BA23" s="77"/>
      <c r="BB23" s="77"/>
      <c r="BC23" s="78"/>
      <c r="BD23" s="77"/>
      <c r="BE23" s="89"/>
    </row>
    <row r="24" ht="15.5" spans="1:57">
      <c r="A24" s="42"/>
      <c r="B24" s="43"/>
      <c r="C24" s="44" t="s">
        <v>288</v>
      </c>
      <c r="D24" s="49"/>
      <c r="E24" s="50"/>
      <c r="F24" s="52"/>
      <c r="G24" s="53"/>
      <c r="H24" s="48">
        <v>0</v>
      </c>
      <c r="I24" s="77"/>
      <c r="J24" s="48">
        <v>0</v>
      </c>
      <c r="K24" s="77"/>
      <c r="L24" s="77"/>
      <c r="M24" s="78"/>
      <c r="N24" s="48">
        <v>0</v>
      </c>
      <c r="O24" s="77"/>
      <c r="P24" s="48">
        <v>0</v>
      </c>
      <c r="Q24" s="77"/>
      <c r="R24" s="77"/>
      <c r="S24" s="78"/>
      <c r="T24" s="55"/>
      <c r="U24" s="77"/>
      <c r="V24" s="55"/>
      <c r="W24" s="77"/>
      <c r="X24" s="77"/>
      <c r="Y24" s="78"/>
      <c r="Z24" s="55"/>
      <c r="AA24" s="77"/>
      <c r="AB24" s="55"/>
      <c r="AC24" s="77"/>
      <c r="AD24" s="77"/>
      <c r="AE24" s="78"/>
      <c r="AF24" s="77"/>
      <c r="AG24" s="77"/>
      <c r="AH24" s="77"/>
      <c r="AI24" s="77"/>
      <c r="AJ24" s="77"/>
      <c r="AK24" s="78"/>
      <c r="AL24" s="77"/>
      <c r="AM24" s="77"/>
      <c r="AN24" s="77"/>
      <c r="AO24" s="77"/>
      <c r="AP24" s="77"/>
      <c r="AQ24" s="78"/>
      <c r="AR24" s="77"/>
      <c r="AS24" s="77"/>
      <c r="AT24" s="77"/>
      <c r="AU24" s="77"/>
      <c r="AV24" s="77"/>
      <c r="AW24" s="78"/>
      <c r="AX24" s="77"/>
      <c r="AY24" s="77"/>
      <c r="AZ24" s="77"/>
      <c r="BA24" s="77"/>
      <c r="BB24" s="77"/>
      <c r="BC24" s="78"/>
      <c r="BD24" s="77"/>
      <c r="BE24" s="89"/>
    </row>
    <row r="25" ht="15.5" spans="1:57">
      <c r="A25" s="34"/>
      <c r="B25" s="35"/>
      <c r="C25" s="44" t="s">
        <v>289</v>
      </c>
      <c r="D25" s="56"/>
      <c r="E25" s="56"/>
      <c r="F25" s="57"/>
      <c r="G25" s="58"/>
      <c r="H25" s="48">
        <v>1836</v>
      </c>
      <c r="I25" s="79"/>
      <c r="J25" s="48">
        <v>1100</v>
      </c>
      <c r="K25" s="79"/>
      <c r="L25" s="80"/>
      <c r="M25" s="81"/>
      <c r="N25" s="48">
        <v>1936</v>
      </c>
      <c r="O25" s="79"/>
      <c r="P25" s="48">
        <v>909</v>
      </c>
      <c r="Q25" s="79"/>
      <c r="R25" s="80"/>
      <c r="S25" s="81"/>
      <c r="T25" s="48"/>
      <c r="U25" s="79"/>
      <c r="V25" s="48"/>
      <c r="W25" s="79"/>
      <c r="X25" s="80"/>
      <c r="Y25" s="81"/>
      <c r="Z25" s="48"/>
      <c r="AA25" s="79"/>
      <c r="AB25" s="48"/>
      <c r="AC25" s="79"/>
      <c r="AD25" s="80"/>
      <c r="AE25" s="81"/>
      <c r="AF25" s="80"/>
      <c r="AG25" s="79"/>
      <c r="AH25" s="80"/>
      <c r="AI25" s="79"/>
      <c r="AJ25" s="80"/>
      <c r="AK25" s="81"/>
      <c r="AL25" s="80"/>
      <c r="AM25" s="79"/>
      <c r="AN25" s="80"/>
      <c r="AO25" s="79"/>
      <c r="AP25" s="80"/>
      <c r="AQ25" s="81"/>
      <c r="AR25" s="80"/>
      <c r="AS25" s="79"/>
      <c r="AT25" s="80"/>
      <c r="AU25" s="79"/>
      <c r="AV25" s="80"/>
      <c r="AW25" s="81"/>
      <c r="AX25" s="80"/>
      <c r="AY25" s="79"/>
      <c r="AZ25" s="80"/>
      <c r="BA25" s="79"/>
      <c r="BB25" s="80"/>
      <c r="BC25" s="81"/>
      <c r="BD25" s="80"/>
      <c r="BE25" s="81"/>
    </row>
    <row r="26" ht="15.5" spans="1:57">
      <c r="A26" s="42"/>
      <c r="B26" s="43"/>
      <c r="C26" s="54" t="s">
        <v>290</v>
      </c>
      <c r="D26" s="49"/>
      <c r="E26" s="50"/>
      <c r="F26" s="47"/>
      <c r="G26" s="50"/>
      <c r="H26" s="55">
        <v>1.6281766</v>
      </c>
      <c r="I26" s="77"/>
      <c r="J26" s="55">
        <v>0.7612596</v>
      </c>
      <c r="K26" s="77"/>
      <c r="L26" s="77"/>
      <c r="M26" s="78"/>
      <c r="N26" s="55">
        <v>1.9807713</v>
      </c>
      <c r="O26" s="77"/>
      <c r="P26" s="55">
        <v>0.9047645</v>
      </c>
      <c r="Q26" s="77"/>
      <c r="R26" s="77"/>
      <c r="S26" s="78"/>
      <c r="T26" s="48"/>
      <c r="U26" s="77"/>
      <c r="V26" s="48"/>
      <c r="W26" s="77"/>
      <c r="X26" s="77"/>
      <c r="Y26" s="78"/>
      <c r="Z26" s="48"/>
      <c r="AA26" s="77"/>
      <c r="AB26" s="48"/>
      <c r="AC26" s="77"/>
      <c r="AD26" s="77"/>
      <c r="AE26" s="78"/>
      <c r="AF26" s="77"/>
      <c r="AG26" s="77"/>
      <c r="AH26" s="77"/>
      <c r="AI26" s="77"/>
      <c r="AJ26" s="77"/>
      <c r="AK26" s="78"/>
      <c r="AL26" s="77"/>
      <c r="AM26" s="77"/>
      <c r="AN26" s="77"/>
      <c r="AO26" s="77"/>
      <c r="AP26" s="77"/>
      <c r="AQ26" s="78"/>
      <c r="AR26" s="77"/>
      <c r="AS26" s="77"/>
      <c r="AT26" s="77"/>
      <c r="AU26" s="77"/>
      <c r="AV26" s="77"/>
      <c r="AW26" s="78"/>
      <c r="AX26" s="77"/>
      <c r="AY26" s="77"/>
      <c r="AZ26" s="77"/>
      <c r="BA26" s="77"/>
      <c r="BB26" s="77"/>
      <c r="BC26" s="78"/>
      <c r="BD26" s="77"/>
      <c r="BE26" s="89"/>
    </row>
    <row r="27" ht="15.5" spans="1:57">
      <c r="A27" s="42"/>
      <c r="B27" s="43"/>
      <c r="C27" s="44" t="s">
        <v>291</v>
      </c>
      <c r="D27" s="49"/>
      <c r="E27" s="50"/>
      <c r="F27" s="51"/>
      <c r="G27" s="50"/>
      <c r="H27" s="48">
        <v>10</v>
      </c>
      <c r="I27" s="77"/>
      <c r="J27" s="48">
        <v>80</v>
      </c>
      <c r="K27" s="77"/>
      <c r="L27" s="77"/>
      <c r="M27" s="78"/>
      <c r="N27" s="48">
        <v>21</v>
      </c>
      <c r="O27" s="77"/>
      <c r="P27" s="48">
        <v>59</v>
      </c>
      <c r="Q27" s="77"/>
      <c r="R27" s="77"/>
      <c r="S27" s="78"/>
      <c r="T27" s="48"/>
      <c r="U27" s="77"/>
      <c r="V27" s="48"/>
      <c r="W27" s="77"/>
      <c r="X27" s="77"/>
      <c r="Y27" s="78"/>
      <c r="Z27" s="48"/>
      <c r="AA27" s="77"/>
      <c r="AB27" s="48"/>
      <c r="AC27" s="77"/>
      <c r="AD27" s="77"/>
      <c r="AE27" s="78"/>
      <c r="AF27" s="77"/>
      <c r="AG27" s="77"/>
      <c r="AH27" s="77"/>
      <c r="AI27" s="77"/>
      <c r="AJ27" s="77"/>
      <c r="AK27" s="78"/>
      <c r="AL27" s="77"/>
      <c r="AM27" s="77"/>
      <c r="AN27" s="77"/>
      <c r="AO27" s="77"/>
      <c r="AP27" s="77"/>
      <c r="AQ27" s="78"/>
      <c r="AR27" s="77"/>
      <c r="AS27" s="77"/>
      <c r="AT27" s="77"/>
      <c r="AU27" s="77"/>
      <c r="AV27" s="77"/>
      <c r="AW27" s="78"/>
      <c r="AX27" s="77"/>
      <c r="AY27" s="77"/>
      <c r="AZ27" s="77"/>
      <c r="BA27" s="77"/>
      <c r="BB27" s="77"/>
      <c r="BC27" s="78"/>
      <c r="BD27" s="77"/>
      <c r="BE27" s="89"/>
    </row>
    <row r="28" ht="15.5" spans="1:57">
      <c r="A28" s="42"/>
      <c r="B28" s="43"/>
      <c r="C28" s="44" t="s">
        <v>292</v>
      </c>
      <c r="D28" s="49"/>
      <c r="E28" s="50"/>
      <c r="F28" s="59"/>
      <c r="G28" s="50"/>
      <c r="H28" s="48">
        <v>61</v>
      </c>
      <c r="I28" s="77"/>
      <c r="J28" s="48">
        <v>50</v>
      </c>
      <c r="K28" s="77"/>
      <c r="L28" s="77"/>
      <c r="M28" s="78"/>
      <c r="N28" s="48">
        <v>29</v>
      </c>
      <c r="O28" s="77"/>
      <c r="P28" s="48">
        <v>85</v>
      </c>
      <c r="Q28" s="77"/>
      <c r="R28" s="77"/>
      <c r="S28" s="78"/>
      <c r="T28" s="48"/>
      <c r="U28" s="77"/>
      <c r="V28" s="48"/>
      <c r="W28" s="77"/>
      <c r="X28" s="77"/>
      <c r="Y28" s="78"/>
      <c r="Z28" s="48"/>
      <c r="AA28" s="77"/>
      <c r="AB28" s="48"/>
      <c r="AC28" s="77"/>
      <c r="AD28" s="77"/>
      <c r="AE28" s="78"/>
      <c r="AF28" s="77"/>
      <c r="AG28" s="77"/>
      <c r="AH28" s="77"/>
      <c r="AI28" s="77"/>
      <c r="AJ28" s="77"/>
      <c r="AK28" s="78"/>
      <c r="AL28" s="77"/>
      <c r="AM28" s="77"/>
      <c r="AN28" s="77"/>
      <c r="AO28" s="77"/>
      <c r="AP28" s="77"/>
      <c r="AQ28" s="78"/>
      <c r="AR28" s="77"/>
      <c r="AS28" s="77"/>
      <c r="AT28" s="77"/>
      <c r="AU28" s="77"/>
      <c r="AV28" s="77"/>
      <c r="AW28" s="78"/>
      <c r="AX28" s="77"/>
      <c r="AY28" s="77"/>
      <c r="AZ28" s="77"/>
      <c r="BA28" s="77"/>
      <c r="BB28" s="77"/>
      <c r="BC28" s="78"/>
      <c r="BD28" s="77"/>
      <c r="BE28" s="89"/>
    </row>
    <row r="29" ht="15.5" spans="1:57">
      <c r="A29" s="34"/>
      <c r="B29" s="35"/>
      <c r="C29" s="44" t="s">
        <v>293</v>
      </c>
      <c r="D29" s="56"/>
      <c r="E29" s="56"/>
      <c r="F29" s="57"/>
      <c r="G29" s="58"/>
      <c r="H29" s="48">
        <v>239</v>
      </c>
      <c r="I29" s="79"/>
      <c r="J29" s="48">
        <v>198</v>
      </c>
      <c r="K29" s="79"/>
      <c r="L29" s="80"/>
      <c r="M29" s="81"/>
      <c r="N29" s="48">
        <v>249</v>
      </c>
      <c r="O29" s="79"/>
      <c r="P29" s="48">
        <v>139</v>
      </c>
      <c r="Q29" s="79"/>
      <c r="R29" s="80"/>
      <c r="S29" s="81"/>
      <c r="T29" s="55"/>
      <c r="U29" s="79"/>
      <c r="V29" s="55"/>
      <c r="W29" s="79"/>
      <c r="X29" s="80"/>
      <c r="Y29" s="81"/>
      <c r="Z29" s="55"/>
      <c r="AA29" s="79"/>
      <c r="AB29" s="55"/>
      <c r="AC29" s="79"/>
      <c r="AD29" s="80"/>
      <c r="AE29" s="81"/>
      <c r="AF29" s="80"/>
      <c r="AG29" s="79"/>
      <c r="AH29" s="80"/>
      <c r="AI29" s="79"/>
      <c r="AJ29" s="80"/>
      <c r="AK29" s="81"/>
      <c r="AL29" s="80"/>
      <c r="AM29" s="79"/>
      <c r="AN29" s="80"/>
      <c r="AO29" s="79"/>
      <c r="AP29" s="80"/>
      <c r="AQ29" s="81"/>
      <c r="AR29" s="80"/>
      <c r="AS29" s="79"/>
      <c r="AT29" s="80"/>
      <c r="AU29" s="79"/>
      <c r="AV29" s="80"/>
      <c r="AW29" s="81"/>
      <c r="AX29" s="80"/>
      <c r="AY29" s="79"/>
      <c r="AZ29" s="80"/>
      <c r="BA29" s="79"/>
      <c r="BB29" s="80"/>
      <c r="BC29" s="81"/>
      <c r="BD29" s="80"/>
      <c r="BE29" s="81"/>
    </row>
    <row r="30" ht="15.5" spans="1:57">
      <c r="A30" s="42"/>
      <c r="B30" s="43"/>
      <c r="C30" s="44" t="s">
        <v>294</v>
      </c>
      <c r="D30" s="49"/>
      <c r="E30" s="50"/>
      <c r="F30" s="52"/>
      <c r="G30" s="53"/>
      <c r="H30" s="48">
        <v>128</v>
      </c>
      <c r="I30" s="77"/>
      <c r="J30" s="48">
        <v>44</v>
      </c>
      <c r="K30" s="77"/>
      <c r="L30" s="77"/>
      <c r="M30" s="78"/>
      <c r="N30" s="48">
        <v>77</v>
      </c>
      <c r="O30" s="77"/>
      <c r="P30" s="48">
        <v>76</v>
      </c>
      <c r="Q30" s="77"/>
      <c r="R30" s="77"/>
      <c r="S30" s="78"/>
      <c r="T30" s="48"/>
      <c r="U30" s="77"/>
      <c r="V30" s="48"/>
      <c r="W30" s="77"/>
      <c r="X30" s="77"/>
      <c r="Y30" s="78"/>
      <c r="Z30" s="48"/>
      <c r="AA30" s="77"/>
      <c r="AB30" s="48"/>
      <c r="AC30" s="77"/>
      <c r="AD30" s="77"/>
      <c r="AE30" s="78"/>
      <c r="AF30" s="77"/>
      <c r="AG30" s="77"/>
      <c r="AH30" s="77"/>
      <c r="AI30" s="77"/>
      <c r="AJ30" s="77"/>
      <c r="AK30" s="78"/>
      <c r="AL30" s="77"/>
      <c r="AM30" s="77"/>
      <c r="AN30" s="77"/>
      <c r="AO30" s="77"/>
      <c r="AP30" s="77"/>
      <c r="AQ30" s="78"/>
      <c r="AR30" s="77"/>
      <c r="AS30" s="77"/>
      <c r="AT30" s="77"/>
      <c r="AU30" s="77"/>
      <c r="AV30" s="77"/>
      <c r="AW30" s="78"/>
      <c r="AX30" s="77"/>
      <c r="AY30" s="77"/>
      <c r="AZ30" s="77"/>
      <c r="BA30" s="77"/>
      <c r="BB30" s="77"/>
      <c r="BC30" s="78"/>
      <c r="BD30" s="77"/>
      <c r="BE30" s="89"/>
    </row>
    <row r="31" ht="15.5" spans="1:57">
      <c r="A31" s="42"/>
      <c r="B31" s="43"/>
      <c r="C31" s="44" t="s">
        <v>295</v>
      </c>
      <c r="D31" s="49"/>
      <c r="E31" s="50"/>
      <c r="F31" s="52"/>
      <c r="G31" s="53"/>
      <c r="H31" s="48">
        <v>70</v>
      </c>
      <c r="I31" s="77"/>
      <c r="J31" s="48">
        <v>63</v>
      </c>
      <c r="K31" s="77"/>
      <c r="L31" s="77"/>
      <c r="M31" s="78"/>
      <c r="N31" s="48">
        <v>77</v>
      </c>
      <c r="O31" s="77"/>
      <c r="P31" s="48">
        <v>52</v>
      </c>
      <c r="Q31" s="77"/>
      <c r="R31" s="77"/>
      <c r="S31" s="78"/>
      <c r="T31" s="48"/>
      <c r="U31" s="77"/>
      <c r="V31" s="48"/>
      <c r="W31" s="77"/>
      <c r="X31" s="77"/>
      <c r="Y31" s="78"/>
      <c r="Z31" s="48"/>
      <c r="AA31" s="77"/>
      <c r="AB31" s="48"/>
      <c r="AC31" s="77"/>
      <c r="AD31" s="77"/>
      <c r="AE31" s="78"/>
      <c r="AF31" s="77"/>
      <c r="AG31" s="77"/>
      <c r="AH31" s="77"/>
      <c r="AI31" s="77"/>
      <c r="AJ31" s="77"/>
      <c r="AK31" s="78"/>
      <c r="AL31" s="77"/>
      <c r="AM31" s="77"/>
      <c r="AN31" s="77"/>
      <c r="AO31" s="77"/>
      <c r="AP31" s="77"/>
      <c r="AQ31" s="78"/>
      <c r="AR31" s="77"/>
      <c r="AS31" s="77"/>
      <c r="AT31" s="77"/>
      <c r="AU31" s="77"/>
      <c r="AV31" s="77"/>
      <c r="AW31" s="78"/>
      <c r="AX31" s="77"/>
      <c r="AY31" s="77"/>
      <c r="AZ31" s="77"/>
      <c r="BA31" s="77"/>
      <c r="BB31" s="77"/>
      <c r="BC31" s="78"/>
      <c r="BD31" s="77"/>
      <c r="BE31" s="89"/>
    </row>
    <row r="32" ht="15.5" spans="1:57">
      <c r="A32" s="42"/>
      <c r="B32" s="43"/>
      <c r="C32" s="54" t="s">
        <v>296</v>
      </c>
      <c r="D32" s="49"/>
      <c r="E32" s="50"/>
      <c r="F32" s="52"/>
      <c r="G32" s="53"/>
      <c r="H32" s="55">
        <v>0.3227641</v>
      </c>
      <c r="I32" s="77"/>
      <c r="J32" s="55">
        <v>0.276952</v>
      </c>
      <c r="K32" s="77"/>
      <c r="L32" s="77"/>
      <c r="M32" s="78"/>
      <c r="N32" s="55">
        <v>0.2526034</v>
      </c>
      <c r="O32" s="77"/>
      <c r="P32" s="55">
        <v>0.311339</v>
      </c>
      <c r="Q32" s="77"/>
      <c r="R32" s="77"/>
      <c r="S32" s="78"/>
      <c r="T32" s="48"/>
      <c r="U32" s="77"/>
      <c r="V32" s="48"/>
      <c r="W32" s="77"/>
      <c r="X32" s="77"/>
      <c r="Y32" s="78"/>
      <c r="Z32" s="48"/>
      <c r="AA32" s="77"/>
      <c r="AB32" s="48"/>
      <c r="AC32" s="77"/>
      <c r="AD32" s="77"/>
      <c r="AE32" s="78"/>
      <c r="AF32" s="77"/>
      <c r="AG32" s="77"/>
      <c r="AH32" s="77"/>
      <c r="AI32" s="77"/>
      <c r="AJ32" s="77"/>
      <c r="AK32" s="78"/>
      <c r="AL32" s="77"/>
      <c r="AM32" s="77"/>
      <c r="AN32" s="77"/>
      <c r="AO32" s="77"/>
      <c r="AP32" s="77"/>
      <c r="AQ32" s="78"/>
      <c r="AR32" s="77"/>
      <c r="AS32" s="77"/>
      <c r="AT32" s="77"/>
      <c r="AU32" s="77"/>
      <c r="AV32" s="77"/>
      <c r="AW32" s="78"/>
      <c r="AX32" s="77"/>
      <c r="AY32" s="77"/>
      <c r="AZ32" s="77"/>
      <c r="BA32" s="77"/>
      <c r="BB32" s="77"/>
      <c r="BC32" s="78"/>
      <c r="BD32" s="77"/>
      <c r="BE32" s="89"/>
    </row>
    <row r="33" ht="15.5" spans="1:57">
      <c r="A33" s="42"/>
      <c r="B33" s="43"/>
      <c r="C33" s="44" t="s">
        <v>297</v>
      </c>
      <c r="D33" s="49"/>
      <c r="E33" s="50"/>
      <c r="F33" s="52"/>
      <c r="G33" s="53"/>
      <c r="H33" s="48">
        <v>9</v>
      </c>
      <c r="I33" s="77"/>
      <c r="J33" s="48">
        <v>59</v>
      </c>
      <c r="K33" s="77"/>
      <c r="L33" s="77"/>
      <c r="M33" s="78"/>
      <c r="N33" s="48">
        <v>6</v>
      </c>
      <c r="O33" s="77"/>
      <c r="P33" s="48">
        <v>53</v>
      </c>
      <c r="Q33" s="77"/>
      <c r="R33" s="77"/>
      <c r="S33" s="78"/>
      <c r="T33" s="48"/>
      <c r="U33" s="77"/>
      <c r="V33" s="48"/>
      <c r="W33" s="77"/>
      <c r="X33" s="77"/>
      <c r="Y33" s="78"/>
      <c r="Z33" s="48"/>
      <c r="AA33" s="77"/>
      <c r="AB33" s="48"/>
      <c r="AC33" s="77"/>
      <c r="AD33" s="77"/>
      <c r="AE33" s="78"/>
      <c r="AF33" s="77"/>
      <c r="AG33" s="77"/>
      <c r="AH33" s="77"/>
      <c r="AI33" s="77"/>
      <c r="AJ33" s="77"/>
      <c r="AK33" s="78"/>
      <c r="AL33" s="77"/>
      <c r="AM33" s="77"/>
      <c r="AN33" s="77"/>
      <c r="AO33" s="77"/>
      <c r="AP33" s="77"/>
      <c r="AQ33" s="78"/>
      <c r="AR33" s="77"/>
      <c r="AS33" s="77"/>
      <c r="AT33" s="77"/>
      <c r="AU33" s="77"/>
      <c r="AV33" s="77"/>
      <c r="AW33" s="78"/>
      <c r="AX33" s="77"/>
      <c r="AY33" s="77"/>
      <c r="AZ33" s="77"/>
      <c r="BA33" s="77"/>
      <c r="BB33" s="77"/>
      <c r="BC33" s="78"/>
      <c r="BD33" s="77"/>
      <c r="BE33" s="89"/>
    </row>
    <row r="34" ht="15.5" spans="1:57">
      <c r="A34" s="34"/>
      <c r="B34" s="35"/>
      <c r="C34" s="44" t="s">
        <v>298</v>
      </c>
      <c r="D34" s="56"/>
      <c r="E34" s="56"/>
      <c r="F34" s="57"/>
      <c r="G34" s="58"/>
      <c r="H34" s="48">
        <v>14</v>
      </c>
      <c r="I34" s="79"/>
      <c r="J34" s="48">
        <v>34</v>
      </c>
      <c r="K34" s="79"/>
      <c r="L34" s="80"/>
      <c r="M34" s="81"/>
      <c r="N34" s="48">
        <v>11</v>
      </c>
      <c r="O34" s="79"/>
      <c r="P34" s="48">
        <v>31</v>
      </c>
      <c r="Q34" s="79"/>
      <c r="R34" s="80"/>
      <c r="S34" s="81"/>
      <c r="T34" s="48"/>
      <c r="U34" s="79"/>
      <c r="V34" s="48"/>
      <c r="W34" s="79"/>
      <c r="X34" s="80"/>
      <c r="Y34" s="81"/>
      <c r="Z34" s="48"/>
      <c r="AA34" s="79"/>
      <c r="AB34" s="48"/>
      <c r="AC34" s="79"/>
      <c r="AD34" s="80"/>
      <c r="AE34" s="81"/>
      <c r="AF34" s="80"/>
      <c r="AG34" s="79"/>
      <c r="AH34" s="80"/>
      <c r="AI34" s="79"/>
      <c r="AJ34" s="80"/>
      <c r="AK34" s="81"/>
      <c r="AL34" s="80"/>
      <c r="AM34" s="79"/>
      <c r="AN34" s="80"/>
      <c r="AO34" s="79"/>
      <c r="AP34" s="80"/>
      <c r="AQ34" s="81"/>
      <c r="AR34" s="80"/>
      <c r="AS34" s="79"/>
      <c r="AT34" s="80"/>
      <c r="AU34" s="79"/>
      <c r="AV34" s="80"/>
      <c r="AW34" s="81"/>
      <c r="AX34" s="80"/>
      <c r="AY34" s="79"/>
      <c r="AZ34" s="80"/>
      <c r="BA34" s="79"/>
      <c r="BB34" s="80"/>
      <c r="BC34" s="81"/>
      <c r="BD34" s="80"/>
      <c r="BE34" s="81"/>
    </row>
    <row r="35" ht="15.5" spans="1:57">
      <c r="A35" s="42"/>
      <c r="B35" s="43"/>
      <c r="C35" s="54" t="s">
        <v>299</v>
      </c>
      <c r="D35" s="49"/>
      <c r="E35" s="50"/>
      <c r="F35" s="47"/>
      <c r="G35" s="50"/>
      <c r="H35" s="55">
        <v>0.0457734</v>
      </c>
      <c r="I35" s="77"/>
      <c r="J35" s="55">
        <v>0.1903154</v>
      </c>
      <c r="K35" s="77"/>
      <c r="L35" s="77"/>
      <c r="M35" s="78"/>
      <c r="N35" s="55">
        <v>0.0336816</v>
      </c>
      <c r="O35" s="77"/>
      <c r="P35" s="55">
        <v>0.1718306</v>
      </c>
      <c r="Q35" s="77"/>
      <c r="R35" s="77"/>
      <c r="S35" s="78"/>
      <c r="T35" s="48"/>
      <c r="U35" s="77"/>
      <c r="V35" s="48"/>
      <c r="W35" s="77"/>
      <c r="X35" s="77"/>
      <c r="Y35" s="78"/>
      <c r="Z35" s="48"/>
      <c r="AA35" s="77"/>
      <c r="AB35" s="48"/>
      <c r="AC35" s="77"/>
      <c r="AD35" s="77"/>
      <c r="AE35" s="78"/>
      <c r="AF35" s="77"/>
      <c r="AG35" s="77"/>
      <c r="AH35" s="77"/>
      <c r="AI35" s="77"/>
      <c r="AJ35" s="77"/>
      <c r="AK35" s="78"/>
      <c r="AL35" s="77"/>
      <c r="AM35" s="77"/>
      <c r="AN35" s="77"/>
      <c r="AO35" s="77"/>
      <c r="AP35" s="77"/>
      <c r="AQ35" s="78"/>
      <c r="AR35" s="77"/>
      <c r="AS35" s="77"/>
      <c r="AT35" s="77"/>
      <c r="AU35" s="77"/>
      <c r="AV35" s="77"/>
      <c r="AW35" s="78"/>
      <c r="AX35" s="77"/>
      <c r="AY35" s="77"/>
      <c r="AZ35" s="77"/>
      <c r="BA35" s="77"/>
      <c r="BB35" s="77"/>
      <c r="BC35" s="78"/>
      <c r="BD35" s="77"/>
      <c r="BE35" s="89"/>
    </row>
    <row r="36" ht="15.5" spans="1:57">
      <c r="A36" s="42"/>
      <c r="B36" s="43"/>
      <c r="C36" s="44" t="s">
        <v>300</v>
      </c>
      <c r="D36" s="49"/>
      <c r="E36" s="50"/>
      <c r="F36" s="51"/>
      <c r="G36" s="50"/>
      <c r="H36" s="48">
        <v>25</v>
      </c>
      <c r="I36" s="77"/>
      <c r="J36" s="48">
        <v>108</v>
      </c>
      <c r="K36" s="77"/>
      <c r="L36" s="77"/>
      <c r="M36" s="78"/>
      <c r="N36" s="48">
        <v>37</v>
      </c>
      <c r="O36" s="77"/>
      <c r="P36" s="48">
        <v>88</v>
      </c>
      <c r="Q36" s="77"/>
      <c r="R36" s="77"/>
      <c r="S36" s="78"/>
      <c r="T36" s="55"/>
      <c r="U36" s="77"/>
      <c r="V36" s="55"/>
      <c r="W36" s="77"/>
      <c r="X36" s="77"/>
      <c r="Y36" s="78"/>
      <c r="Z36" s="55"/>
      <c r="AA36" s="77"/>
      <c r="AB36" s="55"/>
      <c r="AC36" s="77"/>
      <c r="AD36" s="77"/>
      <c r="AE36" s="78"/>
      <c r="AF36" s="77"/>
      <c r="AG36" s="77"/>
      <c r="AH36" s="77"/>
      <c r="AI36" s="77"/>
      <c r="AJ36" s="77"/>
      <c r="AK36" s="78"/>
      <c r="AL36" s="77"/>
      <c r="AM36" s="77"/>
      <c r="AN36" s="77"/>
      <c r="AO36" s="77"/>
      <c r="AP36" s="77"/>
      <c r="AQ36" s="78"/>
      <c r="AR36" s="77"/>
      <c r="AS36" s="77"/>
      <c r="AT36" s="77"/>
      <c r="AU36" s="77"/>
      <c r="AV36" s="77"/>
      <c r="AW36" s="78"/>
      <c r="AX36" s="77"/>
      <c r="AY36" s="77"/>
      <c r="AZ36" s="77"/>
      <c r="BA36" s="77"/>
      <c r="BB36" s="77"/>
      <c r="BC36" s="78"/>
      <c r="BD36" s="77"/>
      <c r="BE36" s="89"/>
    </row>
    <row r="37" ht="15.5" spans="1:57">
      <c r="A37" s="42"/>
      <c r="B37" s="43"/>
      <c r="C37" s="54" t="s">
        <v>301</v>
      </c>
      <c r="D37" s="60"/>
      <c r="E37" s="61"/>
      <c r="F37" s="59"/>
      <c r="G37" s="50"/>
      <c r="H37" s="55">
        <v>0.021215</v>
      </c>
      <c r="I37" s="82"/>
      <c r="J37" s="55">
        <v>0.0916488</v>
      </c>
      <c r="K37" s="77"/>
      <c r="L37" s="77"/>
      <c r="M37" s="78"/>
      <c r="N37" s="55">
        <v>0.0313982</v>
      </c>
      <c r="O37" s="77"/>
      <c r="P37" s="55">
        <v>0.0746768</v>
      </c>
      <c r="Q37" s="77"/>
      <c r="R37" s="77"/>
      <c r="S37" s="78"/>
      <c r="T37" s="48"/>
      <c r="U37" s="77"/>
      <c r="V37" s="48"/>
      <c r="W37" s="77"/>
      <c r="X37" s="77"/>
      <c r="Y37" s="78"/>
      <c r="Z37" s="48"/>
      <c r="AA37" s="77"/>
      <c r="AB37" s="48"/>
      <c r="AC37" s="77"/>
      <c r="AD37" s="77"/>
      <c r="AE37" s="78"/>
      <c r="AF37" s="77"/>
      <c r="AG37" s="77"/>
      <c r="AH37" s="77"/>
      <c r="AI37" s="77"/>
      <c r="AJ37" s="77"/>
      <c r="AK37" s="78"/>
      <c r="AL37" s="77"/>
      <c r="AM37" s="77"/>
      <c r="AN37" s="77"/>
      <c r="AO37" s="77"/>
      <c r="AP37" s="77"/>
      <c r="AQ37" s="78"/>
      <c r="AR37" s="77"/>
      <c r="AS37" s="77"/>
      <c r="AT37" s="77"/>
      <c r="AU37" s="77"/>
      <c r="AV37" s="77"/>
      <c r="AW37" s="78"/>
      <c r="AX37" s="77"/>
      <c r="AY37" s="77"/>
      <c r="AZ37" s="77"/>
      <c r="BA37" s="77"/>
      <c r="BB37" s="77"/>
      <c r="BC37" s="78"/>
      <c r="BD37" s="77"/>
      <c r="BE37" s="89"/>
    </row>
    <row r="38" ht="15.5" spans="1:57">
      <c r="A38" s="62"/>
      <c r="B38" s="63"/>
      <c r="C38" s="44" t="s">
        <v>302</v>
      </c>
      <c r="D38" s="64"/>
      <c r="E38" s="65"/>
      <c r="F38" s="66"/>
      <c r="G38" s="65"/>
      <c r="H38" s="48">
        <v>111</v>
      </c>
      <c r="I38" s="83"/>
      <c r="J38" s="48">
        <v>135</v>
      </c>
      <c r="K38" s="84"/>
      <c r="L38" s="84"/>
      <c r="M38" s="85"/>
      <c r="N38" s="48">
        <v>204</v>
      </c>
      <c r="O38" s="84"/>
      <c r="P38" s="48">
        <v>87</v>
      </c>
      <c r="Q38" s="84"/>
      <c r="R38" s="84"/>
      <c r="S38" s="85"/>
      <c r="T38" s="48"/>
      <c r="U38" s="84"/>
      <c r="V38" s="48"/>
      <c r="W38" s="84"/>
      <c r="X38" s="84"/>
      <c r="Y38" s="85"/>
      <c r="Z38" s="48"/>
      <c r="AA38" s="84"/>
      <c r="AB38" s="48"/>
      <c r="AC38" s="84"/>
      <c r="AD38" s="84"/>
      <c r="AE38" s="85"/>
      <c r="AF38" s="84"/>
      <c r="AG38" s="84"/>
      <c r="AH38" s="84"/>
      <c r="AI38" s="84"/>
      <c r="AJ38" s="84"/>
      <c r="AK38" s="85"/>
      <c r="AL38" s="84"/>
      <c r="AM38" s="84"/>
      <c r="AN38" s="84"/>
      <c r="AO38" s="84"/>
      <c r="AP38" s="84"/>
      <c r="AQ38" s="85"/>
      <c r="AR38" s="84"/>
      <c r="AS38" s="84"/>
      <c r="AT38" s="84"/>
      <c r="AU38" s="84"/>
      <c r="AV38" s="84"/>
      <c r="AW38" s="85"/>
      <c r="AX38" s="84"/>
      <c r="AY38" s="84"/>
      <c r="AZ38" s="84"/>
      <c r="BA38" s="84"/>
      <c r="BB38" s="84"/>
      <c r="BC38" s="85"/>
      <c r="BD38" s="84"/>
      <c r="BE38" s="90"/>
    </row>
    <row r="39" ht="15.5" spans="1:57">
      <c r="A39" s="62"/>
      <c r="B39" s="63"/>
      <c r="C39" s="44" t="s">
        <v>303</v>
      </c>
      <c r="D39" s="64"/>
      <c r="E39" s="65"/>
      <c r="F39" s="66"/>
      <c r="G39" s="65"/>
      <c r="H39" s="48">
        <v>30</v>
      </c>
      <c r="I39" s="83"/>
      <c r="J39" s="48">
        <v>71</v>
      </c>
      <c r="K39" s="84"/>
      <c r="L39" s="84"/>
      <c r="M39" s="85"/>
      <c r="N39" s="48">
        <v>107</v>
      </c>
      <c r="O39" s="84"/>
      <c r="P39" s="48">
        <v>71</v>
      </c>
      <c r="Q39" s="84"/>
      <c r="R39" s="84"/>
      <c r="S39" s="85"/>
      <c r="T39" s="48"/>
      <c r="U39" s="84"/>
      <c r="V39" s="48"/>
      <c r="W39" s="84"/>
      <c r="X39" s="84"/>
      <c r="Y39" s="85"/>
      <c r="Z39" s="48"/>
      <c r="AA39" s="84"/>
      <c r="AB39" s="48"/>
      <c r="AC39" s="84"/>
      <c r="AD39" s="84"/>
      <c r="AE39" s="85"/>
      <c r="AF39" s="84"/>
      <c r="AG39" s="84"/>
      <c r="AH39" s="84"/>
      <c r="AI39" s="84"/>
      <c r="AJ39" s="84"/>
      <c r="AK39" s="85"/>
      <c r="AL39" s="84"/>
      <c r="AM39" s="84"/>
      <c r="AN39" s="84"/>
      <c r="AO39" s="84"/>
      <c r="AP39" s="84"/>
      <c r="AQ39" s="85"/>
      <c r="AR39" s="84"/>
      <c r="AS39" s="84"/>
      <c r="AT39" s="84"/>
      <c r="AU39" s="84"/>
      <c r="AV39" s="84"/>
      <c r="AW39" s="85"/>
      <c r="AX39" s="84"/>
      <c r="AY39" s="84"/>
      <c r="AZ39" s="84"/>
      <c r="BA39" s="84"/>
      <c r="BB39" s="84"/>
      <c r="BC39" s="85"/>
      <c r="BD39" s="84"/>
      <c r="BE39" s="90"/>
    </row>
    <row r="40" ht="15.5" spans="1:57">
      <c r="A40" s="62"/>
      <c r="B40" s="63"/>
      <c r="C40" s="54" t="s">
        <v>304</v>
      </c>
      <c r="D40" s="64"/>
      <c r="E40" s="65"/>
      <c r="F40" s="66"/>
      <c r="G40" s="65"/>
      <c r="H40" s="55">
        <v>0.1654053</v>
      </c>
      <c r="I40" s="83"/>
      <c r="J40" s="55">
        <v>0.2441828</v>
      </c>
      <c r="K40" s="84"/>
      <c r="L40" s="84"/>
      <c r="M40" s="85"/>
      <c r="N40" s="55">
        <v>0.3686273</v>
      </c>
      <c r="O40" s="84"/>
      <c r="P40" s="55">
        <v>0.1888244</v>
      </c>
      <c r="Q40" s="84"/>
      <c r="R40" s="84"/>
      <c r="S40" s="85"/>
      <c r="T40" s="48"/>
      <c r="U40" s="84"/>
      <c r="V40" s="48"/>
      <c r="W40" s="84"/>
      <c r="X40" s="84"/>
      <c r="Y40" s="85"/>
      <c r="Z40" s="48"/>
      <c r="AA40" s="84"/>
      <c r="AB40" s="48"/>
      <c r="AC40" s="84"/>
      <c r="AD40" s="84"/>
      <c r="AE40" s="85"/>
      <c r="AF40" s="84"/>
      <c r="AG40" s="84"/>
      <c r="AH40" s="84"/>
      <c r="AI40" s="84"/>
      <c r="AJ40" s="84"/>
      <c r="AK40" s="85"/>
      <c r="AL40" s="84"/>
      <c r="AM40" s="84"/>
      <c r="AN40" s="84"/>
      <c r="AO40" s="84"/>
      <c r="AP40" s="84"/>
      <c r="AQ40" s="85"/>
      <c r="AR40" s="84"/>
      <c r="AS40" s="84"/>
      <c r="AT40" s="84"/>
      <c r="AU40" s="84"/>
      <c r="AV40" s="84"/>
      <c r="AW40" s="85"/>
      <c r="AX40" s="84"/>
      <c r="AY40" s="84"/>
      <c r="AZ40" s="84"/>
      <c r="BA40" s="84"/>
      <c r="BB40" s="84"/>
      <c r="BC40" s="85"/>
      <c r="BD40" s="84"/>
      <c r="BE40" s="90"/>
    </row>
    <row r="41" ht="15.5" spans="1:57">
      <c r="A41" s="34"/>
      <c r="B41" s="35"/>
      <c r="C41" s="44" t="s">
        <v>305</v>
      </c>
      <c r="D41" s="56"/>
      <c r="E41" s="56"/>
      <c r="F41" s="67"/>
      <c r="G41" s="56"/>
      <c r="H41" s="48">
        <v>0</v>
      </c>
      <c r="I41" s="79"/>
      <c r="J41" s="48">
        <v>10</v>
      </c>
      <c r="K41" s="79"/>
      <c r="L41" s="80"/>
      <c r="M41" s="81"/>
      <c r="N41" s="48">
        <v>2</v>
      </c>
      <c r="O41" s="79"/>
      <c r="P41" s="48">
        <v>8</v>
      </c>
      <c r="Q41" s="79"/>
      <c r="R41" s="80"/>
      <c r="S41" s="81"/>
      <c r="T41" s="55"/>
      <c r="U41" s="79"/>
      <c r="V41" s="55"/>
      <c r="W41" s="79"/>
      <c r="X41" s="80"/>
      <c r="Y41" s="81"/>
      <c r="Z41" s="55"/>
      <c r="AA41" s="79"/>
      <c r="AB41" s="55"/>
      <c r="AC41" s="79"/>
      <c r="AD41" s="80"/>
      <c r="AE41" s="81"/>
      <c r="AF41" s="80"/>
      <c r="AG41" s="79"/>
      <c r="AH41" s="80"/>
      <c r="AI41" s="79"/>
      <c r="AJ41" s="80"/>
      <c r="AK41" s="81"/>
      <c r="AL41" s="80"/>
      <c r="AM41" s="79"/>
      <c r="AN41" s="80"/>
      <c r="AO41" s="79"/>
      <c r="AP41" s="80"/>
      <c r="AQ41" s="81"/>
      <c r="AR41" s="80"/>
      <c r="AS41" s="79"/>
      <c r="AT41" s="80"/>
      <c r="AU41" s="79"/>
      <c r="AV41" s="80"/>
      <c r="AW41" s="81"/>
      <c r="AX41" s="80"/>
      <c r="AY41" s="79"/>
      <c r="AZ41" s="80"/>
      <c r="BA41" s="79"/>
      <c r="BB41" s="80"/>
      <c r="BC41" s="81"/>
      <c r="BD41" s="80"/>
      <c r="BE41" s="81"/>
    </row>
    <row r="42" ht="15.5" spans="1:57">
      <c r="A42" s="42"/>
      <c r="B42" s="43"/>
      <c r="C42" s="44" t="s">
        <v>306</v>
      </c>
      <c r="D42" s="49"/>
      <c r="E42" s="50"/>
      <c r="F42" s="52"/>
      <c r="G42" s="53"/>
      <c r="H42" s="48">
        <v>133</v>
      </c>
      <c r="I42" s="77"/>
      <c r="J42" s="48">
        <v>173</v>
      </c>
      <c r="K42" s="77"/>
      <c r="L42" s="77"/>
      <c r="M42" s="78"/>
      <c r="N42" s="48">
        <v>87</v>
      </c>
      <c r="O42" s="77"/>
      <c r="P42" s="48">
        <v>76</v>
      </c>
      <c r="Q42" s="77"/>
      <c r="R42" s="77"/>
      <c r="S42" s="78"/>
      <c r="T42" s="48"/>
      <c r="U42" s="77"/>
      <c r="V42" s="48"/>
      <c r="W42" s="77"/>
      <c r="X42" s="77"/>
      <c r="Y42" s="78"/>
      <c r="Z42" s="48"/>
      <c r="AA42" s="77"/>
      <c r="AB42" s="48"/>
      <c r="AC42" s="77"/>
      <c r="AD42" s="77"/>
      <c r="AE42" s="78"/>
      <c r="AF42" s="77"/>
      <c r="AG42" s="77"/>
      <c r="AH42" s="77"/>
      <c r="AI42" s="77"/>
      <c r="AJ42" s="77"/>
      <c r="AK42" s="78"/>
      <c r="AL42" s="77"/>
      <c r="AM42" s="77"/>
      <c r="AN42" s="77"/>
      <c r="AO42" s="77"/>
      <c r="AP42" s="77"/>
      <c r="AQ42" s="78"/>
      <c r="AR42" s="77"/>
      <c r="AS42" s="77"/>
      <c r="AT42" s="77"/>
      <c r="AU42" s="77"/>
      <c r="AV42" s="77"/>
      <c r="AW42" s="78"/>
      <c r="AX42" s="77"/>
      <c r="AY42" s="77"/>
      <c r="AZ42" s="77"/>
      <c r="BA42" s="77"/>
      <c r="BB42" s="77"/>
      <c r="BC42" s="78"/>
      <c r="BD42" s="77"/>
      <c r="BE42" s="89"/>
    </row>
    <row r="43" ht="16.25" spans="1:57">
      <c r="A43" s="42"/>
      <c r="B43" s="43"/>
      <c r="C43" s="68" t="s">
        <v>307</v>
      </c>
      <c r="D43" s="49"/>
      <c r="E43" s="50"/>
      <c r="F43" s="52"/>
      <c r="G43" s="53"/>
      <c r="H43" s="55">
        <v>0.0692531</v>
      </c>
      <c r="I43" s="77"/>
      <c r="J43" s="55">
        <v>0.0982391</v>
      </c>
      <c r="K43" s="77"/>
      <c r="L43" s="77"/>
      <c r="M43" s="78"/>
      <c r="N43" s="55">
        <v>0.0469325</v>
      </c>
      <c r="O43" s="77"/>
      <c r="P43" s="55">
        <v>0.0460996</v>
      </c>
      <c r="Q43" s="77"/>
      <c r="R43" s="77"/>
      <c r="S43" s="78"/>
      <c r="T43" s="48"/>
      <c r="U43" s="77"/>
      <c r="V43" s="48"/>
      <c r="W43" s="77"/>
      <c r="X43" s="77"/>
      <c r="Y43" s="78"/>
      <c r="Z43" s="48"/>
      <c r="AA43" s="77"/>
      <c r="AB43" s="48"/>
      <c r="AC43" s="77"/>
      <c r="AD43" s="77"/>
      <c r="AE43" s="78"/>
      <c r="AF43" s="77"/>
      <c r="AG43" s="77"/>
      <c r="AH43" s="77"/>
      <c r="AI43" s="77"/>
      <c r="AJ43" s="77"/>
      <c r="AK43" s="78"/>
      <c r="AL43" s="77"/>
      <c r="AM43" s="77"/>
      <c r="AN43" s="77"/>
      <c r="AO43" s="77"/>
      <c r="AP43" s="77"/>
      <c r="AQ43" s="78"/>
      <c r="AR43" s="77"/>
      <c r="AS43" s="77"/>
      <c r="AT43" s="77"/>
      <c r="AU43" s="77"/>
      <c r="AV43" s="77"/>
      <c r="AW43" s="78"/>
      <c r="AX43" s="77"/>
      <c r="AY43" s="77"/>
      <c r="AZ43" s="77"/>
      <c r="BA43" s="77"/>
      <c r="BB43" s="77"/>
      <c r="BC43" s="78"/>
      <c r="BD43" s="77"/>
      <c r="BE43" s="89"/>
    </row>
    <row r="44" ht="15.5" spans="1:57">
      <c r="A44" s="42"/>
      <c r="B44" s="43"/>
      <c r="C44" s="69" t="s">
        <v>308</v>
      </c>
      <c r="D44" s="49"/>
      <c r="E44" s="50"/>
      <c r="F44" s="52"/>
      <c r="G44" s="53"/>
      <c r="H44" s="48">
        <v>210</v>
      </c>
      <c r="I44" s="77"/>
      <c r="J44" s="48">
        <v>294</v>
      </c>
      <c r="K44" s="77"/>
      <c r="L44" s="77"/>
      <c r="M44" s="78"/>
      <c r="N44" s="48">
        <v>30</v>
      </c>
      <c r="O44" s="77"/>
      <c r="P44" s="48">
        <v>293</v>
      </c>
      <c r="Q44" s="77"/>
      <c r="R44" s="77"/>
      <c r="S44" s="78"/>
      <c r="T44" s="55"/>
      <c r="U44" s="77"/>
      <c r="V44" s="55"/>
      <c r="W44" s="77"/>
      <c r="X44" s="77"/>
      <c r="Y44" s="78"/>
      <c r="Z44" s="55"/>
      <c r="AA44" s="77"/>
      <c r="AB44" s="55"/>
      <c r="AC44" s="77"/>
      <c r="AD44" s="77"/>
      <c r="AE44" s="78"/>
      <c r="AF44" s="77"/>
      <c r="AG44" s="77"/>
      <c r="AH44" s="77"/>
      <c r="AI44" s="77"/>
      <c r="AJ44" s="77"/>
      <c r="AK44" s="78"/>
      <c r="AL44" s="77"/>
      <c r="AM44" s="77"/>
      <c r="AN44" s="77"/>
      <c r="AO44" s="77"/>
      <c r="AP44" s="77"/>
      <c r="AQ44" s="78"/>
      <c r="AR44" s="77"/>
      <c r="AS44" s="77"/>
      <c r="AT44" s="77"/>
      <c r="AU44" s="77"/>
      <c r="AV44" s="77"/>
      <c r="AW44" s="78"/>
      <c r="AX44" s="77"/>
      <c r="AY44" s="77"/>
      <c r="AZ44" s="77"/>
      <c r="BA44" s="77"/>
      <c r="BB44" s="77"/>
      <c r="BC44" s="78"/>
      <c r="BD44" s="77"/>
      <c r="BE44" s="89"/>
    </row>
    <row r="45" ht="15.5" spans="1:57">
      <c r="A45" s="42"/>
      <c r="B45" s="43"/>
      <c r="C45" s="44" t="s">
        <v>309</v>
      </c>
      <c r="D45" s="49"/>
      <c r="E45" s="50"/>
      <c r="F45" s="52"/>
      <c r="G45" s="53"/>
      <c r="H45" s="48">
        <v>123</v>
      </c>
      <c r="I45" s="77"/>
      <c r="J45" s="48">
        <v>62</v>
      </c>
      <c r="K45" s="77"/>
      <c r="L45" s="77"/>
      <c r="M45" s="78"/>
      <c r="N45" s="48">
        <v>48</v>
      </c>
      <c r="O45" s="77"/>
      <c r="P45" s="48">
        <v>31</v>
      </c>
      <c r="Q45" s="77"/>
      <c r="R45" s="77"/>
      <c r="S45" s="78"/>
      <c r="T45" s="48"/>
      <c r="U45" s="77"/>
      <c r="V45" s="48"/>
      <c r="W45" s="77"/>
      <c r="X45" s="77"/>
      <c r="Y45" s="78"/>
      <c r="Z45" s="48"/>
      <c r="AA45" s="77"/>
      <c r="AB45" s="48"/>
      <c r="AC45" s="77"/>
      <c r="AD45" s="77"/>
      <c r="AE45" s="78"/>
      <c r="AF45" s="77"/>
      <c r="AG45" s="77"/>
      <c r="AH45" s="77"/>
      <c r="AI45" s="77"/>
      <c r="AJ45" s="77"/>
      <c r="AK45" s="78"/>
      <c r="AL45" s="77"/>
      <c r="AM45" s="77"/>
      <c r="AN45" s="77"/>
      <c r="AO45" s="77"/>
      <c r="AP45" s="77"/>
      <c r="AQ45" s="78"/>
      <c r="AR45" s="77"/>
      <c r="AS45" s="77"/>
      <c r="AT45" s="77"/>
      <c r="AU45" s="77"/>
      <c r="AV45" s="77"/>
      <c r="AW45" s="78"/>
      <c r="AX45" s="77"/>
      <c r="AY45" s="77"/>
      <c r="AZ45" s="77"/>
      <c r="BA45" s="77"/>
      <c r="BB45" s="77"/>
      <c r="BC45" s="78"/>
      <c r="BD45" s="77"/>
      <c r="BE45" s="89"/>
    </row>
    <row r="46" ht="15.5" spans="1:57">
      <c r="A46" s="42"/>
      <c r="B46" s="43"/>
      <c r="C46" s="54" t="s">
        <v>310</v>
      </c>
      <c r="D46" s="49"/>
      <c r="E46" s="50"/>
      <c r="F46" s="51"/>
      <c r="G46" s="70"/>
      <c r="H46" s="55">
        <v>0.1336026</v>
      </c>
      <c r="I46" s="77"/>
      <c r="J46" s="55">
        <v>0.1575982</v>
      </c>
      <c r="K46" s="77"/>
      <c r="L46" s="77"/>
      <c r="M46" s="78"/>
      <c r="N46" s="55">
        <v>0.0272166</v>
      </c>
      <c r="O46" s="77"/>
      <c r="P46" s="55">
        <v>0.1488353</v>
      </c>
      <c r="Q46" s="77"/>
      <c r="R46" s="77"/>
      <c r="S46" s="78"/>
      <c r="T46" s="55"/>
      <c r="U46" s="77"/>
      <c r="V46" s="55"/>
      <c r="W46" s="77"/>
      <c r="X46" s="77"/>
      <c r="Y46" s="78"/>
      <c r="Z46" s="55"/>
      <c r="AA46" s="77"/>
      <c r="AB46" s="55"/>
      <c r="AC46" s="77"/>
      <c r="AD46" s="77"/>
      <c r="AE46" s="78"/>
      <c r="AF46" s="77"/>
      <c r="AG46" s="77"/>
      <c r="AH46" s="77"/>
      <c r="AI46" s="77"/>
      <c r="AJ46" s="77"/>
      <c r="AK46" s="78"/>
      <c r="AL46" s="77"/>
      <c r="AM46" s="77"/>
      <c r="AN46" s="77"/>
      <c r="AO46" s="77"/>
      <c r="AP46" s="77"/>
      <c r="AQ46" s="78"/>
      <c r="AR46" s="77"/>
      <c r="AS46" s="77"/>
      <c r="AT46" s="77"/>
      <c r="AU46" s="77"/>
      <c r="AV46" s="77"/>
      <c r="AW46" s="78"/>
      <c r="AX46" s="77"/>
      <c r="AY46" s="77"/>
      <c r="AZ46" s="77"/>
      <c r="BA46" s="77"/>
      <c r="BB46" s="77"/>
      <c r="BC46" s="78"/>
      <c r="BD46" s="77"/>
      <c r="BE46" s="89"/>
    </row>
    <row r="47" ht="15.5" spans="1:57">
      <c r="A47" s="42"/>
      <c r="B47" s="43"/>
      <c r="C47" s="44" t="s">
        <v>311</v>
      </c>
      <c r="D47" s="49"/>
      <c r="E47" s="50"/>
      <c r="F47" s="59"/>
      <c r="G47" s="70"/>
      <c r="H47" s="48">
        <v>6</v>
      </c>
      <c r="I47" s="77"/>
      <c r="J47" s="48">
        <v>51</v>
      </c>
      <c r="K47" s="77"/>
      <c r="L47" s="77"/>
      <c r="M47" s="78"/>
      <c r="N47" s="48">
        <v>20</v>
      </c>
      <c r="O47" s="77"/>
      <c r="P47" s="48">
        <v>19</v>
      </c>
      <c r="Q47" s="77"/>
      <c r="R47" s="77"/>
      <c r="S47" s="78"/>
      <c r="T47" s="48"/>
      <c r="U47" s="77"/>
      <c r="V47" s="48"/>
      <c r="W47" s="77"/>
      <c r="X47" s="77"/>
      <c r="Y47" s="78"/>
      <c r="Z47" s="48"/>
      <c r="AA47" s="77"/>
      <c r="AB47" s="48"/>
      <c r="AC47" s="77"/>
      <c r="AD47" s="77"/>
      <c r="AE47" s="78"/>
      <c r="AF47" s="77"/>
      <c r="AG47" s="77"/>
      <c r="AH47" s="77"/>
      <c r="AI47" s="77"/>
      <c r="AJ47" s="77"/>
      <c r="AK47" s="78"/>
      <c r="AL47" s="77"/>
      <c r="AM47" s="77"/>
      <c r="AN47" s="77"/>
      <c r="AO47" s="77"/>
      <c r="AP47" s="77"/>
      <c r="AQ47" s="78"/>
      <c r="AR47" s="77"/>
      <c r="AS47" s="77"/>
      <c r="AT47" s="77"/>
      <c r="AU47" s="77"/>
      <c r="AV47" s="77"/>
      <c r="AW47" s="78"/>
      <c r="AX47" s="77"/>
      <c r="AY47" s="77"/>
      <c r="AZ47" s="77"/>
      <c r="BA47" s="77"/>
      <c r="BB47" s="77"/>
      <c r="BC47" s="78"/>
      <c r="BD47" s="77"/>
      <c r="BE47" s="89"/>
    </row>
    <row r="48" ht="15.5" spans="1:57">
      <c r="A48" s="34"/>
      <c r="B48" s="35"/>
      <c r="C48" s="54" t="s">
        <v>312</v>
      </c>
      <c r="D48" s="56"/>
      <c r="E48" s="56"/>
      <c r="F48" s="57"/>
      <c r="G48" s="58"/>
      <c r="H48" s="55">
        <v>0.0041964</v>
      </c>
      <c r="I48" s="79"/>
      <c r="J48" s="55">
        <v>0.0356694</v>
      </c>
      <c r="K48" s="79"/>
      <c r="L48" s="80"/>
      <c r="M48" s="81"/>
      <c r="N48" s="55">
        <v>0.013988</v>
      </c>
      <c r="O48" s="79"/>
      <c r="P48" s="55">
        <v>0.0132886</v>
      </c>
      <c r="Q48" s="79"/>
      <c r="R48" s="80"/>
      <c r="S48" s="81"/>
      <c r="T48" s="48"/>
      <c r="U48" s="79"/>
      <c r="V48" s="48"/>
      <c r="W48" s="79"/>
      <c r="X48" s="80"/>
      <c r="Y48" s="81"/>
      <c r="Z48" s="48"/>
      <c r="AA48" s="79"/>
      <c r="AB48" s="48"/>
      <c r="AC48" s="79"/>
      <c r="AD48" s="80"/>
      <c r="AE48" s="81"/>
      <c r="AF48" s="80"/>
      <c r="AG48" s="79"/>
      <c r="AH48" s="80"/>
      <c r="AI48" s="79"/>
      <c r="AJ48" s="80"/>
      <c r="AK48" s="81"/>
      <c r="AL48" s="80"/>
      <c r="AM48" s="79"/>
      <c r="AN48" s="80"/>
      <c r="AO48" s="79"/>
      <c r="AP48" s="80"/>
      <c r="AQ48" s="81"/>
      <c r="AR48" s="80"/>
      <c r="AS48" s="79"/>
      <c r="AT48" s="80"/>
      <c r="AU48" s="79"/>
      <c r="AV48" s="80"/>
      <c r="AW48" s="81"/>
      <c r="AX48" s="80"/>
      <c r="AY48" s="79"/>
      <c r="AZ48" s="80"/>
      <c r="BA48" s="79"/>
      <c r="BB48" s="80"/>
      <c r="BC48" s="81"/>
      <c r="BD48" s="80"/>
      <c r="BE48" s="81"/>
    </row>
    <row r="49" ht="15.5" spans="1:57">
      <c r="A49" s="42"/>
      <c r="B49" s="43"/>
      <c r="C49" s="44" t="s">
        <v>313</v>
      </c>
      <c r="D49" s="49"/>
      <c r="E49" s="50"/>
      <c r="F49" s="52"/>
      <c r="G49" s="53"/>
      <c r="H49" s="48">
        <v>174</v>
      </c>
      <c r="I49" s="86"/>
      <c r="J49" s="48">
        <v>105</v>
      </c>
      <c r="K49" s="86"/>
      <c r="L49" s="77"/>
      <c r="M49" s="78"/>
      <c r="N49" s="48">
        <v>181</v>
      </c>
      <c r="O49" s="86"/>
      <c r="P49" s="48">
        <v>94</v>
      </c>
      <c r="Q49" s="86"/>
      <c r="R49" s="77"/>
      <c r="S49" s="78"/>
      <c r="T49" s="55"/>
      <c r="U49" s="86"/>
      <c r="V49" s="55"/>
      <c r="W49" s="86"/>
      <c r="X49" s="77"/>
      <c r="Y49" s="78"/>
      <c r="Z49" s="55"/>
      <c r="AA49" s="86"/>
      <c r="AB49" s="55"/>
      <c r="AC49" s="86"/>
      <c r="AD49" s="77"/>
      <c r="AE49" s="78"/>
      <c r="AF49" s="77"/>
      <c r="AG49" s="86"/>
      <c r="AH49" s="77"/>
      <c r="AI49" s="86"/>
      <c r="AJ49" s="77"/>
      <c r="AK49" s="78"/>
      <c r="AL49" s="77"/>
      <c r="AM49" s="86"/>
      <c r="AN49" s="77"/>
      <c r="AO49" s="86"/>
      <c r="AP49" s="77"/>
      <c r="AQ49" s="78"/>
      <c r="AR49" s="77"/>
      <c r="AS49" s="86"/>
      <c r="AT49" s="77"/>
      <c r="AU49" s="86"/>
      <c r="AV49" s="77"/>
      <c r="AW49" s="78"/>
      <c r="AX49" s="77"/>
      <c r="AY49" s="86"/>
      <c r="AZ49" s="77"/>
      <c r="BA49" s="86"/>
      <c r="BB49" s="77"/>
      <c r="BC49" s="78"/>
      <c r="BD49" s="77"/>
      <c r="BE49" s="78"/>
    </row>
    <row r="50" ht="15.5" spans="1:57">
      <c r="A50" s="42"/>
      <c r="B50" s="43"/>
      <c r="C50" s="44" t="s">
        <v>314</v>
      </c>
      <c r="D50" s="49"/>
      <c r="E50" s="50"/>
      <c r="F50" s="52"/>
      <c r="G50" s="53"/>
      <c r="H50" s="48">
        <v>144</v>
      </c>
      <c r="I50" s="86"/>
      <c r="J50" s="48">
        <v>102</v>
      </c>
      <c r="K50" s="86"/>
      <c r="L50" s="77"/>
      <c r="M50" s="78"/>
      <c r="N50" s="48">
        <v>171</v>
      </c>
      <c r="O50" s="86"/>
      <c r="P50" s="48">
        <v>107</v>
      </c>
      <c r="Q50" s="86"/>
      <c r="R50" s="77"/>
      <c r="S50" s="78"/>
      <c r="T50" s="48"/>
      <c r="U50" s="86"/>
      <c r="V50" s="48"/>
      <c r="W50" s="86"/>
      <c r="X50" s="77"/>
      <c r="Y50" s="78"/>
      <c r="Z50" s="48"/>
      <c r="AA50" s="86"/>
      <c r="AB50" s="48"/>
      <c r="AC50" s="86"/>
      <c r="AD50" s="77"/>
      <c r="AE50" s="78"/>
      <c r="AF50" s="77"/>
      <c r="AG50" s="86"/>
      <c r="AH50" s="77"/>
      <c r="AI50" s="86"/>
      <c r="AJ50" s="77"/>
      <c r="AK50" s="78"/>
      <c r="AL50" s="77"/>
      <c r="AM50" s="86"/>
      <c r="AN50" s="77"/>
      <c r="AO50" s="86"/>
      <c r="AP50" s="77"/>
      <c r="AQ50" s="78"/>
      <c r="AR50" s="77"/>
      <c r="AS50" s="86"/>
      <c r="AT50" s="77"/>
      <c r="AU50" s="86"/>
      <c r="AV50" s="77"/>
      <c r="AW50" s="78"/>
      <c r="AX50" s="77"/>
      <c r="AY50" s="86"/>
      <c r="AZ50" s="77"/>
      <c r="BA50" s="86"/>
      <c r="BB50" s="77"/>
      <c r="BC50" s="78"/>
      <c r="BD50" s="77"/>
      <c r="BE50" s="78"/>
    </row>
    <row r="51" ht="15.5" spans="1:57">
      <c r="A51" s="34"/>
      <c r="B51" s="35"/>
      <c r="C51" s="44" t="s">
        <v>315</v>
      </c>
      <c r="D51" s="56"/>
      <c r="E51" s="56"/>
      <c r="F51" s="57"/>
      <c r="G51" s="58"/>
      <c r="H51" s="48">
        <v>9</v>
      </c>
      <c r="I51" s="79"/>
      <c r="J51" s="48">
        <v>44</v>
      </c>
      <c r="K51" s="79"/>
      <c r="L51" s="80"/>
      <c r="M51" s="81"/>
      <c r="N51" s="48">
        <v>3</v>
      </c>
      <c r="O51" s="79"/>
      <c r="P51" s="48">
        <v>43</v>
      </c>
      <c r="Q51" s="79"/>
      <c r="R51" s="80"/>
      <c r="S51" s="81"/>
      <c r="T51" s="55"/>
      <c r="U51" s="79"/>
      <c r="V51" s="55"/>
      <c r="W51" s="79"/>
      <c r="X51" s="80"/>
      <c r="Y51" s="81"/>
      <c r="Z51" s="55"/>
      <c r="AA51" s="79"/>
      <c r="AB51" s="55"/>
      <c r="AC51" s="79"/>
      <c r="AD51" s="80"/>
      <c r="AE51" s="81"/>
      <c r="AF51" s="80"/>
      <c r="AG51" s="79"/>
      <c r="AH51" s="80"/>
      <c r="AI51" s="79"/>
      <c r="AJ51" s="80"/>
      <c r="AK51" s="81"/>
      <c r="AL51" s="80"/>
      <c r="AM51" s="79"/>
      <c r="AN51" s="80"/>
      <c r="AO51" s="79"/>
      <c r="AP51" s="80"/>
      <c r="AQ51" s="81"/>
      <c r="AR51" s="80"/>
      <c r="AS51" s="79"/>
      <c r="AT51" s="80"/>
      <c r="AU51" s="79"/>
      <c r="AV51" s="80"/>
      <c r="AW51" s="81"/>
      <c r="AX51" s="80"/>
      <c r="AY51" s="79"/>
      <c r="AZ51" s="80"/>
      <c r="BA51" s="79"/>
      <c r="BB51" s="80"/>
      <c r="BC51" s="81"/>
      <c r="BD51" s="80"/>
      <c r="BE51" s="81"/>
    </row>
    <row r="52" ht="15.5" spans="1:57">
      <c r="A52" s="42"/>
      <c r="B52" s="43"/>
      <c r="C52" s="54" t="s">
        <v>316</v>
      </c>
      <c r="D52" s="49"/>
      <c r="E52" s="50"/>
      <c r="F52" s="47"/>
      <c r="G52" s="50"/>
      <c r="H52" s="55">
        <v>0.5274438</v>
      </c>
      <c r="I52" s="77"/>
      <c r="J52" s="55">
        <v>0.4012371</v>
      </c>
      <c r="K52" s="77"/>
      <c r="L52" s="77"/>
      <c r="M52" s="78"/>
      <c r="N52" s="55">
        <v>0.5737073</v>
      </c>
      <c r="O52" s="77"/>
      <c r="P52" s="55">
        <v>0.3902896</v>
      </c>
      <c r="Q52" s="77"/>
      <c r="R52" s="77"/>
      <c r="S52" s="78"/>
      <c r="T52" s="48"/>
      <c r="U52" s="77"/>
      <c r="V52" s="48"/>
      <c r="W52" s="77"/>
      <c r="X52" s="77"/>
      <c r="Y52" s="78"/>
      <c r="Z52" s="48"/>
      <c r="AA52" s="77"/>
      <c r="AB52" s="48"/>
      <c r="AC52" s="77"/>
      <c r="AD52" s="77"/>
      <c r="AE52" s="78"/>
      <c r="AF52" s="77"/>
      <c r="AG52" s="77"/>
      <c r="AH52" s="77"/>
      <c r="AI52" s="77"/>
      <c r="AJ52" s="77"/>
      <c r="AK52" s="78"/>
      <c r="AL52" s="77"/>
      <c r="AM52" s="77"/>
      <c r="AN52" s="77"/>
      <c r="AO52" s="77"/>
      <c r="AP52" s="77"/>
      <c r="AQ52" s="78"/>
      <c r="AR52" s="77"/>
      <c r="AS52" s="77"/>
      <c r="AT52" s="77"/>
      <c r="AU52" s="77"/>
      <c r="AV52" s="77"/>
      <c r="AW52" s="78"/>
      <c r="AX52" s="77"/>
      <c r="AY52" s="77"/>
      <c r="AZ52" s="77"/>
      <c r="BA52" s="77"/>
      <c r="BB52" s="77"/>
      <c r="BC52" s="78"/>
      <c r="BD52" s="77"/>
      <c r="BE52" s="89"/>
    </row>
    <row r="53" ht="15.5" spans="1:57">
      <c r="A53" s="42"/>
      <c r="B53" s="43"/>
      <c r="C53" s="44" t="s">
        <v>317</v>
      </c>
      <c r="D53" s="49"/>
      <c r="E53" s="50"/>
      <c r="F53" s="51"/>
      <c r="G53" s="50"/>
      <c r="H53" s="48">
        <v>11</v>
      </c>
      <c r="I53" s="77"/>
      <c r="J53" s="48">
        <v>26</v>
      </c>
      <c r="K53" s="77"/>
      <c r="L53" s="77"/>
      <c r="M53" s="78"/>
      <c r="N53" s="48">
        <v>3</v>
      </c>
      <c r="O53" s="77"/>
      <c r="P53" s="48">
        <v>23</v>
      </c>
      <c r="Q53" s="77"/>
      <c r="R53" s="77"/>
      <c r="S53" s="78"/>
      <c r="T53" s="48"/>
      <c r="U53" s="77"/>
      <c r="V53" s="48"/>
      <c r="W53" s="77"/>
      <c r="X53" s="77"/>
      <c r="Y53" s="78"/>
      <c r="Z53" s="48"/>
      <c r="AA53" s="77"/>
      <c r="AB53" s="48"/>
      <c r="AC53" s="77"/>
      <c r="AD53" s="77"/>
      <c r="AE53" s="78"/>
      <c r="AF53" s="77"/>
      <c r="AG53" s="77"/>
      <c r="AH53" s="77"/>
      <c r="AI53" s="77"/>
      <c r="AJ53" s="77"/>
      <c r="AK53" s="78"/>
      <c r="AL53" s="77"/>
      <c r="AM53" s="77"/>
      <c r="AN53" s="77"/>
      <c r="AO53" s="77"/>
      <c r="AP53" s="77"/>
      <c r="AQ53" s="78"/>
      <c r="AR53" s="77"/>
      <c r="AS53" s="77"/>
      <c r="AT53" s="77"/>
      <c r="AU53" s="77"/>
      <c r="AV53" s="77"/>
      <c r="AW53" s="78"/>
      <c r="AX53" s="77"/>
      <c r="AY53" s="77"/>
      <c r="AZ53" s="77"/>
      <c r="BA53" s="77"/>
      <c r="BB53" s="77"/>
      <c r="BC53" s="78"/>
      <c r="BD53" s="77"/>
      <c r="BE53" s="89"/>
    </row>
    <row r="54" ht="15.5" spans="1:57">
      <c r="A54" s="42"/>
      <c r="B54" s="43"/>
      <c r="C54" s="44" t="s">
        <v>318</v>
      </c>
      <c r="D54" s="49"/>
      <c r="E54" s="50"/>
      <c r="F54" s="51"/>
      <c r="G54" s="50"/>
      <c r="H54" s="48">
        <v>27</v>
      </c>
      <c r="I54" s="77"/>
      <c r="J54" s="48">
        <v>100</v>
      </c>
      <c r="K54" s="77"/>
      <c r="L54" s="77"/>
      <c r="M54" s="78"/>
      <c r="N54" s="48">
        <v>13</v>
      </c>
      <c r="O54" s="77"/>
      <c r="P54" s="48">
        <v>74</v>
      </c>
      <c r="Q54" s="77"/>
      <c r="R54" s="77"/>
      <c r="S54" s="78"/>
      <c r="T54" s="48"/>
      <c r="U54" s="77"/>
      <c r="V54" s="48"/>
      <c r="W54" s="77"/>
      <c r="X54" s="77"/>
      <c r="Y54" s="78"/>
      <c r="Z54" s="48"/>
      <c r="AA54" s="77"/>
      <c r="AB54" s="48"/>
      <c r="AC54" s="77"/>
      <c r="AD54" s="77"/>
      <c r="AE54" s="78"/>
      <c r="AF54" s="77"/>
      <c r="AG54" s="77"/>
      <c r="AH54" s="77"/>
      <c r="AI54" s="77"/>
      <c r="AJ54" s="77"/>
      <c r="AK54" s="78"/>
      <c r="AL54" s="77"/>
      <c r="AM54" s="77"/>
      <c r="AN54" s="77"/>
      <c r="AO54" s="77"/>
      <c r="AP54" s="77"/>
      <c r="AQ54" s="78"/>
      <c r="AR54" s="77"/>
      <c r="AS54" s="77"/>
      <c r="AT54" s="77"/>
      <c r="AU54" s="77"/>
      <c r="AV54" s="77"/>
      <c r="AW54" s="78"/>
      <c r="AX54" s="77"/>
      <c r="AY54" s="77"/>
      <c r="AZ54" s="77"/>
      <c r="BA54" s="77"/>
      <c r="BB54" s="77"/>
      <c r="BC54" s="78"/>
      <c r="BD54" s="77"/>
      <c r="BE54" s="89"/>
    </row>
    <row r="55" ht="15.5" spans="1:57">
      <c r="A55" s="42"/>
      <c r="B55" s="43"/>
      <c r="C55" s="44" t="s">
        <v>319</v>
      </c>
      <c r="D55" s="49"/>
      <c r="E55" s="50"/>
      <c r="F55" s="51"/>
      <c r="G55" s="50"/>
      <c r="H55" s="48">
        <v>5</v>
      </c>
      <c r="I55" s="77"/>
      <c r="J55" s="48">
        <v>33</v>
      </c>
      <c r="K55" s="77"/>
      <c r="L55" s="77"/>
      <c r="M55" s="78"/>
      <c r="N55" s="48">
        <v>6</v>
      </c>
      <c r="O55" s="77"/>
      <c r="P55" s="48">
        <v>19</v>
      </c>
      <c r="Q55" s="77"/>
      <c r="R55" s="77"/>
      <c r="S55" s="78"/>
      <c r="T55" s="48"/>
      <c r="U55" s="77"/>
      <c r="V55" s="48"/>
      <c r="W55" s="77"/>
      <c r="X55" s="77"/>
      <c r="Y55" s="78"/>
      <c r="Z55" s="48"/>
      <c r="AA55" s="77"/>
      <c r="AB55" s="48"/>
      <c r="AC55" s="77"/>
      <c r="AD55" s="77"/>
      <c r="AE55" s="78"/>
      <c r="AF55" s="77"/>
      <c r="AG55" s="77"/>
      <c r="AH55" s="77"/>
      <c r="AI55" s="77"/>
      <c r="AJ55" s="77"/>
      <c r="AK55" s="78"/>
      <c r="AL55" s="77"/>
      <c r="AM55" s="77"/>
      <c r="AN55" s="77"/>
      <c r="AO55" s="77"/>
      <c r="AP55" s="77"/>
      <c r="AQ55" s="78"/>
      <c r="AR55" s="77"/>
      <c r="AS55" s="77"/>
      <c r="AT55" s="77"/>
      <c r="AU55" s="77"/>
      <c r="AV55" s="77"/>
      <c r="AW55" s="78"/>
      <c r="AX55" s="77"/>
      <c r="AY55" s="77"/>
      <c r="AZ55" s="77"/>
      <c r="BA55" s="77"/>
      <c r="BB55" s="77"/>
      <c r="BC55" s="78"/>
      <c r="BD55" s="77"/>
      <c r="BE55" s="89"/>
    </row>
    <row r="56" ht="15.5" spans="1:57">
      <c r="A56" s="42"/>
      <c r="B56" s="43"/>
      <c r="C56" s="44" t="s">
        <v>320</v>
      </c>
      <c r="D56" s="49"/>
      <c r="E56" s="50"/>
      <c r="F56" s="51"/>
      <c r="G56" s="50"/>
      <c r="H56" s="48">
        <v>88</v>
      </c>
      <c r="I56" s="77"/>
      <c r="J56" s="48">
        <v>97</v>
      </c>
      <c r="K56" s="77"/>
      <c r="L56" s="77"/>
      <c r="M56" s="78"/>
      <c r="N56" s="48">
        <v>34</v>
      </c>
      <c r="O56" s="77"/>
      <c r="P56" s="48">
        <v>173</v>
      </c>
      <c r="Q56" s="77"/>
      <c r="R56" s="77"/>
      <c r="S56" s="78"/>
      <c r="T56" s="48"/>
      <c r="U56" s="77"/>
      <c r="V56" s="48"/>
      <c r="W56" s="77"/>
      <c r="X56" s="77"/>
      <c r="Y56" s="78"/>
      <c r="Z56" s="48"/>
      <c r="AA56" s="77"/>
      <c r="AB56" s="48"/>
      <c r="AC56" s="77"/>
      <c r="AD56" s="77"/>
      <c r="AE56" s="78"/>
      <c r="AF56" s="77"/>
      <c r="AG56" s="77"/>
      <c r="AH56" s="77"/>
      <c r="AI56" s="77"/>
      <c r="AJ56" s="77"/>
      <c r="AK56" s="78"/>
      <c r="AL56" s="77"/>
      <c r="AM56" s="77"/>
      <c r="AN56" s="77"/>
      <c r="AO56" s="77"/>
      <c r="AP56" s="77"/>
      <c r="AQ56" s="78"/>
      <c r="AR56" s="77"/>
      <c r="AS56" s="77"/>
      <c r="AT56" s="77"/>
      <c r="AU56" s="77"/>
      <c r="AV56" s="77"/>
      <c r="AW56" s="78"/>
      <c r="AX56" s="77"/>
      <c r="AY56" s="77"/>
      <c r="AZ56" s="77"/>
      <c r="BA56" s="77"/>
      <c r="BB56" s="77"/>
      <c r="BC56" s="78"/>
      <c r="BD56" s="77"/>
      <c r="BE56" s="89"/>
    </row>
    <row r="57" ht="15.5" spans="1:57">
      <c r="A57" s="42"/>
      <c r="B57" s="43"/>
      <c r="C57" s="44" t="s">
        <v>321</v>
      </c>
      <c r="D57" s="49"/>
      <c r="E57" s="50"/>
      <c r="F57" s="52"/>
      <c r="G57" s="53"/>
      <c r="H57" s="48">
        <v>41</v>
      </c>
      <c r="I57" s="77"/>
      <c r="J57" s="48">
        <v>67</v>
      </c>
      <c r="K57" s="77"/>
      <c r="L57" s="77"/>
      <c r="M57" s="78"/>
      <c r="N57" s="48">
        <v>41</v>
      </c>
      <c r="O57" s="77"/>
      <c r="P57" s="48">
        <v>54</v>
      </c>
      <c r="Q57" s="77"/>
      <c r="R57" s="77"/>
      <c r="S57" s="78"/>
      <c r="T57" s="55"/>
      <c r="U57" s="77"/>
      <c r="V57" s="55"/>
      <c r="W57" s="77"/>
      <c r="X57" s="77"/>
      <c r="Y57" s="78"/>
      <c r="Z57" s="55"/>
      <c r="AA57" s="77"/>
      <c r="AB57" s="55"/>
      <c r="AC57" s="77"/>
      <c r="AD57" s="77"/>
      <c r="AE57" s="78"/>
      <c r="AF57" s="77"/>
      <c r="AG57" s="77"/>
      <c r="AH57" s="77"/>
      <c r="AI57" s="77"/>
      <c r="AJ57" s="77"/>
      <c r="AK57" s="78"/>
      <c r="AL57" s="77"/>
      <c r="AM57" s="77"/>
      <c r="AN57" s="77"/>
      <c r="AO57" s="77"/>
      <c r="AP57" s="77"/>
      <c r="AQ57" s="78"/>
      <c r="AR57" s="77"/>
      <c r="AS57" s="77"/>
      <c r="AT57" s="77"/>
      <c r="AU57" s="77"/>
      <c r="AV57" s="77"/>
      <c r="AW57" s="78"/>
      <c r="AX57" s="77"/>
      <c r="AY57" s="77"/>
      <c r="AZ57" s="77"/>
      <c r="BA57" s="77"/>
      <c r="BB57" s="77"/>
      <c r="BC57" s="78"/>
      <c r="BD57" s="77"/>
      <c r="BE57" s="89"/>
    </row>
    <row r="58" ht="15.5" spans="1:57">
      <c r="A58" s="42"/>
      <c r="B58" s="43"/>
      <c r="C58" s="44" t="s">
        <v>322</v>
      </c>
      <c r="D58" s="49"/>
      <c r="E58" s="50"/>
      <c r="F58" s="51"/>
      <c r="G58" s="50"/>
      <c r="H58" s="48">
        <v>51</v>
      </c>
      <c r="I58" s="77"/>
      <c r="J58" s="48">
        <v>74</v>
      </c>
      <c r="K58" s="77"/>
      <c r="L58" s="77"/>
      <c r="M58" s="78"/>
      <c r="N58" s="48">
        <v>3</v>
      </c>
      <c r="O58" s="77"/>
      <c r="P58" s="48">
        <v>71</v>
      </c>
      <c r="Q58" s="77"/>
      <c r="R58" s="77"/>
      <c r="S58" s="78"/>
      <c r="T58" s="48"/>
      <c r="U58" s="77"/>
      <c r="V58" s="48"/>
      <c r="W58" s="77"/>
      <c r="X58" s="77"/>
      <c r="Y58" s="78"/>
      <c r="Z58" s="48"/>
      <c r="AA58" s="77"/>
      <c r="AB58" s="48"/>
      <c r="AC58" s="77"/>
      <c r="AD58" s="77"/>
      <c r="AE58" s="78"/>
      <c r="AF58" s="77"/>
      <c r="AG58" s="77"/>
      <c r="AH58" s="77"/>
      <c r="AI58" s="77"/>
      <c r="AJ58" s="77"/>
      <c r="AK58" s="78"/>
      <c r="AL58" s="77"/>
      <c r="AM58" s="77"/>
      <c r="AN58" s="77"/>
      <c r="AO58" s="77"/>
      <c r="AP58" s="77"/>
      <c r="AQ58" s="78"/>
      <c r="AR58" s="77"/>
      <c r="AS58" s="77"/>
      <c r="AT58" s="77"/>
      <c r="AU58" s="77"/>
      <c r="AV58" s="77"/>
      <c r="AW58" s="78"/>
      <c r="AX58" s="77"/>
      <c r="AY58" s="77"/>
      <c r="AZ58" s="77"/>
      <c r="BA58" s="77"/>
      <c r="BB58" s="77"/>
      <c r="BC58" s="78"/>
      <c r="BD58" s="77"/>
      <c r="BE58" s="89"/>
    </row>
    <row r="59" ht="15.5" spans="1:57">
      <c r="A59" s="42"/>
      <c r="B59" s="43"/>
      <c r="C59" s="54" t="s">
        <v>323</v>
      </c>
      <c r="D59" s="49"/>
      <c r="E59" s="50"/>
      <c r="F59" s="59"/>
      <c r="G59" s="50"/>
      <c r="H59" s="55">
        <v>0.1431651</v>
      </c>
      <c r="I59" s="77"/>
      <c r="J59" s="55">
        <v>0.2293632</v>
      </c>
      <c r="K59" s="77"/>
      <c r="L59" s="77"/>
      <c r="M59" s="78"/>
      <c r="N59" s="55">
        <v>0.0627893</v>
      </c>
      <c r="O59" s="77"/>
      <c r="P59" s="55">
        <v>0.2526067</v>
      </c>
      <c r="Q59" s="77"/>
      <c r="R59" s="77"/>
      <c r="S59" s="78"/>
      <c r="T59" s="55"/>
      <c r="U59" s="77"/>
      <c r="V59" s="55"/>
      <c r="W59" s="77"/>
      <c r="X59" s="77"/>
      <c r="Y59" s="78"/>
      <c r="Z59" s="55"/>
      <c r="AA59" s="77"/>
      <c r="AB59" s="55"/>
      <c r="AC59" s="77"/>
      <c r="AD59" s="77"/>
      <c r="AE59" s="78"/>
      <c r="AF59" s="77"/>
      <c r="AG59" s="77"/>
      <c r="AH59" s="77"/>
      <c r="AI59" s="77"/>
      <c r="AJ59" s="77"/>
      <c r="AK59" s="78"/>
      <c r="AL59" s="77"/>
      <c r="AM59" s="77"/>
      <c r="AN59" s="77"/>
      <c r="AO59" s="77"/>
      <c r="AP59" s="77"/>
      <c r="AQ59" s="78"/>
      <c r="AR59" s="77"/>
      <c r="AS59" s="77"/>
      <c r="AT59" s="77"/>
      <c r="AU59" s="77"/>
      <c r="AV59" s="77"/>
      <c r="AW59" s="78"/>
      <c r="AX59" s="77"/>
      <c r="AY59" s="77"/>
      <c r="AZ59" s="77"/>
      <c r="BA59" s="77"/>
      <c r="BB59" s="77"/>
      <c r="BC59" s="78"/>
      <c r="BD59" s="77"/>
      <c r="BE59" s="89"/>
    </row>
    <row r="60" ht="15.5" spans="1:57">
      <c r="A60" s="34"/>
      <c r="B60" s="35"/>
      <c r="C60" s="44" t="s">
        <v>324</v>
      </c>
      <c r="D60" s="56"/>
      <c r="E60" s="56"/>
      <c r="F60" s="67"/>
      <c r="G60" s="56"/>
      <c r="H60" s="48">
        <v>81</v>
      </c>
      <c r="I60" s="79"/>
      <c r="J60" s="48">
        <v>106</v>
      </c>
      <c r="K60" s="79"/>
      <c r="L60" s="80"/>
      <c r="M60" s="81"/>
      <c r="N60" s="48">
        <v>68</v>
      </c>
      <c r="O60" s="79"/>
      <c r="P60" s="48">
        <v>157</v>
      </c>
      <c r="Q60" s="79"/>
      <c r="R60" s="80"/>
      <c r="S60" s="81"/>
      <c r="T60" s="48"/>
      <c r="U60" s="79"/>
      <c r="V60" s="48"/>
      <c r="W60" s="79"/>
      <c r="X60" s="80"/>
      <c r="Y60" s="81"/>
      <c r="Z60" s="48"/>
      <c r="AA60" s="79"/>
      <c r="AB60" s="48"/>
      <c r="AC60" s="79"/>
      <c r="AD60" s="80"/>
      <c r="AE60" s="81"/>
      <c r="AF60" s="80"/>
      <c r="AG60" s="79"/>
      <c r="AH60" s="80"/>
      <c r="AI60" s="79"/>
      <c r="AJ60" s="80"/>
      <c r="AK60" s="81"/>
      <c r="AL60" s="80"/>
      <c r="AM60" s="79"/>
      <c r="AN60" s="80"/>
      <c r="AO60" s="79"/>
      <c r="AP60" s="80"/>
      <c r="AQ60" s="81"/>
      <c r="AR60" s="80"/>
      <c r="AS60" s="79"/>
      <c r="AT60" s="80"/>
      <c r="AU60" s="79"/>
      <c r="AV60" s="80"/>
      <c r="AW60" s="81"/>
      <c r="AX60" s="80"/>
      <c r="AY60" s="79"/>
      <c r="AZ60" s="80"/>
      <c r="BA60" s="79"/>
      <c r="BB60" s="80"/>
      <c r="BC60" s="81"/>
      <c r="BD60" s="80"/>
      <c r="BE60" s="81"/>
    </row>
    <row r="61" ht="15.5" spans="1:57">
      <c r="A61" s="42"/>
      <c r="B61" s="43"/>
      <c r="C61" s="44" t="s">
        <v>325</v>
      </c>
      <c r="D61" s="49"/>
      <c r="E61" s="50"/>
      <c r="F61" s="71"/>
      <c r="G61" s="50"/>
      <c r="H61" s="48">
        <v>0</v>
      </c>
      <c r="I61" s="77"/>
      <c r="J61" s="48">
        <v>0</v>
      </c>
      <c r="K61" s="77"/>
      <c r="L61" s="77"/>
      <c r="M61" s="78"/>
      <c r="N61" s="48">
        <v>0</v>
      </c>
      <c r="O61" s="77"/>
      <c r="P61" s="48">
        <v>0</v>
      </c>
      <c r="Q61" s="77"/>
      <c r="R61" s="77"/>
      <c r="S61" s="78"/>
      <c r="T61" s="55"/>
      <c r="U61" s="77"/>
      <c r="V61" s="55"/>
      <c r="W61" s="77"/>
      <c r="X61" s="77"/>
      <c r="Y61" s="78"/>
      <c r="Z61" s="55"/>
      <c r="AA61" s="77"/>
      <c r="AB61" s="55"/>
      <c r="AC61" s="77"/>
      <c r="AD61" s="77"/>
      <c r="AE61" s="78"/>
      <c r="AF61" s="77"/>
      <c r="AG61" s="77"/>
      <c r="AH61" s="77"/>
      <c r="AI61" s="77"/>
      <c r="AJ61" s="77"/>
      <c r="AK61" s="78"/>
      <c r="AL61" s="77"/>
      <c r="AM61" s="77"/>
      <c r="AN61" s="77"/>
      <c r="AO61" s="77"/>
      <c r="AP61" s="77"/>
      <c r="AQ61" s="78"/>
      <c r="AR61" s="77"/>
      <c r="AS61" s="77"/>
      <c r="AT61" s="77"/>
      <c r="AU61" s="77"/>
      <c r="AV61" s="77"/>
      <c r="AW61" s="78"/>
      <c r="AX61" s="77"/>
      <c r="AY61" s="77"/>
      <c r="AZ61" s="77"/>
      <c r="BA61" s="77"/>
      <c r="BB61" s="77"/>
      <c r="BC61" s="78"/>
      <c r="BD61" s="77"/>
      <c r="BE61" s="89"/>
    </row>
    <row r="62" ht="15.5" spans="1:57">
      <c r="A62" s="34"/>
      <c r="B62" s="35"/>
      <c r="C62" s="44" t="s">
        <v>326</v>
      </c>
      <c r="D62" s="56"/>
      <c r="E62" s="56"/>
      <c r="F62" s="57"/>
      <c r="G62" s="58"/>
      <c r="H62" s="48">
        <v>9</v>
      </c>
      <c r="I62" s="79"/>
      <c r="J62" s="48">
        <v>38</v>
      </c>
      <c r="K62" s="79"/>
      <c r="L62" s="80"/>
      <c r="M62" s="81"/>
      <c r="N62" s="48">
        <v>11</v>
      </c>
      <c r="O62" s="79"/>
      <c r="P62" s="48">
        <v>81</v>
      </c>
      <c r="Q62" s="79"/>
      <c r="R62" s="80"/>
      <c r="S62" s="81"/>
      <c r="T62" s="48"/>
      <c r="U62" s="79"/>
      <c r="V62" s="48"/>
      <c r="W62" s="79"/>
      <c r="X62" s="80"/>
      <c r="Y62" s="81"/>
      <c r="Z62" s="48"/>
      <c r="AA62" s="79"/>
      <c r="AB62" s="48"/>
      <c r="AC62" s="79"/>
      <c r="AD62" s="80"/>
      <c r="AE62" s="81"/>
      <c r="AF62" s="80"/>
      <c r="AG62" s="79"/>
      <c r="AH62" s="80"/>
      <c r="AI62" s="79"/>
      <c r="AJ62" s="80"/>
      <c r="AK62" s="81"/>
      <c r="AL62" s="80"/>
      <c r="AM62" s="79"/>
      <c r="AN62" s="80"/>
      <c r="AO62" s="79"/>
      <c r="AP62" s="80"/>
      <c r="AQ62" s="81"/>
      <c r="AR62" s="80"/>
      <c r="AS62" s="79"/>
      <c r="AT62" s="80"/>
      <c r="AU62" s="79"/>
      <c r="AV62" s="80"/>
      <c r="AW62" s="81"/>
      <c r="AX62" s="80"/>
      <c r="AY62" s="79"/>
      <c r="AZ62" s="80"/>
      <c r="BA62" s="79"/>
      <c r="BB62" s="80"/>
      <c r="BC62" s="81"/>
      <c r="BD62" s="80"/>
      <c r="BE62" s="81"/>
    </row>
    <row r="63" ht="15.5" spans="1:57">
      <c r="A63" s="42"/>
      <c r="B63" s="43"/>
      <c r="C63" s="44" t="s">
        <v>327</v>
      </c>
      <c r="D63" s="49"/>
      <c r="E63" s="50"/>
      <c r="F63" s="52"/>
      <c r="G63" s="53"/>
      <c r="H63" s="48">
        <v>4</v>
      </c>
      <c r="I63" s="77"/>
      <c r="J63" s="48">
        <v>31</v>
      </c>
      <c r="K63" s="77"/>
      <c r="L63" s="77"/>
      <c r="M63" s="78"/>
      <c r="N63" s="48">
        <v>3</v>
      </c>
      <c r="O63" s="77"/>
      <c r="P63" s="48">
        <v>33</v>
      </c>
      <c r="Q63" s="77"/>
      <c r="R63" s="77"/>
      <c r="S63" s="78"/>
      <c r="T63" s="48"/>
      <c r="U63" s="77"/>
      <c r="V63" s="48"/>
      <c r="W63" s="77"/>
      <c r="X63" s="77"/>
      <c r="Y63" s="78"/>
      <c r="Z63" s="48"/>
      <c r="AA63" s="77"/>
      <c r="AB63" s="48"/>
      <c r="AC63" s="77"/>
      <c r="AD63" s="77"/>
      <c r="AE63" s="78"/>
      <c r="AF63" s="77"/>
      <c r="AG63" s="77"/>
      <c r="AH63" s="77"/>
      <c r="AI63" s="77"/>
      <c r="AJ63" s="77"/>
      <c r="AK63" s="78"/>
      <c r="AL63" s="77"/>
      <c r="AM63" s="77"/>
      <c r="AN63" s="77"/>
      <c r="AO63" s="77"/>
      <c r="AP63" s="77"/>
      <c r="AQ63" s="78"/>
      <c r="AR63" s="77"/>
      <c r="AS63" s="77"/>
      <c r="AT63" s="77"/>
      <c r="AU63" s="77"/>
      <c r="AV63" s="77"/>
      <c r="AW63" s="78"/>
      <c r="AX63" s="77"/>
      <c r="AY63" s="77"/>
      <c r="AZ63" s="77"/>
      <c r="BA63" s="77"/>
      <c r="BB63" s="77"/>
      <c r="BC63" s="78"/>
      <c r="BD63" s="77"/>
      <c r="BE63" s="89"/>
    </row>
    <row r="64" ht="15.5" spans="1:57">
      <c r="A64" s="42"/>
      <c r="B64" s="43"/>
      <c r="C64" s="54" t="s">
        <v>328</v>
      </c>
      <c r="D64" s="49"/>
      <c r="E64" s="50"/>
      <c r="F64" s="52"/>
      <c r="G64" s="53"/>
      <c r="H64" s="55">
        <v>0.1359531</v>
      </c>
      <c r="I64" s="77"/>
      <c r="J64" s="55">
        <v>0.2488028</v>
      </c>
      <c r="K64" s="77"/>
      <c r="L64" s="77"/>
      <c r="M64" s="78"/>
      <c r="N64" s="55">
        <v>0.1191675</v>
      </c>
      <c r="O64" s="77"/>
      <c r="P64" s="55">
        <v>0.3928081</v>
      </c>
      <c r="Q64" s="77"/>
      <c r="R64" s="77"/>
      <c r="S64" s="78"/>
      <c r="T64" s="55"/>
      <c r="U64" s="77"/>
      <c r="V64" s="55"/>
      <c r="W64" s="77"/>
      <c r="X64" s="77"/>
      <c r="Y64" s="78"/>
      <c r="Z64" s="55"/>
      <c r="AA64" s="77"/>
      <c r="AB64" s="55"/>
      <c r="AC64" s="77"/>
      <c r="AD64" s="77"/>
      <c r="AE64" s="78"/>
      <c r="AF64" s="77"/>
      <c r="AG64" s="77"/>
      <c r="AH64" s="77"/>
      <c r="AI64" s="77"/>
      <c r="AJ64" s="77"/>
      <c r="AK64" s="78"/>
      <c r="AL64" s="77"/>
      <c r="AM64" s="77"/>
      <c r="AN64" s="77"/>
      <c r="AO64" s="77"/>
      <c r="AP64" s="77"/>
      <c r="AQ64" s="78"/>
      <c r="AR64" s="77"/>
      <c r="AS64" s="77"/>
      <c r="AT64" s="77"/>
      <c r="AU64" s="77"/>
      <c r="AV64" s="77"/>
      <c r="AW64" s="78"/>
      <c r="AX64" s="77"/>
      <c r="AY64" s="77"/>
      <c r="AZ64" s="77"/>
      <c r="BA64" s="77"/>
      <c r="BB64" s="77"/>
      <c r="BC64" s="78"/>
      <c r="BD64" s="77"/>
      <c r="BE64" s="89"/>
    </row>
    <row r="65" ht="15.5" spans="1:57">
      <c r="A65" s="34"/>
      <c r="B65" s="35"/>
      <c r="C65" s="44" t="s">
        <v>329</v>
      </c>
      <c r="D65" s="56"/>
      <c r="E65" s="56"/>
      <c r="F65" s="57"/>
      <c r="G65" s="58"/>
      <c r="H65" s="48">
        <v>139</v>
      </c>
      <c r="I65" s="79"/>
      <c r="J65" s="48">
        <v>107</v>
      </c>
      <c r="K65" s="79"/>
      <c r="L65" s="80"/>
      <c r="M65" s="81"/>
      <c r="N65" s="48">
        <v>77</v>
      </c>
      <c r="O65" s="79"/>
      <c r="P65" s="48">
        <v>155</v>
      </c>
      <c r="Q65" s="79"/>
      <c r="R65" s="80"/>
      <c r="S65" s="81"/>
      <c r="T65" s="48"/>
      <c r="U65" s="79"/>
      <c r="V65" s="48"/>
      <c r="W65" s="79"/>
      <c r="X65" s="80"/>
      <c r="Y65" s="81"/>
      <c r="Z65" s="48"/>
      <c r="AA65" s="79"/>
      <c r="AB65" s="48"/>
      <c r="AC65" s="79"/>
      <c r="AD65" s="80"/>
      <c r="AE65" s="81"/>
      <c r="AF65" s="80"/>
      <c r="AG65" s="79"/>
      <c r="AH65" s="80"/>
      <c r="AI65" s="79"/>
      <c r="AJ65" s="80"/>
      <c r="AK65" s="81"/>
      <c r="AL65" s="80"/>
      <c r="AM65" s="79"/>
      <c r="AN65" s="80"/>
      <c r="AO65" s="79"/>
      <c r="AP65" s="80"/>
      <c r="AQ65" s="81"/>
      <c r="AR65" s="80"/>
      <c r="AS65" s="79"/>
      <c r="AT65" s="80"/>
      <c r="AU65" s="79"/>
      <c r="AV65" s="80"/>
      <c r="AW65" s="81"/>
      <c r="AX65" s="80"/>
      <c r="AY65" s="79"/>
      <c r="AZ65" s="80"/>
      <c r="BA65" s="79"/>
      <c r="BB65" s="80"/>
      <c r="BC65" s="81"/>
      <c r="BD65" s="80"/>
      <c r="BE65" s="81"/>
    </row>
    <row r="66" ht="15.5" spans="1:57">
      <c r="A66" s="42"/>
      <c r="B66" s="43"/>
      <c r="C66" s="54" t="s">
        <v>330</v>
      </c>
      <c r="D66" s="49"/>
      <c r="E66" s="50"/>
      <c r="F66" s="52"/>
      <c r="G66" s="53"/>
      <c r="H66" s="55">
        <v>0.0841367</v>
      </c>
      <c r="I66" s="77"/>
      <c r="J66" s="55">
        <v>0.0647671</v>
      </c>
      <c r="K66" s="77"/>
      <c r="L66" s="77"/>
      <c r="M66" s="78"/>
      <c r="N66" s="55">
        <v>0.0466081</v>
      </c>
      <c r="O66" s="77"/>
      <c r="P66" s="55">
        <v>0.0938215</v>
      </c>
      <c r="Q66" s="77"/>
      <c r="R66" s="77"/>
      <c r="S66" s="78"/>
      <c r="T66" s="48"/>
      <c r="U66" s="77"/>
      <c r="V66" s="48"/>
      <c r="W66" s="77"/>
      <c r="X66" s="77"/>
      <c r="Y66" s="78"/>
      <c r="Z66" s="48"/>
      <c r="AA66" s="77"/>
      <c r="AB66" s="48"/>
      <c r="AC66" s="77"/>
      <c r="AD66" s="77"/>
      <c r="AE66" s="78"/>
      <c r="AF66" s="77"/>
      <c r="AG66" s="77"/>
      <c r="AH66" s="77"/>
      <c r="AI66" s="77"/>
      <c r="AJ66" s="77"/>
      <c r="AK66" s="78"/>
      <c r="AL66" s="77"/>
      <c r="AM66" s="77"/>
      <c r="AN66" s="77"/>
      <c r="AO66" s="77"/>
      <c r="AP66" s="77"/>
      <c r="AQ66" s="78"/>
      <c r="AR66" s="77"/>
      <c r="AS66" s="77"/>
      <c r="AT66" s="77"/>
      <c r="AU66" s="77"/>
      <c r="AV66" s="77"/>
      <c r="AW66" s="78"/>
      <c r="AX66" s="77"/>
      <c r="AY66" s="77"/>
      <c r="AZ66" s="77"/>
      <c r="BA66" s="77"/>
      <c r="BB66" s="77"/>
      <c r="BC66" s="78"/>
      <c r="BD66" s="77"/>
      <c r="BE66" s="89"/>
    </row>
    <row r="67" ht="15.5" spans="1:57">
      <c r="A67" s="42"/>
      <c r="B67" s="43"/>
      <c r="C67" s="44" t="s">
        <v>331</v>
      </c>
      <c r="D67" s="49"/>
      <c r="E67" s="50"/>
      <c r="F67" s="52"/>
      <c r="G67" s="53"/>
      <c r="H67" s="48">
        <v>0</v>
      </c>
      <c r="I67" s="77"/>
      <c r="J67" s="48">
        <v>10</v>
      </c>
      <c r="K67" s="77"/>
      <c r="L67" s="77"/>
      <c r="M67" s="78"/>
      <c r="N67" s="48">
        <v>0</v>
      </c>
      <c r="O67" s="77"/>
      <c r="P67" s="48">
        <v>10</v>
      </c>
      <c r="Q67" s="77"/>
      <c r="R67" s="77"/>
      <c r="S67" s="78"/>
      <c r="T67" s="55"/>
      <c r="U67" s="77"/>
      <c r="V67" s="55"/>
      <c r="W67" s="77"/>
      <c r="X67" s="77"/>
      <c r="Y67" s="78"/>
      <c r="Z67" s="55"/>
      <c r="AA67" s="77"/>
      <c r="AB67" s="55"/>
      <c r="AC67" s="77"/>
      <c r="AD67" s="77"/>
      <c r="AE67" s="78"/>
      <c r="AF67" s="77"/>
      <c r="AG67" s="77"/>
      <c r="AH67" s="77"/>
      <c r="AI67" s="77"/>
      <c r="AJ67" s="77"/>
      <c r="AK67" s="78"/>
      <c r="AL67" s="77"/>
      <c r="AM67" s="77"/>
      <c r="AN67" s="77"/>
      <c r="AO67" s="77"/>
      <c r="AP67" s="77"/>
      <c r="AQ67" s="78"/>
      <c r="AR67" s="77"/>
      <c r="AS67" s="77"/>
      <c r="AT67" s="77"/>
      <c r="AU67" s="77"/>
      <c r="AV67" s="77"/>
      <c r="AW67" s="78"/>
      <c r="AX67" s="77"/>
      <c r="AY67" s="77"/>
      <c r="AZ67" s="77"/>
      <c r="BA67" s="77"/>
      <c r="BB67" s="77"/>
      <c r="BC67" s="78"/>
      <c r="BD67" s="77"/>
      <c r="BE67" s="89"/>
    </row>
    <row r="68" ht="15.5" spans="1:57">
      <c r="A68" s="42"/>
      <c r="B68" s="43"/>
      <c r="C68" s="44" t="s">
        <v>332</v>
      </c>
      <c r="D68" s="49"/>
      <c r="E68" s="50"/>
      <c r="F68" s="52"/>
      <c r="G68" s="53"/>
      <c r="H68" s="48">
        <v>8</v>
      </c>
      <c r="I68" s="77"/>
      <c r="J68" s="48">
        <v>55</v>
      </c>
      <c r="K68" s="77"/>
      <c r="L68" s="77"/>
      <c r="M68" s="78"/>
      <c r="N68" s="48">
        <v>5</v>
      </c>
      <c r="O68" s="77"/>
      <c r="P68" s="48">
        <v>48</v>
      </c>
      <c r="Q68" s="77"/>
      <c r="R68" s="77"/>
      <c r="S68" s="78"/>
      <c r="T68" s="48"/>
      <c r="U68" s="77"/>
      <c r="V68" s="48"/>
      <c r="W68" s="77"/>
      <c r="X68" s="77"/>
      <c r="Y68" s="78"/>
      <c r="Z68" s="48"/>
      <c r="AA68" s="77"/>
      <c r="AB68" s="48"/>
      <c r="AC68" s="77"/>
      <c r="AD68" s="77"/>
      <c r="AE68" s="78"/>
      <c r="AF68" s="77"/>
      <c r="AG68" s="77"/>
      <c r="AH68" s="77"/>
      <c r="AI68" s="77"/>
      <c r="AJ68" s="77"/>
      <c r="AK68" s="78"/>
      <c r="AL68" s="77"/>
      <c r="AM68" s="77"/>
      <c r="AN68" s="77"/>
      <c r="AO68" s="77"/>
      <c r="AP68" s="77"/>
      <c r="AQ68" s="78"/>
      <c r="AR68" s="77"/>
      <c r="AS68" s="77"/>
      <c r="AT68" s="77"/>
      <c r="AU68" s="77"/>
      <c r="AV68" s="77"/>
      <c r="AW68" s="78"/>
      <c r="AX68" s="77"/>
      <c r="AY68" s="77"/>
      <c r="AZ68" s="77"/>
      <c r="BA68" s="77"/>
      <c r="BB68" s="77"/>
      <c r="BC68" s="78"/>
      <c r="BD68" s="77"/>
      <c r="BE68" s="89"/>
    </row>
    <row r="69" ht="15.5" spans="1:57">
      <c r="A69" s="42"/>
      <c r="B69" s="43"/>
      <c r="C69" s="54" t="s">
        <v>333</v>
      </c>
      <c r="D69" s="49"/>
      <c r="E69" s="50"/>
      <c r="F69" s="59"/>
      <c r="G69" s="50"/>
      <c r="H69" s="55">
        <v>0.0091768</v>
      </c>
      <c r="I69" s="77"/>
      <c r="J69" s="55">
        <v>0.0690715</v>
      </c>
      <c r="K69" s="77"/>
      <c r="L69" s="77"/>
      <c r="M69" s="78"/>
      <c r="N69" s="55">
        <v>0.0057355</v>
      </c>
      <c r="O69" s="77"/>
      <c r="P69" s="55">
        <v>0.0610418</v>
      </c>
      <c r="Q69" s="77"/>
      <c r="R69" s="77"/>
      <c r="S69" s="78"/>
      <c r="T69" s="48"/>
      <c r="U69" s="77"/>
      <c r="V69" s="48"/>
      <c r="W69" s="77"/>
      <c r="X69" s="77"/>
      <c r="Y69" s="78"/>
      <c r="Z69" s="48"/>
      <c r="AA69" s="77"/>
      <c r="AB69" s="48"/>
      <c r="AC69" s="77"/>
      <c r="AD69" s="77"/>
      <c r="AE69" s="78"/>
      <c r="AF69" s="77"/>
      <c r="AG69" s="77"/>
      <c r="AH69" s="77"/>
      <c r="AI69" s="77"/>
      <c r="AJ69" s="77"/>
      <c r="AK69" s="78"/>
      <c r="AL69" s="77"/>
      <c r="AM69" s="77"/>
      <c r="AN69" s="77"/>
      <c r="AO69" s="77"/>
      <c r="AP69" s="77"/>
      <c r="AQ69" s="78"/>
      <c r="AR69" s="77"/>
      <c r="AS69" s="77"/>
      <c r="AT69" s="77"/>
      <c r="AU69" s="77"/>
      <c r="AV69" s="77"/>
      <c r="AW69" s="78"/>
      <c r="AX69" s="77"/>
      <c r="AY69" s="77"/>
      <c r="AZ69" s="77"/>
      <c r="BA69" s="77"/>
      <c r="BB69" s="77"/>
      <c r="BC69" s="78"/>
      <c r="BD69" s="77"/>
      <c r="BE69" s="89"/>
    </row>
    <row r="70" ht="15.5" spans="1:57">
      <c r="A70" s="34"/>
      <c r="B70" s="35"/>
      <c r="C70" s="44" t="s">
        <v>334</v>
      </c>
      <c r="D70" s="56"/>
      <c r="E70" s="56"/>
      <c r="F70" s="57"/>
      <c r="G70" s="58"/>
      <c r="H70" s="48">
        <v>23</v>
      </c>
      <c r="I70" s="79"/>
      <c r="J70" s="48">
        <v>58</v>
      </c>
      <c r="K70" s="79"/>
      <c r="L70" s="80"/>
      <c r="M70" s="81"/>
      <c r="N70" s="48">
        <v>70</v>
      </c>
      <c r="O70" s="79"/>
      <c r="P70" s="48">
        <v>78</v>
      </c>
      <c r="Q70" s="79"/>
      <c r="R70" s="80"/>
      <c r="S70" s="81"/>
      <c r="T70" s="55"/>
      <c r="U70" s="79"/>
      <c r="V70" s="55"/>
      <c r="W70" s="79"/>
      <c r="X70" s="80"/>
      <c r="Y70" s="81"/>
      <c r="Z70" s="55"/>
      <c r="AA70" s="79"/>
      <c r="AB70" s="55"/>
      <c r="AC70" s="79"/>
      <c r="AD70" s="80"/>
      <c r="AE70" s="81"/>
      <c r="AF70" s="80"/>
      <c r="AG70" s="79"/>
      <c r="AH70" s="80"/>
      <c r="AI70" s="79"/>
      <c r="AJ70" s="80"/>
      <c r="AK70" s="81"/>
      <c r="AL70" s="80"/>
      <c r="AM70" s="79"/>
      <c r="AN70" s="80"/>
      <c r="AO70" s="79"/>
      <c r="AP70" s="80"/>
      <c r="AQ70" s="81"/>
      <c r="AR70" s="80"/>
      <c r="AS70" s="79"/>
      <c r="AT70" s="80"/>
      <c r="AU70" s="79"/>
      <c r="AV70" s="80"/>
      <c r="AW70" s="81"/>
      <c r="AX70" s="80"/>
      <c r="AY70" s="79"/>
      <c r="AZ70" s="80"/>
      <c r="BA70" s="79"/>
      <c r="BB70" s="80"/>
      <c r="BC70" s="81"/>
      <c r="BD70" s="80"/>
      <c r="BE70" s="81"/>
    </row>
    <row r="71" ht="15.5" spans="1:57">
      <c r="A71" s="42"/>
      <c r="B71" s="43"/>
      <c r="C71" s="54" t="s">
        <v>335</v>
      </c>
      <c r="D71" s="49"/>
      <c r="E71" s="50"/>
      <c r="F71" s="47"/>
      <c r="G71" s="50"/>
      <c r="H71" s="55">
        <v>0.0218822</v>
      </c>
      <c r="I71" s="77"/>
      <c r="J71" s="55">
        <v>0.0551812</v>
      </c>
      <c r="K71" s="77"/>
      <c r="L71" s="77"/>
      <c r="M71" s="78"/>
      <c r="N71" s="55">
        <v>0.066598</v>
      </c>
      <c r="O71" s="77"/>
      <c r="P71" s="55">
        <v>0.0742092</v>
      </c>
      <c r="Q71" s="77"/>
      <c r="R71" s="77"/>
      <c r="S71" s="78"/>
      <c r="T71" s="55"/>
      <c r="U71" s="77"/>
      <c r="V71" s="55"/>
      <c r="W71" s="77"/>
      <c r="X71" s="77"/>
      <c r="Y71" s="78"/>
      <c r="Z71" s="55"/>
      <c r="AA71" s="77"/>
      <c r="AB71" s="55"/>
      <c r="AC71" s="77"/>
      <c r="AD71" s="77"/>
      <c r="AE71" s="78"/>
      <c r="AF71" s="77"/>
      <c r="AG71" s="77"/>
      <c r="AH71" s="77"/>
      <c r="AI71" s="77"/>
      <c r="AJ71" s="77"/>
      <c r="AK71" s="78"/>
      <c r="AL71" s="77"/>
      <c r="AM71" s="77"/>
      <c r="AN71" s="77"/>
      <c r="AO71" s="77"/>
      <c r="AP71" s="77"/>
      <c r="AQ71" s="78"/>
      <c r="AR71" s="77"/>
      <c r="AS71" s="77"/>
      <c r="AT71" s="77"/>
      <c r="AU71" s="77"/>
      <c r="AV71" s="77"/>
      <c r="AW71" s="78"/>
      <c r="AX71" s="77"/>
      <c r="AY71" s="77"/>
      <c r="AZ71" s="77"/>
      <c r="BA71" s="77"/>
      <c r="BB71" s="77"/>
      <c r="BC71" s="78"/>
      <c r="BD71" s="77"/>
      <c r="BE71" s="89"/>
    </row>
    <row r="72" ht="15.5" spans="1:57">
      <c r="A72" s="42"/>
      <c r="B72" s="43"/>
      <c r="C72" s="44" t="s">
        <v>336</v>
      </c>
      <c r="D72" s="49"/>
      <c r="E72" s="50"/>
      <c r="F72" s="59"/>
      <c r="G72" s="50"/>
      <c r="H72" s="48">
        <v>0</v>
      </c>
      <c r="I72" s="77"/>
      <c r="J72" s="48">
        <v>7</v>
      </c>
      <c r="K72" s="77"/>
      <c r="L72" s="77"/>
      <c r="M72" s="78"/>
      <c r="N72" s="48">
        <v>0</v>
      </c>
      <c r="O72" s="77"/>
      <c r="P72" s="48">
        <v>0</v>
      </c>
      <c r="Q72" s="77"/>
      <c r="R72" s="77"/>
      <c r="S72" s="78"/>
      <c r="T72" s="55"/>
      <c r="U72" s="77"/>
      <c r="W72" s="77"/>
      <c r="X72" s="77"/>
      <c r="Y72" s="78"/>
      <c r="Z72" s="77"/>
      <c r="AA72" s="77"/>
      <c r="AB72" s="77"/>
      <c r="AC72" s="77"/>
      <c r="AD72" s="77"/>
      <c r="AE72" s="78"/>
      <c r="AF72" s="77"/>
      <c r="AG72" s="77"/>
      <c r="AH72" s="77"/>
      <c r="AI72" s="77"/>
      <c r="AJ72" s="77"/>
      <c r="AK72" s="78"/>
      <c r="AL72" s="77"/>
      <c r="AM72" s="77"/>
      <c r="AN72" s="77"/>
      <c r="AO72" s="77"/>
      <c r="AP72" s="77"/>
      <c r="AQ72" s="78"/>
      <c r="AR72" s="77"/>
      <c r="AS72" s="77"/>
      <c r="AT72" s="77"/>
      <c r="AU72" s="77"/>
      <c r="AV72" s="77"/>
      <c r="AW72" s="78"/>
      <c r="AX72" s="77"/>
      <c r="AY72" s="77"/>
      <c r="AZ72" s="77"/>
      <c r="BA72" s="77"/>
      <c r="BB72" s="77"/>
      <c r="BC72" s="78"/>
      <c r="BD72" s="77"/>
      <c r="BE72" s="89"/>
    </row>
    <row r="73" ht="15.5" spans="1:57">
      <c r="A73" s="34"/>
      <c r="B73" s="35"/>
      <c r="C73" s="54" t="s">
        <v>337</v>
      </c>
      <c r="D73" s="56"/>
      <c r="E73" s="56"/>
      <c r="F73" s="67"/>
      <c r="G73" s="56"/>
      <c r="H73" s="55">
        <v>0</v>
      </c>
      <c r="I73" s="79"/>
      <c r="J73" s="55">
        <v>0.0138117</v>
      </c>
      <c r="K73" s="79"/>
      <c r="L73" s="80"/>
      <c r="M73" s="81"/>
      <c r="N73" s="55">
        <v>0</v>
      </c>
      <c r="O73" s="79"/>
      <c r="P73" s="55">
        <v>0</v>
      </c>
      <c r="Q73" s="79"/>
      <c r="R73" s="80"/>
      <c r="S73" s="81"/>
      <c r="U73" s="79"/>
      <c r="V73" s="80"/>
      <c r="W73" s="79"/>
      <c r="X73" s="80"/>
      <c r="Y73" s="81"/>
      <c r="Z73" s="80"/>
      <c r="AA73" s="79"/>
      <c r="AB73" s="80"/>
      <c r="AC73" s="79"/>
      <c r="AD73" s="80"/>
      <c r="AE73" s="81"/>
      <c r="AF73" s="80"/>
      <c r="AG73" s="79"/>
      <c r="AH73" s="80"/>
      <c r="AI73" s="79"/>
      <c r="AJ73" s="80"/>
      <c r="AK73" s="81"/>
      <c r="AL73" s="80"/>
      <c r="AM73" s="79"/>
      <c r="AN73" s="80"/>
      <c r="AO73" s="79"/>
      <c r="AP73" s="80"/>
      <c r="AQ73" s="81"/>
      <c r="AR73" s="80"/>
      <c r="AS73" s="79"/>
      <c r="AT73" s="80"/>
      <c r="AU73" s="79"/>
      <c r="AV73" s="80"/>
      <c r="AW73" s="81"/>
      <c r="AX73" s="80"/>
      <c r="AY73" s="79"/>
      <c r="AZ73" s="80"/>
      <c r="BA73" s="79"/>
      <c r="BB73" s="80"/>
      <c r="BC73" s="81"/>
      <c r="BD73" s="80"/>
      <c r="BE73" s="81"/>
    </row>
    <row r="74" ht="15.5" spans="1:57">
      <c r="A74" s="42"/>
      <c r="B74" s="43"/>
      <c r="C74" s="44" t="s">
        <v>338</v>
      </c>
      <c r="D74" s="49"/>
      <c r="E74" s="50"/>
      <c r="F74" s="47"/>
      <c r="G74" s="50"/>
      <c r="H74" s="48">
        <v>113</v>
      </c>
      <c r="I74" s="86"/>
      <c r="J74" s="48">
        <v>154</v>
      </c>
      <c r="K74" s="86"/>
      <c r="L74" s="77"/>
      <c r="M74" s="78"/>
      <c r="N74" s="48">
        <v>96</v>
      </c>
      <c r="O74" s="86"/>
      <c r="P74" s="48">
        <v>190</v>
      </c>
      <c r="Q74" s="86"/>
      <c r="R74" s="77"/>
      <c r="S74" s="78"/>
      <c r="T74" s="77"/>
      <c r="U74" s="86"/>
      <c r="V74" s="77"/>
      <c r="W74" s="86"/>
      <c r="X74" s="77"/>
      <c r="Y74" s="78"/>
      <c r="Z74" s="77"/>
      <c r="AA74" s="86"/>
      <c r="AB74" s="77"/>
      <c r="AC74" s="86"/>
      <c r="AD74" s="77"/>
      <c r="AE74" s="78"/>
      <c r="AF74" s="77"/>
      <c r="AG74" s="86"/>
      <c r="AH74" s="77"/>
      <c r="AI74" s="86"/>
      <c r="AJ74" s="77"/>
      <c r="AK74" s="78"/>
      <c r="AL74" s="77"/>
      <c r="AM74" s="86"/>
      <c r="AN74" s="77"/>
      <c r="AO74" s="86"/>
      <c r="AP74" s="77"/>
      <c r="AQ74" s="78"/>
      <c r="AR74" s="77"/>
      <c r="AS74" s="86"/>
      <c r="AT74" s="77"/>
      <c r="AU74" s="86"/>
      <c r="AV74" s="77"/>
      <c r="AW74" s="78"/>
      <c r="AX74" s="77"/>
      <c r="AY74" s="86"/>
      <c r="AZ74" s="77"/>
      <c r="BA74" s="86"/>
      <c r="BB74" s="77"/>
      <c r="BC74" s="78"/>
      <c r="BD74" s="77"/>
      <c r="BE74" s="78"/>
    </row>
    <row r="75" ht="15.5" spans="1:57">
      <c r="A75" s="42"/>
      <c r="B75" s="43"/>
      <c r="C75" s="54" t="s">
        <v>339</v>
      </c>
      <c r="D75" s="49"/>
      <c r="E75" s="50"/>
      <c r="F75" s="51"/>
      <c r="G75" s="50"/>
      <c r="H75" s="55">
        <v>0.0248939</v>
      </c>
      <c r="I75" s="86"/>
      <c r="J75" s="55">
        <v>0.0339262</v>
      </c>
      <c r="K75" s="86"/>
      <c r="L75" s="77"/>
      <c r="M75" s="78"/>
      <c r="N75" s="55">
        <v>0.0211488</v>
      </c>
      <c r="O75" s="86"/>
      <c r="P75" s="55">
        <v>0.041857</v>
      </c>
      <c r="Q75" s="86"/>
      <c r="R75" s="77"/>
      <c r="S75" s="78"/>
      <c r="T75" s="77"/>
      <c r="U75" s="86"/>
      <c r="V75" s="77"/>
      <c r="W75" s="86"/>
      <c r="X75" s="77"/>
      <c r="Y75" s="78"/>
      <c r="Z75" s="77"/>
      <c r="AA75" s="86"/>
      <c r="AB75" s="77"/>
      <c r="AC75" s="86"/>
      <c r="AD75" s="77"/>
      <c r="AE75" s="78"/>
      <c r="AF75" s="77"/>
      <c r="AG75" s="86"/>
      <c r="AH75" s="77"/>
      <c r="AI75" s="86"/>
      <c r="AJ75" s="77"/>
      <c r="AK75" s="78"/>
      <c r="AL75" s="77"/>
      <c r="AM75" s="86"/>
      <c r="AN75" s="77"/>
      <c r="AO75" s="86"/>
      <c r="AP75" s="77"/>
      <c r="AQ75" s="78"/>
      <c r="AR75" s="77"/>
      <c r="AS75" s="86"/>
      <c r="AT75" s="77"/>
      <c r="AU75" s="86"/>
      <c r="AV75" s="77"/>
      <c r="AW75" s="78"/>
      <c r="AX75" s="77"/>
      <c r="AY75" s="86"/>
      <c r="AZ75" s="77"/>
      <c r="BA75" s="86"/>
      <c r="BB75" s="77"/>
      <c r="BC75" s="78"/>
      <c r="BD75" s="77"/>
      <c r="BE75" s="78"/>
    </row>
    <row r="76" ht="15.5" spans="1:57">
      <c r="A76" s="42"/>
      <c r="B76" s="43"/>
      <c r="C76" s="44" t="s">
        <v>340</v>
      </c>
      <c r="D76" s="49"/>
      <c r="E76" s="50"/>
      <c r="F76" s="51"/>
      <c r="G76" s="50"/>
      <c r="H76" s="48">
        <v>0</v>
      </c>
      <c r="I76" s="86"/>
      <c r="J76" s="48">
        <v>0</v>
      </c>
      <c r="K76" s="86"/>
      <c r="L76" s="77"/>
      <c r="M76" s="78"/>
      <c r="N76" s="48">
        <v>7</v>
      </c>
      <c r="O76" s="86"/>
      <c r="P76" s="48">
        <v>0</v>
      </c>
      <c r="Q76" s="86"/>
      <c r="R76" s="77"/>
      <c r="S76" s="78"/>
      <c r="T76" s="77"/>
      <c r="U76" s="86"/>
      <c r="V76" s="77"/>
      <c r="W76" s="86"/>
      <c r="X76" s="77"/>
      <c r="Y76" s="78"/>
      <c r="Z76" s="77"/>
      <c r="AA76" s="86"/>
      <c r="AB76" s="77"/>
      <c r="AC76" s="86"/>
      <c r="AD76" s="77"/>
      <c r="AE76" s="78"/>
      <c r="AF76" s="77"/>
      <c r="AG76" s="86"/>
      <c r="AH76" s="77"/>
      <c r="AI76" s="86"/>
      <c r="AJ76" s="77"/>
      <c r="AK76" s="78"/>
      <c r="AL76" s="77"/>
      <c r="AM76" s="86"/>
      <c r="AN76" s="77"/>
      <c r="AO76" s="86"/>
      <c r="AP76" s="77"/>
      <c r="AQ76" s="78"/>
      <c r="AR76" s="77"/>
      <c r="AS76" s="86"/>
      <c r="AT76" s="77"/>
      <c r="AU76" s="86"/>
      <c r="AV76" s="77"/>
      <c r="AW76" s="78"/>
      <c r="AX76" s="77"/>
      <c r="AY76" s="86"/>
      <c r="AZ76" s="77"/>
      <c r="BA76" s="86"/>
      <c r="BB76" s="77"/>
      <c r="BC76" s="78"/>
      <c r="BD76" s="77"/>
      <c r="BE76" s="78"/>
    </row>
    <row r="77" ht="15.5" spans="1:57">
      <c r="A77" s="42"/>
      <c r="B77" s="43"/>
      <c r="C77" s="54" t="s">
        <v>341</v>
      </c>
      <c r="D77" s="49"/>
      <c r="E77" s="50"/>
      <c r="F77" s="59"/>
      <c r="G77" s="50"/>
      <c r="H77" s="55">
        <v>0</v>
      </c>
      <c r="I77" s="86"/>
      <c r="J77" s="55">
        <v>0</v>
      </c>
      <c r="K77" s="86"/>
      <c r="L77" s="77"/>
      <c r="M77" s="78"/>
      <c r="N77" s="55">
        <v>0</v>
      </c>
      <c r="O77" s="86"/>
      <c r="P77" s="55">
        <v>0</v>
      </c>
      <c r="Q77" s="86"/>
      <c r="R77" s="77"/>
      <c r="S77" s="78"/>
      <c r="T77" s="77"/>
      <c r="U77" s="86"/>
      <c r="V77" s="77"/>
      <c r="W77" s="86"/>
      <c r="X77" s="77"/>
      <c r="Y77" s="78"/>
      <c r="Z77" s="77"/>
      <c r="AA77" s="86"/>
      <c r="AB77" s="77"/>
      <c r="AC77" s="86"/>
      <c r="AD77" s="77"/>
      <c r="AE77" s="78"/>
      <c r="AF77" s="77"/>
      <c r="AG77" s="86"/>
      <c r="AH77" s="77"/>
      <c r="AI77" s="86"/>
      <c r="AJ77" s="77"/>
      <c r="AK77" s="78"/>
      <c r="AL77" s="77"/>
      <c r="AM77" s="86"/>
      <c r="AN77" s="77"/>
      <c r="AO77" s="86"/>
      <c r="AP77" s="77"/>
      <c r="AQ77" s="78"/>
      <c r="AR77" s="77"/>
      <c r="AS77" s="86"/>
      <c r="AT77" s="77"/>
      <c r="AU77" s="86"/>
      <c r="AV77" s="77"/>
      <c r="AW77" s="78"/>
      <c r="AX77" s="77"/>
      <c r="AY77" s="86"/>
      <c r="AZ77" s="77"/>
      <c r="BA77" s="86"/>
      <c r="BB77" s="77"/>
      <c r="BC77" s="78"/>
      <c r="BD77" s="77"/>
      <c r="BE77" s="78"/>
    </row>
    <row r="78" ht="16.25" spans="1:57">
      <c r="A78" s="34"/>
      <c r="B78" s="35"/>
      <c r="C78" s="68" t="s">
        <v>342</v>
      </c>
      <c r="D78" s="56"/>
      <c r="E78" s="56"/>
      <c r="F78" s="67"/>
      <c r="G78" s="56"/>
      <c r="H78" s="91">
        <f>H77+H75+H73+H71+H69+H66+H64+H59+H52+H48+H46+H43+H40+H37+H35+H32+H26+H21+H17+H9+H7</f>
        <v>7.1590414</v>
      </c>
      <c r="I78" s="79"/>
      <c r="J78" s="91">
        <f>J77+J75+J73+J71+J69+J66+J64+J59+J52+J48+J46+J43+J40+J37+J35+J32+J26+J21+J17+J9+J7</f>
        <v>4.9654799</v>
      </c>
      <c r="K78" s="79"/>
      <c r="L78" s="80"/>
      <c r="M78" s="81"/>
      <c r="N78" s="91">
        <f>N77+N75+N73+N71+N69+N66+N64+N59+N52+N48+N46+N43+N40+N37+N35+N32+N26+N21+N17+N9+N7</f>
        <v>7.7651182</v>
      </c>
      <c r="O78" s="79"/>
      <c r="P78" s="91">
        <f>P77+P75+P73+P71+P69+P66+P64+P59+P52+P48+P46+P43+P40+P37+P35+P32+P26+P21+P17+P9+P7</f>
        <v>5.2715444</v>
      </c>
      <c r="Q78" s="79"/>
      <c r="R78" s="80"/>
      <c r="S78" s="81"/>
      <c r="T78" s="80"/>
      <c r="U78" s="79"/>
      <c r="V78" s="80"/>
      <c r="W78" s="79"/>
      <c r="X78" s="80"/>
      <c r="Y78" s="81"/>
      <c r="Z78" s="80"/>
      <c r="AA78" s="79"/>
      <c r="AB78" s="80"/>
      <c r="AC78" s="79"/>
      <c r="AD78" s="80"/>
      <c r="AE78" s="81"/>
      <c r="AF78" s="80"/>
      <c r="AG78" s="79"/>
      <c r="AH78" s="80"/>
      <c r="AI78" s="79"/>
      <c r="AJ78" s="80"/>
      <c r="AK78" s="81"/>
      <c r="AL78" s="80"/>
      <c r="AM78" s="79"/>
      <c r="AN78" s="80"/>
      <c r="AO78" s="79"/>
      <c r="AP78" s="80"/>
      <c r="AQ78" s="81"/>
      <c r="AR78" s="80"/>
      <c r="AS78" s="79"/>
      <c r="AT78" s="80"/>
      <c r="AU78" s="79"/>
      <c r="AV78" s="80"/>
      <c r="AW78" s="81"/>
      <c r="AX78" s="80"/>
      <c r="AY78" s="79"/>
      <c r="AZ78" s="80"/>
      <c r="BA78" s="79"/>
      <c r="BB78" s="80"/>
      <c r="BC78" s="81"/>
      <c r="BD78" s="80"/>
      <c r="BE78" s="81"/>
    </row>
    <row r="79" ht="20.1" customHeight="1" spans="1:57">
      <c r="A79" s="34"/>
      <c r="B79" s="35"/>
      <c r="C79" s="92"/>
      <c r="D79" s="64"/>
      <c r="E79" s="64"/>
      <c r="F79" s="93"/>
      <c r="G79" s="56"/>
      <c r="H79" s="94"/>
      <c r="I79" s="86"/>
      <c r="J79" s="77"/>
      <c r="K79" s="86"/>
      <c r="L79" s="77"/>
      <c r="M79" s="78"/>
      <c r="N79" s="77"/>
      <c r="O79" s="86"/>
      <c r="P79" s="77"/>
      <c r="Q79" s="86"/>
      <c r="R79" s="77"/>
      <c r="S79" s="78"/>
      <c r="T79" s="77"/>
      <c r="U79" s="86"/>
      <c r="V79" s="77"/>
      <c r="W79" s="86"/>
      <c r="X79" s="77"/>
      <c r="Y79" s="78"/>
      <c r="Z79" s="77"/>
      <c r="AA79" s="86"/>
      <c r="AB79" s="77"/>
      <c r="AC79" s="86"/>
      <c r="AD79" s="77"/>
      <c r="AE79" s="78"/>
      <c r="AF79" s="77"/>
      <c r="AG79" s="86"/>
      <c r="AH79" s="77"/>
      <c r="AI79" s="86"/>
      <c r="AJ79" s="77"/>
      <c r="AK79" s="78"/>
      <c r="AL79" s="77"/>
      <c r="AM79" s="86"/>
      <c r="AN79" s="77"/>
      <c r="AO79" s="86"/>
      <c r="AP79" s="77"/>
      <c r="AQ79" s="78"/>
      <c r="AR79" s="77"/>
      <c r="AS79" s="86"/>
      <c r="AT79" s="77"/>
      <c r="AU79" s="86"/>
      <c r="AV79" s="77"/>
      <c r="AW79" s="78"/>
      <c r="AX79" s="77"/>
      <c r="AY79" s="86"/>
      <c r="AZ79" s="77"/>
      <c r="BA79" s="86"/>
      <c r="BB79" s="77"/>
      <c r="BC79" s="78"/>
      <c r="BD79" s="77"/>
      <c r="BE79" s="78"/>
    </row>
    <row r="80" ht="20.1" customHeight="1" spans="1:57">
      <c r="A80" s="42"/>
      <c r="B80" s="43"/>
      <c r="C80" s="95"/>
      <c r="D80" s="49"/>
      <c r="E80" s="50"/>
      <c r="F80" s="71"/>
      <c r="G80" s="50"/>
      <c r="H80" s="94"/>
      <c r="I80" s="77"/>
      <c r="J80" s="77"/>
      <c r="K80" s="77"/>
      <c r="L80" s="77"/>
      <c r="M80" s="78"/>
      <c r="N80" s="77"/>
      <c r="O80" s="77"/>
      <c r="P80" s="77"/>
      <c r="Q80" s="77"/>
      <c r="R80" s="77"/>
      <c r="S80" s="78"/>
      <c r="T80" s="77"/>
      <c r="U80" s="77"/>
      <c r="V80" s="77"/>
      <c r="W80" s="77"/>
      <c r="X80" s="77"/>
      <c r="Y80" s="78"/>
      <c r="Z80" s="77"/>
      <c r="AA80" s="77"/>
      <c r="AB80" s="77"/>
      <c r="AC80" s="77"/>
      <c r="AD80" s="77"/>
      <c r="AE80" s="78"/>
      <c r="AF80" s="77"/>
      <c r="AG80" s="77"/>
      <c r="AH80" s="77"/>
      <c r="AI80" s="77"/>
      <c r="AJ80" s="77"/>
      <c r="AK80" s="78"/>
      <c r="AL80" s="77"/>
      <c r="AM80" s="77"/>
      <c r="AN80" s="77"/>
      <c r="AO80" s="77"/>
      <c r="AP80" s="77"/>
      <c r="AQ80" s="78"/>
      <c r="AR80" s="77"/>
      <c r="AS80" s="77"/>
      <c r="AT80" s="77"/>
      <c r="AU80" s="77"/>
      <c r="AV80" s="77"/>
      <c r="AW80" s="78"/>
      <c r="AX80" s="77"/>
      <c r="AY80" s="77"/>
      <c r="AZ80" s="77"/>
      <c r="BA80" s="77"/>
      <c r="BB80" s="77"/>
      <c r="BC80" s="78"/>
      <c r="BD80" s="77"/>
      <c r="BE80" s="89"/>
    </row>
    <row r="81" ht="20.1" customHeight="1" spans="1:57">
      <c r="A81" s="42"/>
      <c r="B81" s="43"/>
      <c r="C81" s="96"/>
      <c r="D81" s="64"/>
      <c r="E81" s="65"/>
      <c r="F81" s="65"/>
      <c r="G81" s="50"/>
      <c r="H81" s="94"/>
      <c r="I81" s="86"/>
      <c r="J81" s="77"/>
      <c r="K81" s="86"/>
      <c r="L81" s="77"/>
      <c r="M81" s="78"/>
      <c r="N81" s="77"/>
      <c r="O81" s="86"/>
      <c r="P81" s="77"/>
      <c r="Q81" s="86"/>
      <c r="R81" s="77"/>
      <c r="S81" s="78"/>
      <c r="T81" s="77"/>
      <c r="U81" s="86"/>
      <c r="V81" s="77"/>
      <c r="W81" s="86"/>
      <c r="X81" s="77"/>
      <c r="Y81" s="78"/>
      <c r="Z81" s="77"/>
      <c r="AA81" s="86"/>
      <c r="AB81" s="77"/>
      <c r="AC81" s="86"/>
      <c r="AD81" s="77"/>
      <c r="AE81" s="78"/>
      <c r="AF81" s="77"/>
      <c r="AG81" s="86"/>
      <c r="AH81" s="77"/>
      <c r="AI81" s="86"/>
      <c r="AJ81" s="77"/>
      <c r="AK81" s="78"/>
      <c r="AL81" s="77"/>
      <c r="AM81" s="86"/>
      <c r="AN81" s="77"/>
      <c r="AO81" s="86"/>
      <c r="AP81" s="77"/>
      <c r="AQ81" s="78"/>
      <c r="AR81" s="77"/>
      <c r="AS81" s="86"/>
      <c r="AT81" s="77"/>
      <c r="AU81" s="86"/>
      <c r="AV81" s="77"/>
      <c r="AW81" s="78"/>
      <c r="AX81" s="77"/>
      <c r="AY81" s="86"/>
      <c r="AZ81" s="77"/>
      <c r="BA81" s="86"/>
      <c r="BB81" s="77"/>
      <c r="BC81" s="78"/>
      <c r="BD81" s="77"/>
      <c r="BE81" s="78"/>
    </row>
    <row r="82" ht="20.1" customHeight="1" spans="1:57">
      <c r="A82" s="34"/>
      <c r="B82" s="35"/>
      <c r="C82" s="97"/>
      <c r="D82" s="56"/>
      <c r="E82" s="56"/>
      <c r="F82" s="67"/>
      <c r="G82" s="56"/>
      <c r="H82" s="98"/>
      <c r="I82" s="79"/>
      <c r="J82" s="80"/>
      <c r="K82" s="79"/>
      <c r="L82" s="80"/>
      <c r="M82" s="81"/>
      <c r="N82" s="80"/>
      <c r="O82" s="79"/>
      <c r="P82" s="80"/>
      <c r="Q82" s="79"/>
      <c r="R82" s="80"/>
      <c r="S82" s="81"/>
      <c r="T82" s="80"/>
      <c r="U82" s="79"/>
      <c r="V82" s="80"/>
      <c r="W82" s="79"/>
      <c r="X82" s="80"/>
      <c r="Y82" s="81"/>
      <c r="Z82" s="80"/>
      <c r="AA82" s="79"/>
      <c r="AB82" s="80"/>
      <c r="AC82" s="79"/>
      <c r="AD82" s="80"/>
      <c r="AE82" s="81"/>
      <c r="AF82" s="80"/>
      <c r="AG82" s="79"/>
      <c r="AH82" s="80"/>
      <c r="AI82" s="79"/>
      <c r="AJ82" s="80"/>
      <c r="AK82" s="81"/>
      <c r="AL82" s="80"/>
      <c r="AM82" s="79"/>
      <c r="AN82" s="80"/>
      <c r="AO82" s="79"/>
      <c r="AP82" s="80"/>
      <c r="AQ82" s="81"/>
      <c r="AR82" s="80"/>
      <c r="AS82" s="79"/>
      <c r="AT82" s="80"/>
      <c r="AU82" s="79"/>
      <c r="AV82" s="80"/>
      <c r="AW82" s="81"/>
      <c r="AX82" s="80"/>
      <c r="AY82" s="79"/>
      <c r="AZ82" s="80"/>
      <c r="BA82" s="79"/>
      <c r="BB82" s="80"/>
      <c r="BC82" s="81"/>
      <c r="BD82" s="80"/>
      <c r="BE82" s="81"/>
    </row>
    <row r="83" ht="20.1" customHeight="1" spans="1:57">
      <c r="A83" s="42"/>
      <c r="B83" s="43"/>
      <c r="C83" s="95"/>
      <c r="D83" s="49"/>
      <c r="E83" s="50"/>
      <c r="F83" s="71"/>
      <c r="G83" s="50"/>
      <c r="H83" s="94"/>
      <c r="I83" s="77"/>
      <c r="J83" s="77"/>
      <c r="K83" s="77"/>
      <c r="L83" s="77"/>
      <c r="M83" s="78"/>
      <c r="N83" s="77"/>
      <c r="O83" s="77"/>
      <c r="P83" s="77"/>
      <c r="Q83" s="77"/>
      <c r="R83" s="77"/>
      <c r="S83" s="78"/>
      <c r="T83" s="77"/>
      <c r="U83" s="77"/>
      <c r="V83" s="77"/>
      <c r="W83" s="77"/>
      <c r="X83" s="77"/>
      <c r="Y83" s="78"/>
      <c r="Z83" s="77"/>
      <c r="AA83" s="77"/>
      <c r="AB83" s="77"/>
      <c r="AC83" s="77"/>
      <c r="AD83" s="77"/>
      <c r="AE83" s="78"/>
      <c r="AF83" s="77"/>
      <c r="AG83" s="77"/>
      <c r="AH83" s="77"/>
      <c r="AI83" s="77"/>
      <c r="AJ83" s="77"/>
      <c r="AK83" s="78"/>
      <c r="AL83" s="77"/>
      <c r="AM83" s="77"/>
      <c r="AN83" s="77"/>
      <c r="AO83" s="77"/>
      <c r="AP83" s="77"/>
      <c r="AQ83" s="78"/>
      <c r="AR83" s="77"/>
      <c r="AS83" s="77"/>
      <c r="AT83" s="77"/>
      <c r="AU83" s="77"/>
      <c r="AV83" s="77"/>
      <c r="AW83" s="78"/>
      <c r="AX83" s="77"/>
      <c r="AY83" s="77"/>
      <c r="AZ83" s="77"/>
      <c r="BA83" s="77"/>
      <c r="BB83" s="77"/>
      <c r="BC83" s="78"/>
      <c r="BD83" s="77"/>
      <c r="BE83" s="89"/>
    </row>
    <row r="84" ht="20.1" customHeight="1" spans="1:57">
      <c r="A84" s="34"/>
      <c r="B84" s="35"/>
      <c r="C84" s="97"/>
      <c r="D84" s="56"/>
      <c r="E84" s="56"/>
      <c r="F84" s="57"/>
      <c r="G84" s="58"/>
      <c r="H84" s="98"/>
      <c r="I84" s="79"/>
      <c r="J84" s="80"/>
      <c r="K84" s="79"/>
      <c r="L84" s="80"/>
      <c r="M84" s="81"/>
      <c r="N84" s="80"/>
      <c r="O84" s="79"/>
      <c r="P84" s="80"/>
      <c r="Q84" s="79"/>
      <c r="R84" s="80"/>
      <c r="S84" s="81"/>
      <c r="T84" s="80"/>
      <c r="U84" s="79"/>
      <c r="V84" s="80"/>
      <c r="W84" s="79"/>
      <c r="X84" s="80"/>
      <c r="Y84" s="81"/>
      <c r="Z84" s="80"/>
      <c r="AA84" s="79"/>
      <c r="AB84" s="80"/>
      <c r="AC84" s="79"/>
      <c r="AD84" s="80"/>
      <c r="AE84" s="81"/>
      <c r="AF84" s="80"/>
      <c r="AG84" s="79"/>
      <c r="AH84" s="80"/>
      <c r="AI84" s="79"/>
      <c r="AJ84" s="80"/>
      <c r="AK84" s="81"/>
      <c r="AL84" s="80"/>
      <c r="AM84" s="79"/>
      <c r="AN84" s="80"/>
      <c r="AO84" s="79"/>
      <c r="AP84" s="80"/>
      <c r="AQ84" s="81"/>
      <c r="AR84" s="80"/>
      <c r="AS84" s="79"/>
      <c r="AT84" s="80"/>
      <c r="AU84" s="79"/>
      <c r="AV84" s="80"/>
      <c r="AW84" s="81"/>
      <c r="AX84" s="80"/>
      <c r="AY84" s="79"/>
      <c r="AZ84" s="80"/>
      <c r="BA84" s="79"/>
      <c r="BB84" s="80"/>
      <c r="BC84" s="81"/>
      <c r="BD84" s="80"/>
      <c r="BE84" s="81"/>
    </row>
    <row r="85" ht="20.1" customHeight="1" spans="1:57">
      <c r="A85" s="42"/>
      <c r="B85" s="43"/>
      <c r="C85" s="95"/>
      <c r="D85" s="49"/>
      <c r="E85" s="50"/>
      <c r="F85" s="52"/>
      <c r="G85" s="53"/>
      <c r="H85" s="94"/>
      <c r="I85" s="77"/>
      <c r="J85" s="77"/>
      <c r="K85" s="77"/>
      <c r="L85" s="77"/>
      <c r="M85" s="78"/>
      <c r="N85" s="77"/>
      <c r="O85" s="77"/>
      <c r="P85" s="77"/>
      <c r="Q85" s="77"/>
      <c r="R85" s="77"/>
      <c r="S85" s="78"/>
      <c r="T85" s="77"/>
      <c r="U85" s="77"/>
      <c r="V85" s="77"/>
      <c r="W85" s="77"/>
      <c r="X85" s="77"/>
      <c r="Y85" s="78"/>
      <c r="Z85" s="77"/>
      <c r="AA85" s="77"/>
      <c r="AB85" s="77"/>
      <c r="AC85" s="77"/>
      <c r="AD85" s="77"/>
      <c r="AE85" s="78"/>
      <c r="AF85" s="77"/>
      <c r="AG85" s="77"/>
      <c r="AH85" s="77"/>
      <c r="AI85" s="77"/>
      <c r="AJ85" s="77"/>
      <c r="AK85" s="78"/>
      <c r="AL85" s="77"/>
      <c r="AM85" s="77"/>
      <c r="AN85" s="77"/>
      <c r="AO85" s="77"/>
      <c r="AP85" s="77"/>
      <c r="AQ85" s="78"/>
      <c r="AR85" s="77"/>
      <c r="AS85" s="77"/>
      <c r="AT85" s="77"/>
      <c r="AU85" s="77"/>
      <c r="AV85" s="77"/>
      <c r="AW85" s="78"/>
      <c r="AX85" s="77"/>
      <c r="AY85" s="77"/>
      <c r="AZ85" s="77"/>
      <c r="BA85" s="77"/>
      <c r="BB85" s="77"/>
      <c r="BC85" s="78"/>
      <c r="BD85" s="77"/>
      <c r="BE85" s="89"/>
    </row>
    <row r="86" ht="20.1" customHeight="1" spans="1:57">
      <c r="A86" s="34"/>
      <c r="B86" s="35"/>
      <c r="C86" s="97"/>
      <c r="D86" s="56"/>
      <c r="E86" s="56"/>
      <c r="F86" s="57"/>
      <c r="G86" s="58"/>
      <c r="H86" s="98"/>
      <c r="I86" s="79"/>
      <c r="J86" s="80"/>
      <c r="K86" s="79"/>
      <c r="L86" s="80"/>
      <c r="M86" s="81"/>
      <c r="N86" s="80"/>
      <c r="O86" s="79"/>
      <c r="P86" s="80"/>
      <c r="Q86" s="79"/>
      <c r="R86" s="80"/>
      <c r="S86" s="81"/>
      <c r="T86" s="80"/>
      <c r="U86" s="79"/>
      <c r="V86" s="80"/>
      <c r="W86" s="79"/>
      <c r="X86" s="80"/>
      <c r="Y86" s="81"/>
      <c r="Z86" s="80"/>
      <c r="AA86" s="79"/>
      <c r="AB86" s="80"/>
      <c r="AC86" s="79"/>
      <c r="AD86" s="80"/>
      <c r="AE86" s="81"/>
      <c r="AF86" s="80"/>
      <c r="AG86" s="79"/>
      <c r="AH86" s="80"/>
      <c r="AI86" s="79"/>
      <c r="AJ86" s="80"/>
      <c r="AK86" s="81"/>
      <c r="AL86" s="80"/>
      <c r="AM86" s="79"/>
      <c r="AN86" s="80"/>
      <c r="AO86" s="79"/>
      <c r="AP86" s="80"/>
      <c r="AQ86" s="81"/>
      <c r="AR86" s="80"/>
      <c r="AS86" s="79"/>
      <c r="AT86" s="80"/>
      <c r="AU86" s="79"/>
      <c r="AV86" s="80"/>
      <c r="AW86" s="81"/>
      <c r="AX86" s="80"/>
      <c r="AY86" s="79"/>
      <c r="AZ86" s="80"/>
      <c r="BA86" s="79"/>
      <c r="BB86" s="80"/>
      <c r="BC86" s="81"/>
      <c r="BD86" s="80"/>
      <c r="BE86" s="81"/>
    </row>
    <row r="87" ht="20.1" customHeight="1" spans="1:57">
      <c r="A87" s="42"/>
      <c r="B87" s="43"/>
      <c r="C87" s="95"/>
      <c r="D87" s="49"/>
      <c r="E87" s="50"/>
      <c r="F87" s="47"/>
      <c r="G87" s="50"/>
      <c r="H87" s="94"/>
      <c r="I87" s="77"/>
      <c r="J87" s="77"/>
      <c r="K87" s="77"/>
      <c r="L87" s="77"/>
      <c r="M87" s="78"/>
      <c r="N87" s="77"/>
      <c r="O87" s="77"/>
      <c r="P87" s="77"/>
      <c r="Q87" s="77"/>
      <c r="R87" s="77"/>
      <c r="S87" s="78"/>
      <c r="T87" s="77"/>
      <c r="U87" s="77"/>
      <c r="V87" s="77"/>
      <c r="W87" s="77"/>
      <c r="X87" s="77"/>
      <c r="Y87" s="78"/>
      <c r="Z87" s="77"/>
      <c r="AA87" s="77"/>
      <c r="AB87" s="77"/>
      <c r="AC87" s="77"/>
      <c r="AD87" s="77"/>
      <c r="AE87" s="78"/>
      <c r="AF87" s="77"/>
      <c r="AG87" s="77"/>
      <c r="AH87" s="77"/>
      <c r="AI87" s="77"/>
      <c r="AJ87" s="77"/>
      <c r="AK87" s="78"/>
      <c r="AL87" s="77"/>
      <c r="AM87" s="77"/>
      <c r="AN87" s="77"/>
      <c r="AO87" s="77"/>
      <c r="AP87" s="77"/>
      <c r="AQ87" s="78"/>
      <c r="AR87" s="77"/>
      <c r="AS87" s="77"/>
      <c r="AT87" s="77"/>
      <c r="AU87" s="77"/>
      <c r="AV87" s="77"/>
      <c r="AW87" s="78"/>
      <c r="AX87" s="77"/>
      <c r="AY87" s="77"/>
      <c r="AZ87" s="77"/>
      <c r="BA87" s="77"/>
      <c r="BB87" s="77"/>
      <c r="BC87" s="78"/>
      <c r="BD87" s="77"/>
      <c r="BE87" s="89"/>
    </row>
    <row r="88" ht="20.1" customHeight="1" spans="1:57">
      <c r="A88" s="42"/>
      <c r="B88" s="43"/>
      <c r="C88" s="95"/>
      <c r="D88" s="49"/>
      <c r="E88" s="50"/>
      <c r="F88" s="52"/>
      <c r="G88" s="53"/>
      <c r="H88" s="94"/>
      <c r="I88" s="77"/>
      <c r="J88" s="77"/>
      <c r="K88" s="77"/>
      <c r="L88" s="77"/>
      <c r="M88" s="78"/>
      <c r="N88" s="77"/>
      <c r="O88" s="77"/>
      <c r="P88" s="77"/>
      <c r="Q88" s="77"/>
      <c r="R88" s="77"/>
      <c r="S88" s="78"/>
      <c r="T88" s="77"/>
      <c r="U88" s="77"/>
      <c r="V88" s="77"/>
      <c r="W88" s="77"/>
      <c r="X88" s="77"/>
      <c r="Y88" s="78"/>
      <c r="Z88" s="77"/>
      <c r="AA88" s="77"/>
      <c r="AB88" s="77"/>
      <c r="AC88" s="77"/>
      <c r="AD88" s="77"/>
      <c r="AE88" s="78"/>
      <c r="AF88" s="77"/>
      <c r="AG88" s="77"/>
      <c r="AH88" s="77"/>
      <c r="AI88" s="77"/>
      <c r="AJ88" s="77"/>
      <c r="AK88" s="78"/>
      <c r="AL88" s="77"/>
      <c r="AM88" s="77"/>
      <c r="AN88" s="77"/>
      <c r="AO88" s="77"/>
      <c r="AP88" s="77"/>
      <c r="AQ88" s="78"/>
      <c r="AR88" s="77"/>
      <c r="AS88" s="77"/>
      <c r="AT88" s="77"/>
      <c r="AU88" s="77"/>
      <c r="AV88" s="77"/>
      <c r="AW88" s="78"/>
      <c r="AX88" s="77"/>
      <c r="AY88" s="77"/>
      <c r="AZ88" s="77"/>
      <c r="BA88" s="77"/>
      <c r="BB88" s="77"/>
      <c r="BC88" s="78"/>
      <c r="BD88" s="77"/>
      <c r="BE88" s="89"/>
    </row>
    <row r="89" ht="20.1" customHeight="1" spans="1:57">
      <c r="A89" s="34"/>
      <c r="B89" s="35"/>
      <c r="C89" s="97"/>
      <c r="D89" s="56"/>
      <c r="E89" s="56"/>
      <c r="F89" s="57"/>
      <c r="G89" s="58"/>
      <c r="H89" s="98"/>
      <c r="I89" s="79"/>
      <c r="J89" s="80"/>
      <c r="K89" s="79"/>
      <c r="L89" s="80"/>
      <c r="M89" s="81"/>
      <c r="N89" s="80"/>
      <c r="O89" s="79"/>
      <c r="P89" s="80"/>
      <c r="Q89" s="79"/>
      <c r="R89" s="80"/>
      <c r="S89" s="81"/>
      <c r="T89" s="80"/>
      <c r="U89" s="79"/>
      <c r="V89" s="80"/>
      <c r="W89" s="79"/>
      <c r="X89" s="80"/>
      <c r="Y89" s="81"/>
      <c r="Z89" s="80"/>
      <c r="AA89" s="79"/>
      <c r="AB89" s="80"/>
      <c r="AC89" s="79"/>
      <c r="AD89" s="80"/>
      <c r="AE89" s="81"/>
      <c r="AF89" s="80"/>
      <c r="AG89" s="79"/>
      <c r="AH89" s="80"/>
      <c r="AI89" s="79"/>
      <c r="AJ89" s="80"/>
      <c r="AK89" s="81"/>
      <c r="AL89" s="80"/>
      <c r="AM89" s="79"/>
      <c r="AN89" s="80"/>
      <c r="AO89" s="79"/>
      <c r="AP89" s="80"/>
      <c r="AQ89" s="81"/>
      <c r="AR89" s="80"/>
      <c r="AS89" s="79"/>
      <c r="AT89" s="80"/>
      <c r="AU89" s="79"/>
      <c r="AV89" s="80"/>
      <c r="AW89" s="81"/>
      <c r="AX89" s="80"/>
      <c r="AY89" s="79"/>
      <c r="AZ89" s="80"/>
      <c r="BA89" s="79"/>
      <c r="BB89" s="80"/>
      <c r="BC89" s="81"/>
      <c r="BD89" s="80"/>
      <c r="BE89" s="81"/>
    </row>
    <row r="90" ht="20.1" customHeight="1" spans="1:57">
      <c r="A90" s="42"/>
      <c r="B90" s="43"/>
      <c r="C90" s="95"/>
      <c r="D90" s="49"/>
      <c r="E90" s="50"/>
      <c r="F90" s="71"/>
      <c r="G90" s="50"/>
      <c r="H90" s="94"/>
      <c r="I90" s="77"/>
      <c r="J90" s="77"/>
      <c r="K90" s="77"/>
      <c r="L90" s="77"/>
      <c r="M90" s="78"/>
      <c r="N90" s="77"/>
      <c r="O90" s="77"/>
      <c r="P90" s="77"/>
      <c r="Q90" s="77"/>
      <c r="R90" s="77"/>
      <c r="S90" s="78"/>
      <c r="T90" s="77"/>
      <c r="U90" s="77"/>
      <c r="V90" s="77"/>
      <c r="W90" s="77"/>
      <c r="X90" s="77"/>
      <c r="Y90" s="78"/>
      <c r="Z90" s="77"/>
      <c r="AA90" s="77"/>
      <c r="AB90" s="77"/>
      <c r="AC90" s="77"/>
      <c r="AD90" s="77"/>
      <c r="AE90" s="78"/>
      <c r="AF90" s="77"/>
      <c r="AG90" s="77"/>
      <c r="AH90" s="77"/>
      <c r="AI90" s="77"/>
      <c r="AJ90" s="77"/>
      <c r="AK90" s="78"/>
      <c r="AL90" s="77"/>
      <c r="AM90" s="77"/>
      <c r="AN90" s="77"/>
      <c r="AO90" s="77"/>
      <c r="AP90" s="77"/>
      <c r="AQ90" s="78"/>
      <c r="AR90" s="77"/>
      <c r="AS90" s="77"/>
      <c r="AT90" s="77"/>
      <c r="AU90" s="77"/>
      <c r="AV90" s="77"/>
      <c r="AW90" s="78"/>
      <c r="AX90" s="77"/>
      <c r="AY90" s="77"/>
      <c r="AZ90" s="77"/>
      <c r="BA90" s="77"/>
      <c r="BB90" s="77"/>
      <c r="BC90" s="78"/>
      <c r="BD90" s="77"/>
      <c r="BE90" s="89"/>
    </row>
    <row r="91" ht="20.1" customHeight="1" spans="1:57">
      <c r="A91" s="34"/>
      <c r="B91" s="35"/>
      <c r="C91" s="97"/>
      <c r="D91" s="56"/>
      <c r="E91" s="56"/>
      <c r="F91" s="57"/>
      <c r="G91" s="58"/>
      <c r="H91" s="98"/>
      <c r="I91" s="79"/>
      <c r="J91" s="80"/>
      <c r="K91" s="79"/>
      <c r="L91" s="80"/>
      <c r="M91" s="81"/>
      <c r="N91" s="80"/>
      <c r="O91" s="79"/>
      <c r="P91" s="80"/>
      <c r="Q91" s="79"/>
      <c r="R91" s="80"/>
      <c r="S91" s="81"/>
      <c r="T91" s="80"/>
      <c r="U91" s="79"/>
      <c r="V91" s="80"/>
      <c r="W91" s="79"/>
      <c r="X91" s="80"/>
      <c r="Y91" s="81"/>
      <c r="Z91" s="80"/>
      <c r="AA91" s="79"/>
      <c r="AB91" s="80"/>
      <c r="AC91" s="79"/>
      <c r="AD91" s="80"/>
      <c r="AE91" s="81"/>
      <c r="AF91" s="80"/>
      <c r="AG91" s="79"/>
      <c r="AH91" s="80"/>
      <c r="AI91" s="79"/>
      <c r="AJ91" s="80"/>
      <c r="AK91" s="81"/>
      <c r="AL91" s="80"/>
      <c r="AM91" s="79"/>
      <c r="AN91" s="80"/>
      <c r="AO91" s="79"/>
      <c r="AP91" s="80"/>
      <c r="AQ91" s="81"/>
      <c r="AR91" s="80"/>
      <c r="AS91" s="79"/>
      <c r="AT91" s="80"/>
      <c r="AU91" s="79"/>
      <c r="AV91" s="80"/>
      <c r="AW91" s="81"/>
      <c r="AX91" s="80"/>
      <c r="AY91" s="79"/>
      <c r="AZ91" s="80"/>
      <c r="BA91" s="79"/>
      <c r="BB91" s="80"/>
      <c r="BC91" s="81"/>
      <c r="BD91" s="80"/>
      <c r="BE91" s="81"/>
    </row>
    <row r="92" ht="20.1" customHeight="1" spans="1:57">
      <c r="A92" s="42"/>
      <c r="B92" s="43"/>
      <c r="C92" s="95"/>
      <c r="D92" s="49"/>
      <c r="E92" s="50"/>
      <c r="F92" s="52"/>
      <c r="G92" s="53"/>
      <c r="H92" s="94"/>
      <c r="I92" s="77"/>
      <c r="J92" s="77"/>
      <c r="K92" s="77"/>
      <c r="L92" s="77"/>
      <c r="M92" s="78"/>
      <c r="N92" s="77"/>
      <c r="O92" s="77"/>
      <c r="P92" s="77"/>
      <c r="Q92" s="77"/>
      <c r="R92" s="77"/>
      <c r="S92" s="78"/>
      <c r="T92" s="77"/>
      <c r="U92" s="77"/>
      <c r="V92" s="77"/>
      <c r="W92" s="77"/>
      <c r="X92" s="77"/>
      <c r="Y92" s="78"/>
      <c r="Z92" s="77"/>
      <c r="AA92" s="77"/>
      <c r="AB92" s="77"/>
      <c r="AC92" s="77"/>
      <c r="AD92" s="77"/>
      <c r="AE92" s="78"/>
      <c r="AF92" s="77"/>
      <c r="AG92" s="77"/>
      <c r="AH92" s="77"/>
      <c r="AI92" s="77"/>
      <c r="AJ92" s="77"/>
      <c r="AK92" s="78"/>
      <c r="AL92" s="77"/>
      <c r="AM92" s="77"/>
      <c r="AN92" s="77"/>
      <c r="AO92" s="77"/>
      <c r="AP92" s="77"/>
      <c r="AQ92" s="78"/>
      <c r="AR92" s="77"/>
      <c r="AS92" s="77"/>
      <c r="AT92" s="77"/>
      <c r="AU92" s="77"/>
      <c r="AV92" s="77"/>
      <c r="AW92" s="78"/>
      <c r="AX92" s="77"/>
      <c r="AY92" s="77"/>
      <c r="AZ92" s="77"/>
      <c r="BA92" s="77"/>
      <c r="BB92" s="77"/>
      <c r="BC92" s="78"/>
      <c r="BD92" s="77"/>
      <c r="BE92" s="89"/>
    </row>
    <row r="93" ht="20.1" customHeight="1" spans="1:57">
      <c r="A93" s="42"/>
      <c r="B93" s="43"/>
      <c r="C93" s="95"/>
      <c r="D93" s="49"/>
      <c r="E93" s="50"/>
      <c r="F93" s="52"/>
      <c r="G93" s="53"/>
      <c r="H93" s="94"/>
      <c r="I93" s="77"/>
      <c r="J93" s="77"/>
      <c r="K93" s="77"/>
      <c r="L93" s="77"/>
      <c r="M93" s="78"/>
      <c r="N93" s="77"/>
      <c r="O93" s="77"/>
      <c r="P93" s="77"/>
      <c r="Q93" s="77"/>
      <c r="R93" s="77"/>
      <c r="S93" s="78"/>
      <c r="T93" s="77"/>
      <c r="U93" s="77"/>
      <c r="V93" s="77"/>
      <c r="W93" s="77"/>
      <c r="X93" s="77"/>
      <c r="Y93" s="78"/>
      <c r="Z93" s="77"/>
      <c r="AA93" s="77"/>
      <c r="AB93" s="77"/>
      <c r="AC93" s="77"/>
      <c r="AD93" s="77"/>
      <c r="AE93" s="78"/>
      <c r="AF93" s="77"/>
      <c r="AG93" s="77"/>
      <c r="AH93" s="77"/>
      <c r="AI93" s="77"/>
      <c r="AJ93" s="77"/>
      <c r="AK93" s="78"/>
      <c r="AL93" s="77"/>
      <c r="AM93" s="77"/>
      <c r="AN93" s="77"/>
      <c r="AO93" s="77"/>
      <c r="AP93" s="77"/>
      <c r="AQ93" s="78"/>
      <c r="AR93" s="77"/>
      <c r="AS93" s="77"/>
      <c r="AT93" s="77"/>
      <c r="AU93" s="77"/>
      <c r="AV93" s="77"/>
      <c r="AW93" s="78"/>
      <c r="AX93" s="77"/>
      <c r="AY93" s="77"/>
      <c r="AZ93" s="77"/>
      <c r="BA93" s="77"/>
      <c r="BB93" s="77"/>
      <c r="BC93" s="78"/>
      <c r="BD93" s="77"/>
      <c r="BE93" s="89"/>
    </row>
    <row r="94" ht="20.1" customHeight="1" spans="1:57">
      <c r="A94" s="42"/>
      <c r="B94" s="43"/>
      <c r="C94" s="95"/>
      <c r="D94" s="49"/>
      <c r="E94" s="50"/>
      <c r="F94" s="52"/>
      <c r="G94" s="53"/>
      <c r="H94" s="94"/>
      <c r="I94" s="77"/>
      <c r="J94" s="77"/>
      <c r="K94" s="77"/>
      <c r="L94" s="77"/>
      <c r="M94" s="78"/>
      <c r="N94" s="77"/>
      <c r="O94" s="77"/>
      <c r="P94" s="77"/>
      <c r="Q94" s="77"/>
      <c r="R94" s="77"/>
      <c r="S94" s="78"/>
      <c r="T94" s="77"/>
      <c r="U94" s="77"/>
      <c r="V94" s="77"/>
      <c r="W94" s="77"/>
      <c r="X94" s="77"/>
      <c r="Y94" s="78"/>
      <c r="Z94" s="77"/>
      <c r="AA94" s="77"/>
      <c r="AB94" s="77"/>
      <c r="AC94" s="77"/>
      <c r="AD94" s="77"/>
      <c r="AE94" s="78"/>
      <c r="AF94" s="77"/>
      <c r="AG94" s="77"/>
      <c r="AH94" s="77"/>
      <c r="AI94" s="77"/>
      <c r="AJ94" s="77"/>
      <c r="AK94" s="78"/>
      <c r="AL94" s="77"/>
      <c r="AM94" s="77"/>
      <c r="AN94" s="77"/>
      <c r="AO94" s="77"/>
      <c r="AP94" s="77"/>
      <c r="AQ94" s="78"/>
      <c r="AR94" s="77"/>
      <c r="AS94" s="77"/>
      <c r="AT94" s="77"/>
      <c r="AU94" s="77"/>
      <c r="AV94" s="77"/>
      <c r="AW94" s="78"/>
      <c r="AX94" s="77"/>
      <c r="AY94" s="77"/>
      <c r="AZ94" s="77"/>
      <c r="BA94" s="77"/>
      <c r="BB94" s="77"/>
      <c r="BC94" s="78"/>
      <c r="BD94" s="77"/>
      <c r="BE94" s="89"/>
    </row>
    <row r="95" ht="20.1" customHeight="1" spans="1:57">
      <c r="A95" s="34"/>
      <c r="B95" s="35"/>
      <c r="C95" s="97"/>
      <c r="D95" s="56"/>
      <c r="E95" s="56"/>
      <c r="F95" s="57"/>
      <c r="G95" s="58"/>
      <c r="H95" s="98"/>
      <c r="I95" s="79"/>
      <c r="J95" s="80"/>
      <c r="K95" s="79"/>
      <c r="L95" s="80"/>
      <c r="M95" s="81"/>
      <c r="N95" s="80"/>
      <c r="O95" s="79"/>
      <c r="P95" s="80"/>
      <c r="Q95" s="79"/>
      <c r="R95" s="80"/>
      <c r="S95" s="81"/>
      <c r="T95" s="80"/>
      <c r="U95" s="79"/>
      <c r="V95" s="80"/>
      <c r="W95" s="79"/>
      <c r="X95" s="80"/>
      <c r="Y95" s="81"/>
      <c r="Z95" s="80"/>
      <c r="AA95" s="79"/>
      <c r="AB95" s="80"/>
      <c r="AC95" s="79"/>
      <c r="AD95" s="80"/>
      <c r="AE95" s="81"/>
      <c r="AF95" s="80"/>
      <c r="AG95" s="79"/>
      <c r="AH95" s="80"/>
      <c r="AI95" s="79"/>
      <c r="AJ95" s="80"/>
      <c r="AK95" s="81"/>
      <c r="AL95" s="80"/>
      <c r="AM95" s="79"/>
      <c r="AN95" s="80"/>
      <c r="AO95" s="79"/>
      <c r="AP95" s="80"/>
      <c r="AQ95" s="81"/>
      <c r="AR95" s="80"/>
      <c r="AS95" s="79"/>
      <c r="AT95" s="80"/>
      <c r="AU95" s="79"/>
      <c r="AV95" s="80"/>
      <c r="AW95" s="81"/>
      <c r="AX95" s="80"/>
      <c r="AY95" s="79"/>
      <c r="AZ95" s="80"/>
      <c r="BA95" s="79"/>
      <c r="BB95" s="80"/>
      <c r="BC95" s="81"/>
      <c r="BD95" s="80"/>
      <c r="BE95" s="81"/>
    </row>
    <row r="96" ht="20.1" customHeight="1" spans="1:57">
      <c r="A96" s="42"/>
      <c r="B96" s="43"/>
      <c r="C96" s="95"/>
      <c r="D96" s="49"/>
      <c r="E96" s="50"/>
      <c r="F96" s="52"/>
      <c r="G96" s="53"/>
      <c r="H96" s="94"/>
      <c r="I96" s="77"/>
      <c r="J96" s="77"/>
      <c r="K96" s="77"/>
      <c r="L96" s="77"/>
      <c r="M96" s="78"/>
      <c r="N96" s="77"/>
      <c r="O96" s="77"/>
      <c r="P96" s="77"/>
      <c r="Q96" s="77"/>
      <c r="R96" s="77"/>
      <c r="S96" s="78"/>
      <c r="T96" s="77"/>
      <c r="U96" s="77"/>
      <c r="V96" s="77"/>
      <c r="W96" s="77"/>
      <c r="X96" s="77"/>
      <c r="Y96" s="78"/>
      <c r="Z96" s="77"/>
      <c r="AA96" s="77"/>
      <c r="AB96" s="77"/>
      <c r="AC96" s="77"/>
      <c r="AD96" s="77"/>
      <c r="AE96" s="78"/>
      <c r="AF96" s="77"/>
      <c r="AG96" s="77"/>
      <c r="AH96" s="77"/>
      <c r="AI96" s="77"/>
      <c r="AJ96" s="77"/>
      <c r="AK96" s="78"/>
      <c r="AL96" s="77"/>
      <c r="AM96" s="77"/>
      <c r="AN96" s="77"/>
      <c r="AO96" s="77"/>
      <c r="AP96" s="77"/>
      <c r="AQ96" s="78"/>
      <c r="AR96" s="77"/>
      <c r="AS96" s="77"/>
      <c r="AT96" s="77"/>
      <c r="AU96" s="77"/>
      <c r="AV96" s="77"/>
      <c r="AW96" s="78"/>
      <c r="AX96" s="77"/>
      <c r="AY96" s="77"/>
      <c r="AZ96" s="77"/>
      <c r="BA96" s="77"/>
      <c r="BB96" s="77"/>
      <c r="BC96" s="78"/>
      <c r="BD96" s="77"/>
      <c r="BE96" s="89"/>
    </row>
    <row r="97" ht="20.1" customHeight="1" spans="1:57">
      <c r="A97" s="42"/>
      <c r="B97" s="43"/>
      <c r="C97" s="95"/>
      <c r="D97" s="49"/>
      <c r="E97" s="50"/>
      <c r="F97" s="52"/>
      <c r="G97" s="53"/>
      <c r="H97" s="94"/>
      <c r="I97" s="77"/>
      <c r="J97" s="77"/>
      <c r="K97" s="77"/>
      <c r="L97" s="77"/>
      <c r="M97" s="78"/>
      <c r="N97" s="77"/>
      <c r="O97" s="77"/>
      <c r="P97" s="77"/>
      <c r="Q97" s="77"/>
      <c r="R97" s="77"/>
      <c r="S97" s="78"/>
      <c r="T97" s="77"/>
      <c r="U97" s="77"/>
      <c r="V97" s="77"/>
      <c r="W97" s="77"/>
      <c r="X97" s="77"/>
      <c r="Y97" s="78"/>
      <c r="Z97" s="77"/>
      <c r="AA97" s="77"/>
      <c r="AB97" s="77"/>
      <c r="AC97" s="77"/>
      <c r="AD97" s="77"/>
      <c r="AE97" s="78"/>
      <c r="AF97" s="77"/>
      <c r="AG97" s="77"/>
      <c r="AH97" s="77"/>
      <c r="AI97" s="77"/>
      <c r="AJ97" s="77"/>
      <c r="AK97" s="78"/>
      <c r="AL97" s="77"/>
      <c r="AM97" s="77"/>
      <c r="AN97" s="77"/>
      <c r="AO97" s="77"/>
      <c r="AP97" s="77"/>
      <c r="AQ97" s="78"/>
      <c r="AR97" s="77"/>
      <c r="AS97" s="77"/>
      <c r="AT97" s="77"/>
      <c r="AU97" s="77"/>
      <c r="AV97" s="77"/>
      <c r="AW97" s="78"/>
      <c r="AX97" s="77"/>
      <c r="AY97" s="77"/>
      <c r="AZ97" s="77"/>
      <c r="BA97" s="77"/>
      <c r="BB97" s="77"/>
      <c r="BC97" s="78"/>
      <c r="BD97" s="77"/>
      <c r="BE97" s="89"/>
    </row>
    <row r="98" ht="20.1" customHeight="1" spans="1:57">
      <c r="A98" s="42"/>
      <c r="B98" s="43"/>
      <c r="C98" s="95"/>
      <c r="D98" s="49"/>
      <c r="E98" s="50"/>
      <c r="F98" s="52"/>
      <c r="G98" s="53"/>
      <c r="H98" s="94"/>
      <c r="I98" s="77"/>
      <c r="J98" s="77"/>
      <c r="K98" s="77"/>
      <c r="L98" s="77"/>
      <c r="M98" s="78"/>
      <c r="N98" s="77"/>
      <c r="O98" s="77"/>
      <c r="P98" s="77"/>
      <c r="Q98" s="77"/>
      <c r="R98" s="77"/>
      <c r="S98" s="78"/>
      <c r="T98" s="77"/>
      <c r="U98" s="77"/>
      <c r="V98" s="77"/>
      <c r="W98" s="77"/>
      <c r="X98" s="77"/>
      <c r="Y98" s="78"/>
      <c r="Z98" s="77"/>
      <c r="AA98" s="77"/>
      <c r="AB98" s="77"/>
      <c r="AC98" s="77"/>
      <c r="AD98" s="77"/>
      <c r="AE98" s="78"/>
      <c r="AF98" s="77"/>
      <c r="AG98" s="77"/>
      <c r="AH98" s="77"/>
      <c r="AI98" s="77"/>
      <c r="AJ98" s="77"/>
      <c r="AK98" s="78"/>
      <c r="AL98" s="77"/>
      <c r="AM98" s="77"/>
      <c r="AN98" s="77"/>
      <c r="AO98" s="77"/>
      <c r="AP98" s="77"/>
      <c r="AQ98" s="78"/>
      <c r="AR98" s="77"/>
      <c r="AS98" s="77"/>
      <c r="AT98" s="77"/>
      <c r="AU98" s="77"/>
      <c r="AV98" s="77"/>
      <c r="AW98" s="78"/>
      <c r="AX98" s="77"/>
      <c r="AY98" s="77"/>
      <c r="AZ98" s="77"/>
      <c r="BA98" s="77"/>
      <c r="BB98" s="77"/>
      <c r="BC98" s="78"/>
      <c r="BD98" s="77"/>
      <c r="BE98" s="89"/>
    </row>
    <row r="99" ht="20.1" customHeight="1" spans="1:57">
      <c r="A99" s="42"/>
      <c r="B99" s="43"/>
      <c r="C99" s="95"/>
      <c r="D99" s="49"/>
      <c r="E99" s="50"/>
      <c r="F99" s="52"/>
      <c r="G99" s="53"/>
      <c r="H99" s="94"/>
      <c r="I99" s="77"/>
      <c r="J99" s="77"/>
      <c r="K99" s="77"/>
      <c r="L99" s="77"/>
      <c r="M99" s="78"/>
      <c r="N99" s="77"/>
      <c r="O99" s="77"/>
      <c r="P99" s="77"/>
      <c r="Q99" s="77"/>
      <c r="R99" s="77"/>
      <c r="S99" s="78"/>
      <c r="T99" s="77"/>
      <c r="U99" s="77"/>
      <c r="V99" s="77"/>
      <c r="W99" s="77"/>
      <c r="X99" s="77"/>
      <c r="Y99" s="78"/>
      <c r="Z99" s="77"/>
      <c r="AA99" s="77"/>
      <c r="AB99" s="77"/>
      <c r="AC99" s="77"/>
      <c r="AD99" s="77"/>
      <c r="AE99" s="78"/>
      <c r="AF99" s="77"/>
      <c r="AG99" s="77"/>
      <c r="AH99" s="77"/>
      <c r="AI99" s="77"/>
      <c r="AJ99" s="77"/>
      <c r="AK99" s="78"/>
      <c r="AL99" s="77"/>
      <c r="AM99" s="77"/>
      <c r="AN99" s="77"/>
      <c r="AO99" s="77"/>
      <c r="AP99" s="77"/>
      <c r="AQ99" s="78"/>
      <c r="AR99" s="77"/>
      <c r="AS99" s="77"/>
      <c r="AT99" s="77"/>
      <c r="AU99" s="77"/>
      <c r="AV99" s="77"/>
      <c r="AW99" s="78"/>
      <c r="AX99" s="77"/>
      <c r="AY99" s="77"/>
      <c r="AZ99" s="77"/>
      <c r="BA99" s="77"/>
      <c r="BB99" s="77"/>
      <c r="BC99" s="78"/>
      <c r="BD99" s="77"/>
      <c r="BE99" s="89"/>
    </row>
    <row r="100" ht="20.1" customHeight="1" spans="1:57">
      <c r="A100" s="42"/>
      <c r="B100" s="43"/>
      <c r="C100" s="95"/>
      <c r="D100" s="49"/>
      <c r="E100" s="50"/>
      <c r="F100" s="52"/>
      <c r="G100" s="53"/>
      <c r="H100" s="94"/>
      <c r="I100" s="77"/>
      <c r="J100" s="77"/>
      <c r="K100" s="77"/>
      <c r="L100" s="77"/>
      <c r="M100" s="78"/>
      <c r="N100" s="77"/>
      <c r="O100" s="77"/>
      <c r="P100" s="77"/>
      <c r="Q100" s="77"/>
      <c r="R100" s="77"/>
      <c r="S100" s="78"/>
      <c r="T100" s="77"/>
      <c r="U100" s="77"/>
      <c r="V100" s="77"/>
      <c r="W100" s="77"/>
      <c r="X100" s="77"/>
      <c r="Y100" s="78"/>
      <c r="Z100" s="77"/>
      <c r="AA100" s="77"/>
      <c r="AB100" s="77"/>
      <c r="AC100" s="77"/>
      <c r="AD100" s="77"/>
      <c r="AE100" s="78"/>
      <c r="AF100" s="77"/>
      <c r="AG100" s="77"/>
      <c r="AH100" s="77"/>
      <c r="AI100" s="77"/>
      <c r="AJ100" s="77"/>
      <c r="AK100" s="78"/>
      <c r="AL100" s="77"/>
      <c r="AM100" s="77"/>
      <c r="AN100" s="77"/>
      <c r="AO100" s="77"/>
      <c r="AP100" s="77"/>
      <c r="AQ100" s="78"/>
      <c r="AR100" s="77"/>
      <c r="AS100" s="77"/>
      <c r="AT100" s="77"/>
      <c r="AU100" s="77"/>
      <c r="AV100" s="77"/>
      <c r="AW100" s="78"/>
      <c r="AX100" s="77"/>
      <c r="AY100" s="77"/>
      <c r="AZ100" s="77"/>
      <c r="BA100" s="77"/>
      <c r="BB100" s="77"/>
      <c r="BC100" s="78"/>
      <c r="BD100" s="77"/>
      <c r="BE100" s="89"/>
    </row>
    <row r="101" ht="20.1" customHeight="1" spans="1:57">
      <c r="A101" s="42"/>
      <c r="B101" s="43"/>
      <c r="C101" s="95"/>
      <c r="D101" s="49"/>
      <c r="E101" s="50"/>
      <c r="F101" s="52"/>
      <c r="G101" s="53"/>
      <c r="H101" s="94"/>
      <c r="I101" s="77"/>
      <c r="J101" s="77"/>
      <c r="K101" s="77"/>
      <c r="L101" s="77"/>
      <c r="M101" s="78"/>
      <c r="N101" s="77"/>
      <c r="O101" s="77"/>
      <c r="P101" s="77"/>
      <c r="Q101" s="77"/>
      <c r="R101" s="77"/>
      <c r="S101" s="78"/>
      <c r="T101" s="77"/>
      <c r="U101" s="77"/>
      <c r="V101" s="77"/>
      <c r="W101" s="77"/>
      <c r="X101" s="77"/>
      <c r="Y101" s="78"/>
      <c r="Z101" s="77"/>
      <c r="AA101" s="77"/>
      <c r="AB101" s="77"/>
      <c r="AC101" s="77"/>
      <c r="AD101" s="77"/>
      <c r="AE101" s="78"/>
      <c r="AF101" s="77"/>
      <c r="AG101" s="77"/>
      <c r="AH101" s="77"/>
      <c r="AI101" s="77"/>
      <c r="AJ101" s="77"/>
      <c r="AK101" s="78"/>
      <c r="AL101" s="77"/>
      <c r="AM101" s="77"/>
      <c r="AN101" s="77"/>
      <c r="AO101" s="77"/>
      <c r="AP101" s="77"/>
      <c r="AQ101" s="78"/>
      <c r="AR101" s="77"/>
      <c r="AS101" s="77"/>
      <c r="AT101" s="77"/>
      <c r="AU101" s="77"/>
      <c r="AV101" s="77"/>
      <c r="AW101" s="78"/>
      <c r="AX101" s="77"/>
      <c r="AY101" s="77"/>
      <c r="AZ101" s="77"/>
      <c r="BA101" s="77"/>
      <c r="BB101" s="77"/>
      <c r="BC101" s="78"/>
      <c r="BD101" s="77"/>
      <c r="BE101" s="89"/>
    </row>
    <row r="102" ht="20.1" customHeight="1" spans="1:57">
      <c r="A102" s="34"/>
      <c r="B102" s="35"/>
      <c r="C102" s="97"/>
      <c r="D102" s="56"/>
      <c r="E102" s="56"/>
      <c r="F102" s="57"/>
      <c r="G102" s="58"/>
      <c r="H102" s="98"/>
      <c r="I102" s="79"/>
      <c r="J102" s="80"/>
      <c r="K102" s="79"/>
      <c r="L102" s="80"/>
      <c r="M102" s="81"/>
      <c r="N102" s="80"/>
      <c r="O102" s="79"/>
      <c r="P102" s="80"/>
      <c r="Q102" s="79"/>
      <c r="R102" s="80"/>
      <c r="S102" s="81"/>
      <c r="T102" s="80"/>
      <c r="U102" s="79"/>
      <c r="V102" s="80"/>
      <c r="W102" s="79"/>
      <c r="X102" s="80"/>
      <c r="Y102" s="81"/>
      <c r="Z102" s="80"/>
      <c r="AA102" s="79"/>
      <c r="AB102" s="80"/>
      <c r="AC102" s="79"/>
      <c r="AD102" s="80"/>
      <c r="AE102" s="81"/>
      <c r="AF102" s="80"/>
      <c r="AG102" s="79"/>
      <c r="AH102" s="118"/>
      <c r="AI102" s="79"/>
      <c r="AJ102" s="80"/>
      <c r="AK102" s="81"/>
      <c r="AL102" s="80"/>
      <c r="AM102" s="79"/>
      <c r="AN102" s="118"/>
      <c r="AO102" s="79"/>
      <c r="AP102" s="80"/>
      <c r="AQ102" s="81"/>
      <c r="AR102" s="80"/>
      <c r="AS102" s="79"/>
      <c r="AT102" s="118"/>
      <c r="AU102" s="79"/>
      <c r="AV102" s="80"/>
      <c r="AW102" s="81"/>
      <c r="AX102" s="80"/>
      <c r="AY102" s="79"/>
      <c r="AZ102" s="118"/>
      <c r="BA102" s="79"/>
      <c r="BB102" s="80"/>
      <c r="BC102" s="81"/>
      <c r="BD102" s="80"/>
      <c r="BE102" s="81"/>
    </row>
    <row r="103" ht="20.1" customHeight="1" spans="1:57">
      <c r="A103" s="42"/>
      <c r="B103" s="43"/>
      <c r="C103" s="95"/>
      <c r="D103" s="49"/>
      <c r="E103" s="50"/>
      <c r="F103" s="71"/>
      <c r="G103" s="50"/>
      <c r="H103" s="94"/>
      <c r="I103" s="77"/>
      <c r="J103" s="77"/>
      <c r="K103" s="77"/>
      <c r="L103" s="77"/>
      <c r="M103" s="78"/>
      <c r="N103" s="77"/>
      <c r="O103" s="77"/>
      <c r="P103" s="77"/>
      <c r="Q103" s="77"/>
      <c r="R103" s="77"/>
      <c r="S103" s="78"/>
      <c r="T103" s="77"/>
      <c r="U103" s="77"/>
      <c r="V103" s="77"/>
      <c r="W103" s="77"/>
      <c r="X103" s="77"/>
      <c r="Y103" s="78"/>
      <c r="Z103" s="77"/>
      <c r="AA103" s="77"/>
      <c r="AB103" s="77"/>
      <c r="AC103" s="77"/>
      <c r="AD103" s="77"/>
      <c r="AE103" s="78"/>
      <c r="AF103" s="77"/>
      <c r="AG103" s="77"/>
      <c r="AH103" s="77"/>
      <c r="AI103" s="77"/>
      <c r="AJ103" s="77"/>
      <c r="AK103" s="78"/>
      <c r="AL103" s="77"/>
      <c r="AM103" s="77"/>
      <c r="AN103" s="77"/>
      <c r="AO103" s="77"/>
      <c r="AP103" s="77"/>
      <c r="AQ103" s="78"/>
      <c r="AR103" s="77"/>
      <c r="AS103" s="77"/>
      <c r="AT103" s="77"/>
      <c r="AU103" s="77"/>
      <c r="AV103" s="77"/>
      <c r="AW103" s="78"/>
      <c r="AX103" s="77"/>
      <c r="AY103" s="77"/>
      <c r="AZ103" s="77"/>
      <c r="BA103" s="77"/>
      <c r="BB103" s="77"/>
      <c r="BC103" s="78"/>
      <c r="BD103" s="77"/>
      <c r="BE103" s="89"/>
    </row>
    <row r="104" ht="20.1" customHeight="1" spans="1:57">
      <c r="A104" s="34"/>
      <c r="B104" s="35"/>
      <c r="C104" s="97"/>
      <c r="D104" s="56"/>
      <c r="E104" s="56"/>
      <c r="F104" s="57"/>
      <c r="G104" s="58"/>
      <c r="H104" s="98"/>
      <c r="I104" s="79"/>
      <c r="J104" s="80"/>
      <c r="K104" s="79"/>
      <c r="L104" s="80"/>
      <c r="M104" s="81"/>
      <c r="N104" s="80"/>
      <c r="O104" s="79"/>
      <c r="P104" s="80"/>
      <c r="Q104" s="79"/>
      <c r="R104" s="80"/>
      <c r="S104" s="81"/>
      <c r="T104" s="80"/>
      <c r="U104" s="79"/>
      <c r="V104" s="80"/>
      <c r="W104" s="79"/>
      <c r="X104" s="80"/>
      <c r="Y104" s="81"/>
      <c r="Z104" s="80"/>
      <c r="AA104" s="79"/>
      <c r="AB104" s="80"/>
      <c r="AC104" s="79"/>
      <c r="AD104" s="80"/>
      <c r="AE104" s="81"/>
      <c r="AF104" s="80"/>
      <c r="AG104" s="79"/>
      <c r="AH104" s="80"/>
      <c r="AI104" s="79"/>
      <c r="AJ104" s="80"/>
      <c r="AK104" s="81"/>
      <c r="AL104" s="80"/>
      <c r="AM104" s="79"/>
      <c r="AN104" s="80"/>
      <c r="AO104" s="79"/>
      <c r="AP104" s="80"/>
      <c r="AQ104" s="81"/>
      <c r="AR104" s="80"/>
      <c r="AS104" s="79"/>
      <c r="AT104" s="80"/>
      <c r="AU104" s="79"/>
      <c r="AV104" s="80"/>
      <c r="AW104" s="81"/>
      <c r="AX104" s="80"/>
      <c r="AY104" s="79"/>
      <c r="AZ104" s="80"/>
      <c r="BA104" s="79"/>
      <c r="BB104" s="80"/>
      <c r="BC104" s="81"/>
      <c r="BD104" s="80"/>
      <c r="BE104" s="81"/>
    </row>
    <row r="105" ht="20.1" customHeight="1" spans="1:57">
      <c r="A105" s="42"/>
      <c r="B105" s="43"/>
      <c r="C105" s="95"/>
      <c r="D105" s="49"/>
      <c r="E105" s="50"/>
      <c r="F105" s="52"/>
      <c r="G105" s="53"/>
      <c r="H105" s="94"/>
      <c r="I105" s="77"/>
      <c r="J105" s="77"/>
      <c r="K105" s="77"/>
      <c r="L105" s="77"/>
      <c r="M105" s="78"/>
      <c r="N105" s="77"/>
      <c r="O105" s="77"/>
      <c r="P105" s="77"/>
      <c r="Q105" s="77"/>
      <c r="R105" s="77"/>
      <c r="S105" s="78"/>
      <c r="T105" s="77"/>
      <c r="U105" s="77"/>
      <c r="V105" s="77"/>
      <c r="W105" s="77"/>
      <c r="X105" s="77"/>
      <c r="Y105" s="78"/>
      <c r="Z105" s="77"/>
      <c r="AA105" s="77"/>
      <c r="AB105" s="77"/>
      <c r="AC105" s="77"/>
      <c r="AD105" s="77"/>
      <c r="AE105" s="78"/>
      <c r="AF105" s="77"/>
      <c r="AG105" s="77"/>
      <c r="AH105" s="77"/>
      <c r="AI105" s="77"/>
      <c r="AJ105" s="77"/>
      <c r="AK105" s="78"/>
      <c r="AL105" s="77"/>
      <c r="AM105" s="77"/>
      <c r="AN105" s="77"/>
      <c r="AO105" s="77"/>
      <c r="AP105" s="77"/>
      <c r="AQ105" s="78"/>
      <c r="AR105" s="77"/>
      <c r="AS105" s="77"/>
      <c r="AT105" s="77"/>
      <c r="AU105" s="77"/>
      <c r="AV105" s="77"/>
      <c r="AW105" s="78"/>
      <c r="AX105" s="77"/>
      <c r="AY105" s="77"/>
      <c r="AZ105" s="77"/>
      <c r="BA105" s="77"/>
      <c r="BB105" s="77"/>
      <c r="BC105" s="78"/>
      <c r="BD105" s="77"/>
      <c r="BE105" s="89"/>
    </row>
    <row r="106" ht="20.1" customHeight="1" spans="1:57">
      <c r="A106" s="34"/>
      <c r="B106" s="35"/>
      <c r="C106" s="97"/>
      <c r="D106" s="56"/>
      <c r="E106" s="56"/>
      <c r="F106" s="57"/>
      <c r="G106" s="58"/>
      <c r="H106" s="98"/>
      <c r="I106" s="79"/>
      <c r="J106" s="80"/>
      <c r="K106" s="79"/>
      <c r="L106" s="80"/>
      <c r="M106" s="81"/>
      <c r="N106" s="80"/>
      <c r="O106" s="79"/>
      <c r="P106" s="80"/>
      <c r="Q106" s="79"/>
      <c r="R106" s="80"/>
      <c r="S106" s="81"/>
      <c r="T106" s="80"/>
      <c r="U106" s="79"/>
      <c r="V106" s="80"/>
      <c r="W106" s="79"/>
      <c r="X106" s="80"/>
      <c r="Y106" s="81"/>
      <c r="Z106" s="80"/>
      <c r="AA106" s="79"/>
      <c r="AB106" s="80"/>
      <c r="AC106" s="79"/>
      <c r="AD106" s="80"/>
      <c r="AE106" s="81"/>
      <c r="AF106" s="80"/>
      <c r="AG106" s="79"/>
      <c r="AH106" s="80"/>
      <c r="AI106" s="79"/>
      <c r="AJ106" s="80"/>
      <c r="AK106" s="81"/>
      <c r="AL106" s="80"/>
      <c r="AM106" s="79"/>
      <c r="AN106" s="80"/>
      <c r="AO106" s="79"/>
      <c r="AP106" s="80"/>
      <c r="AQ106" s="81"/>
      <c r="AR106" s="80"/>
      <c r="AS106" s="79"/>
      <c r="AT106" s="80"/>
      <c r="AU106" s="79"/>
      <c r="AV106" s="80"/>
      <c r="AW106" s="81"/>
      <c r="AX106" s="80"/>
      <c r="AY106" s="79"/>
      <c r="AZ106" s="80"/>
      <c r="BA106" s="79"/>
      <c r="BB106" s="80"/>
      <c r="BC106" s="81"/>
      <c r="BD106" s="80"/>
      <c r="BE106" s="81"/>
    </row>
    <row r="107" ht="20.1" customHeight="1" spans="1:57">
      <c r="A107" s="42"/>
      <c r="B107" s="43"/>
      <c r="C107" s="95"/>
      <c r="D107" s="49"/>
      <c r="E107" s="50"/>
      <c r="F107" s="52"/>
      <c r="G107" s="53"/>
      <c r="H107" s="94"/>
      <c r="I107" s="77"/>
      <c r="J107" s="77"/>
      <c r="K107" s="77"/>
      <c r="L107" s="77"/>
      <c r="M107" s="78"/>
      <c r="N107" s="77"/>
      <c r="O107" s="77"/>
      <c r="P107" s="77"/>
      <c r="Q107" s="77"/>
      <c r="R107" s="77"/>
      <c r="S107" s="78"/>
      <c r="T107" s="77"/>
      <c r="U107" s="77"/>
      <c r="V107" s="77"/>
      <c r="W107" s="77"/>
      <c r="X107" s="77"/>
      <c r="Y107" s="78"/>
      <c r="Z107" s="77"/>
      <c r="AA107" s="77"/>
      <c r="AB107" s="77"/>
      <c r="AC107" s="77"/>
      <c r="AD107" s="77"/>
      <c r="AE107" s="78"/>
      <c r="AF107" s="77"/>
      <c r="AG107" s="77"/>
      <c r="AH107" s="77"/>
      <c r="AI107" s="77"/>
      <c r="AJ107" s="77"/>
      <c r="AK107" s="78"/>
      <c r="AL107" s="77"/>
      <c r="AM107" s="77"/>
      <c r="AN107" s="77"/>
      <c r="AO107" s="77"/>
      <c r="AP107" s="77"/>
      <c r="AQ107" s="78"/>
      <c r="AR107" s="77"/>
      <c r="AS107" s="77"/>
      <c r="AT107" s="77"/>
      <c r="AU107" s="77"/>
      <c r="AV107" s="77"/>
      <c r="AW107" s="78"/>
      <c r="AX107" s="77"/>
      <c r="AY107" s="77"/>
      <c r="AZ107" s="77"/>
      <c r="BA107" s="77"/>
      <c r="BB107" s="77"/>
      <c r="BC107" s="78"/>
      <c r="BD107" s="77"/>
      <c r="BE107" s="89"/>
    </row>
    <row r="108" ht="20.1" customHeight="1" spans="1:57">
      <c r="A108" s="42"/>
      <c r="B108" s="43"/>
      <c r="C108" s="95"/>
      <c r="D108" s="49"/>
      <c r="E108" s="50"/>
      <c r="F108" s="52"/>
      <c r="G108" s="53"/>
      <c r="H108" s="94"/>
      <c r="I108" s="77"/>
      <c r="J108" s="77"/>
      <c r="K108" s="77"/>
      <c r="L108" s="77"/>
      <c r="M108" s="78"/>
      <c r="N108" s="77"/>
      <c r="O108" s="77"/>
      <c r="P108" s="77"/>
      <c r="Q108" s="77"/>
      <c r="R108" s="77"/>
      <c r="S108" s="78"/>
      <c r="T108" s="77"/>
      <c r="U108" s="77"/>
      <c r="V108" s="77"/>
      <c r="W108" s="77"/>
      <c r="X108" s="77"/>
      <c r="Y108" s="78"/>
      <c r="Z108" s="77"/>
      <c r="AA108" s="77"/>
      <c r="AB108" s="77"/>
      <c r="AC108" s="77"/>
      <c r="AD108" s="77"/>
      <c r="AE108" s="78"/>
      <c r="AF108" s="77"/>
      <c r="AG108" s="77"/>
      <c r="AH108" s="77"/>
      <c r="AI108" s="77"/>
      <c r="AJ108" s="77"/>
      <c r="AK108" s="78"/>
      <c r="AL108" s="77"/>
      <c r="AM108" s="77"/>
      <c r="AN108" s="77"/>
      <c r="AO108" s="77"/>
      <c r="AP108" s="77"/>
      <c r="AQ108" s="78"/>
      <c r="AR108" s="77"/>
      <c r="AS108" s="77"/>
      <c r="AT108" s="77"/>
      <c r="AU108" s="77"/>
      <c r="AV108" s="77"/>
      <c r="AW108" s="78"/>
      <c r="AX108" s="77"/>
      <c r="AY108" s="77"/>
      <c r="AZ108" s="77"/>
      <c r="BA108" s="77"/>
      <c r="BB108" s="77"/>
      <c r="BC108" s="78"/>
      <c r="BD108" s="77"/>
      <c r="BE108" s="89"/>
    </row>
    <row r="109" ht="20.1" customHeight="1" spans="1:57">
      <c r="A109" s="34"/>
      <c r="B109" s="35"/>
      <c r="C109" s="97"/>
      <c r="D109" s="56"/>
      <c r="E109" s="56"/>
      <c r="F109" s="57"/>
      <c r="G109" s="58"/>
      <c r="H109" s="98"/>
      <c r="I109" s="79"/>
      <c r="J109" s="80"/>
      <c r="K109" s="79"/>
      <c r="L109" s="80"/>
      <c r="M109" s="81"/>
      <c r="N109" s="80"/>
      <c r="O109" s="79"/>
      <c r="P109" s="80"/>
      <c r="Q109" s="79"/>
      <c r="R109" s="80"/>
      <c r="S109" s="81"/>
      <c r="T109" s="80"/>
      <c r="U109" s="79"/>
      <c r="V109" s="80"/>
      <c r="W109" s="79"/>
      <c r="X109" s="80"/>
      <c r="Y109" s="81"/>
      <c r="Z109" s="80"/>
      <c r="AA109" s="79"/>
      <c r="AB109" s="80"/>
      <c r="AC109" s="79"/>
      <c r="AD109" s="80"/>
      <c r="AE109" s="81"/>
      <c r="AF109" s="80"/>
      <c r="AG109" s="79"/>
      <c r="AH109" s="80"/>
      <c r="AI109" s="79"/>
      <c r="AJ109" s="80"/>
      <c r="AK109" s="81"/>
      <c r="AL109" s="80"/>
      <c r="AM109" s="79"/>
      <c r="AN109" s="80"/>
      <c r="AO109" s="79"/>
      <c r="AP109" s="80"/>
      <c r="AQ109" s="81"/>
      <c r="AR109" s="80"/>
      <c r="AS109" s="79"/>
      <c r="AT109" s="80"/>
      <c r="AU109" s="79"/>
      <c r="AV109" s="80"/>
      <c r="AW109" s="81"/>
      <c r="AX109" s="80"/>
      <c r="AY109" s="79"/>
      <c r="AZ109" s="80"/>
      <c r="BA109" s="79"/>
      <c r="BB109" s="80"/>
      <c r="BC109" s="81"/>
      <c r="BD109" s="80"/>
      <c r="BE109" s="81"/>
    </row>
    <row r="110" ht="20.1" customHeight="1" spans="1:57">
      <c r="A110" s="42"/>
      <c r="B110" s="43"/>
      <c r="C110" s="95"/>
      <c r="D110" s="49"/>
      <c r="E110" s="50"/>
      <c r="F110" s="52"/>
      <c r="G110" s="53"/>
      <c r="H110" s="94"/>
      <c r="I110" s="77"/>
      <c r="J110" s="77"/>
      <c r="K110" s="77"/>
      <c r="L110" s="77"/>
      <c r="M110" s="78"/>
      <c r="N110" s="77"/>
      <c r="O110" s="77"/>
      <c r="P110" s="77"/>
      <c r="Q110" s="77"/>
      <c r="R110" s="77"/>
      <c r="S110" s="78"/>
      <c r="T110" s="77"/>
      <c r="U110" s="77"/>
      <c r="V110" s="77"/>
      <c r="W110" s="77"/>
      <c r="X110" s="77"/>
      <c r="Y110" s="78"/>
      <c r="Z110" s="77"/>
      <c r="AA110" s="77"/>
      <c r="AB110" s="77"/>
      <c r="AC110" s="77"/>
      <c r="AD110" s="77"/>
      <c r="AE110" s="78"/>
      <c r="AF110" s="77"/>
      <c r="AG110" s="77"/>
      <c r="AH110" s="77"/>
      <c r="AI110" s="77"/>
      <c r="AJ110" s="77"/>
      <c r="AK110" s="78"/>
      <c r="AL110" s="77"/>
      <c r="AM110" s="77"/>
      <c r="AN110" s="77"/>
      <c r="AO110" s="77"/>
      <c r="AP110" s="77"/>
      <c r="AQ110" s="78"/>
      <c r="AR110" s="77"/>
      <c r="AS110" s="77"/>
      <c r="AT110" s="77"/>
      <c r="AU110" s="77"/>
      <c r="AV110" s="77"/>
      <c r="AW110" s="78"/>
      <c r="AX110" s="77"/>
      <c r="AY110" s="77"/>
      <c r="AZ110" s="77"/>
      <c r="BA110" s="77"/>
      <c r="BB110" s="77"/>
      <c r="BC110" s="78"/>
      <c r="BD110" s="77"/>
      <c r="BE110" s="89"/>
    </row>
    <row r="111" ht="20.1" customHeight="1" spans="1:57">
      <c r="A111" s="34"/>
      <c r="B111" s="35"/>
      <c r="C111" s="97"/>
      <c r="D111" s="56"/>
      <c r="E111" s="56"/>
      <c r="F111" s="57"/>
      <c r="G111" s="58"/>
      <c r="H111" s="98"/>
      <c r="I111" s="79"/>
      <c r="J111" s="80"/>
      <c r="K111" s="79"/>
      <c r="L111" s="80"/>
      <c r="M111" s="81"/>
      <c r="N111" s="80"/>
      <c r="O111" s="79"/>
      <c r="P111" s="80"/>
      <c r="Q111" s="79"/>
      <c r="R111" s="80"/>
      <c r="S111" s="81"/>
      <c r="T111" s="80"/>
      <c r="U111" s="79"/>
      <c r="V111" s="80"/>
      <c r="W111" s="79"/>
      <c r="X111" s="80"/>
      <c r="Y111" s="81"/>
      <c r="Z111" s="80"/>
      <c r="AA111" s="79"/>
      <c r="AB111" s="80"/>
      <c r="AC111" s="79"/>
      <c r="AD111" s="80"/>
      <c r="AE111" s="81"/>
      <c r="AF111" s="80"/>
      <c r="AG111" s="79"/>
      <c r="AH111" s="80"/>
      <c r="AI111" s="79"/>
      <c r="AJ111" s="80"/>
      <c r="AK111" s="81"/>
      <c r="AL111" s="80"/>
      <c r="AM111" s="79"/>
      <c r="AN111" s="80"/>
      <c r="AO111" s="79"/>
      <c r="AP111" s="80"/>
      <c r="AQ111" s="81"/>
      <c r="AR111" s="80"/>
      <c r="AS111" s="79"/>
      <c r="AT111" s="80"/>
      <c r="AU111" s="79"/>
      <c r="AV111" s="80"/>
      <c r="AW111" s="81"/>
      <c r="AX111" s="80"/>
      <c r="AY111" s="79"/>
      <c r="AZ111" s="80"/>
      <c r="BA111" s="79"/>
      <c r="BB111" s="80"/>
      <c r="BC111" s="81"/>
      <c r="BD111" s="80"/>
      <c r="BE111" s="81"/>
    </row>
    <row r="112" ht="20.1" customHeight="1" spans="1:57">
      <c r="A112" s="42"/>
      <c r="B112" s="43"/>
      <c r="C112" s="95"/>
      <c r="D112" s="49"/>
      <c r="E112" s="50"/>
      <c r="F112" s="47"/>
      <c r="G112" s="50"/>
      <c r="H112" s="94"/>
      <c r="I112" s="77"/>
      <c r="J112" s="77"/>
      <c r="K112" s="77"/>
      <c r="L112" s="77"/>
      <c r="M112" s="78"/>
      <c r="N112" s="77"/>
      <c r="O112" s="77"/>
      <c r="P112" s="77"/>
      <c r="Q112" s="77"/>
      <c r="R112" s="77"/>
      <c r="S112" s="78"/>
      <c r="T112" s="77"/>
      <c r="U112" s="77"/>
      <c r="V112" s="77"/>
      <c r="W112" s="77"/>
      <c r="X112" s="77"/>
      <c r="Y112" s="78"/>
      <c r="Z112" s="77"/>
      <c r="AA112" s="77"/>
      <c r="AB112" s="77"/>
      <c r="AC112" s="77"/>
      <c r="AD112" s="77"/>
      <c r="AE112" s="78"/>
      <c r="AF112" s="77"/>
      <c r="AG112" s="77"/>
      <c r="AH112" s="77"/>
      <c r="AI112" s="77"/>
      <c r="AJ112" s="77"/>
      <c r="AK112" s="78"/>
      <c r="AL112" s="77"/>
      <c r="AM112" s="77"/>
      <c r="AN112" s="77"/>
      <c r="AO112" s="77"/>
      <c r="AP112" s="77"/>
      <c r="AQ112" s="78"/>
      <c r="AR112" s="77"/>
      <c r="AS112" s="77"/>
      <c r="AT112" s="77"/>
      <c r="AU112" s="77"/>
      <c r="AV112" s="77"/>
      <c r="AW112" s="78"/>
      <c r="AX112" s="77"/>
      <c r="AY112" s="77"/>
      <c r="AZ112" s="77"/>
      <c r="BA112" s="77"/>
      <c r="BB112" s="77"/>
      <c r="BC112" s="78"/>
      <c r="BD112" s="77"/>
      <c r="BE112" s="89"/>
    </row>
    <row r="113" ht="20.1" customHeight="1" spans="1:57">
      <c r="A113" s="42"/>
      <c r="B113" s="43"/>
      <c r="C113" s="95"/>
      <c r="D113" s="49"/>
      <c r="E113" s="50"/>
      <c r="F113" s="59"/>
      <c r="G113" s="50"/>
      <c r="H113" s="94"/>
      <c r="I113" s="77"/>
      <c r="J113" s="77"/>
      <c r="K113" s="77"/>
      <c r="L113" s="77"/>
      <c r="M113" s="78"/>
      <c r="N113" s="77"/>
      <c r="O113" s="77"/>
      <c r="P113" s="77"/>
      <c r="Q113" s="77"/>
      <c r="R113" s="77"/>
      <c r="S113" s="78"/>
      <c r="T113" s="77"/>
      <c r="U113" s="77"/>
      <c r="V113" s="77"/>
      <c r="W113" s="77"/>
      <c r="X113" s="77"/>
      <c r="Y113" s="78"/>
      <c r="Z113" s="77"/>
      <c r="AA113" s="77"/>
      <c r="AB113" s="77"/>
      <c r="AC113" s="77"/>
      <c r="AD113" s="77"/>
      <c r="AE113" s="78"/>
      <c r="AF113" s="77"/>
      <c r="AG113" s="77"/>
      <c r="AH113" s="77"/>
      <c r="AI113" s="77"/>
      <c r="AJ113" s="77"/>
      <c r="AK113" s="78"/>
      <c r="AL113" s="77"/>
      <c r="AM113" s="77"/>
      <c r="AN113" s="77"/>
      <c r="AO113" s="77"/>
      <c r="AP113" s="77"/>
      <c r="AQ113" s="78"/>
      <c r="AR113" s="77"/>
      <c r="AS113" s="77"/>
      <c r="AT113" s="77"/>
      <c r="AU113" s="77"/>
      <c r="AV113" s="77"/>
      <c r="AW113" s="78"/>
      <c r="AX113" s="77"/>
      <c r="AY113" s="77"/>
      <c r="AZ113" s="77"/>
      <c r="BA113" s="77"/>
      <c r="BB113" s="77"/>
      <c r="BC113" s="78"/>
      <c r="BD113" s="77"/>
      <c r="BE113" s="89"/>
    </row>
    <row r="114" ht="20.1" customHeight="1" spans="1:57">
      <c r="A114" s="34"/>
      <c r="B114" s="35"/>
      <c r="C114" s="97"/>
      <c r="D114" s="56"/>
      <c r="E114" s="56"/>
      <c r="F114" s="57"/>
      <c r="G114" s="58"/>
      <c r="H114" s="98"/>
      <c r="I114" s="79"/>
      <c r="J114" s="80"/>
      <c r="K114" s="79"/>
      <c r="L114" s="80"/>
      <c r="M114" s="81"/>
      <c r="N114" s="80"/>
      <c r="O114" s="79"/>
      <c r="P114" s="80"/>
      <c r="Q114" s="79"/>
      <c r="R114" s="80"/>
      <c r="S114" s="81"/>
      <c r="T114" s="80"/>
      <c r="U114" s="79"/>
      <c r="V114" s="80"/>
      <c r="W114" s="79"/>
      <c r="X114" s="80"/>
      <c r="Y114" s="81"/>
      <c r="Z114" s="80"/>
      <c r="AA114" s="79"/>
      <c r="AB114" s="80"/>
      <c r="AC114" s="79"/>
      <c r="AD114" s="80"/>
      <c r="AE114" s="81"/>
      <c r="AF114" s="80"/>
      <c r="AG114" s="79"/>
      <c r="AH114" s="80"/>
      <c r="AI114" s="79"/>
      <c r="AJ114" s="80"/>
      <c r="AK114" s="81"/>
      <c r="AL114" s="80"/>
      <c r="AM114" s="79"/>
      <c r="AN114" s="80"/>
      <c r="AO114" s="79"/>
      <c r="AP114" s="80"/>
      <c r="AQ114" s="81"/>
      <c r="AR114" s="80"/>
      <c r="AS114" s="79"/>
      <c r="AT114" s="80"/>
      <c r="AU114" s="79"/>
      <c r="AV114" s="80"/>
      <c r="AW114" s="81"/>
      <c r="AX114" s="80"/>
      <c r="AY114" s="79"/>
      <c r="AZ114" s="80"/>
      <c r="BA114" s="79"/>
      <c r="BB114" s="80"/>
      <c r="BC114" s="81"/>
      <c r="BD114" s="80"/>
      <c r="BE114" s="81"/>
    </row>
    <row r="115" ht="20.1" customHeight="1" spans="1:57">
      <c r="A115" s="42"/>
      <c r="B115" s="43"/>
      <c r="C115" s="95"/>
      <c r="D115" s="49"/>
      <c r="E115" s="50"/>
      <c r="F115" s="52"/>
      <c r="G115" s="53"/>
      <c r="H115" s="94"/>
      <c r="I115" s="77"/>
      <c r="J115" s="77"/>
      <c r="K115" s="77"/>
      <c r="L115" s="77"/>
      <c r="M115" s="78"/>
      <c r="N115" s="77"/>
      <c r="O115" s="77"/>
      <c r="P115" s="77"/>
      <c r="Q115" s="77"/>
      <c r="R115" s="77"/>
      <c r="S115" s="78"/>
      <c r="T115" s="77"/>
      <c r="U115" s="77"/>
      <c r="V115" s="77"/>
      <c r="W115" s="77"/>
      <c r="X115" s="77"/>
      <c r="Y115" s="78"/>
      <c r="Z115" s="77"/>
      <c r="AA115" s="77"/>
      <c r="AB115" s="77"/>
      <c r="AC115" s="77"/>
      <c r="AD115" s="77"/>
      <c r="AE115" s="78"/>
      <c r="AF115" s="77"/>
      <c r="AG115" s="77"/>
      <c r="AH115" s="77"/>
      <c r="AI115" s="77"/>
      <c r="AJ115" s="77"/>
      <c r="AK115" s="78"/>
      <c r="AL115" s="77"/>
      <c r="AM115" s="77"/>
      <c r="AN115" s="77"/>
      <c r="AO115" s="77"/>
      <c r="AP115" s="77"/>
      <c r="AQ115" s="78"/>
      <c r="AR115" s="77"/>
      <c r="AS115" s="77"/>
      <c r="AT115" s="77"/>
      <c r="AU115" s="77"/>
      <c r="AV115" s="77"/>
      <c r="AW115" s="78"/>
      <c r="AX115" s="77"/>
      <c r="AY115" s="77"/>
      <c r="AZ115" s="77"/>
      <c r="BA115" s="77"/>
      <c r="BB115" s="77"/>
      <c r="BC115" s="78"/>
      <c r="BD115" s="77"/>
      <c r="BE115" s="89"/>
    </row>
    <row r="116" ht="20.1" customHeight="1" spans="1:57">
      <c r="A116" s="34"/>
      <c r="B116" s="35"/>
      <c r="C116" s="97"/>
      <c r="D116" s="56"/>
      <c r="E116" s="56"/>
      <c r="F116" s="57"/>
      <c r="G116" s="58"/>
      <c r="H116" s="98"/>
      <c r="I116" s="79"/>
      <c r="J116" s="80"/>
      <c r="K116" s="79"/>
      <c r="L116" s="80"/>
      <c r="M116" s="81"/>
      <c r="N116" s="80"/>
      <c r="O116" s="79"/>
      <c r="P116" s="80"/>
      <c r="Q116" s="79"/>
      <c r="R116" s="80"/>
      <c r="S116" s="81"/>
      <c r="T116" s="80"/>
      <c r="U116" s="79"/>
      <c r="V116" s="80"/>
      <c r="W116" s="79"/>
      <c r="X116" s="80"/>
      <c r="Y116" s="81"/>
      <c r="Z116" s="80"/>
      <c r="AA116" s="79"/>
      <c r="AB116" s="80"/>
      <c r="AC116" s="79"/>
      <c r="AD116" s="80"/>
      <c r="AE116" s="81"/>
      <c r="AF116" s="80"/>
      <c r="AG116" s="79"/>
      <c r="AH116" s="80"/>
      <c r="AI116" s="79"/>
      <c r="AJ116" s="80"/>
      <c r="AK116" s="81"/>
      <c r="AL116" s="80"/>
      <c r="AM116" s="79"/>
      <c r="AN116" s="80"/>
      <c r="AO116" s="79"/>
      <c r="AP116" s="80"/>
      <c r="AQ116" s="81"/>
      <c r="AR116" s="80"/>
      <c r="AS116" s="79"/>
      <c r="AT116" s="80"/>
      <c r="AU116" s="79"/>
      <c r="AV116" s="80"/>
      <c r="AW116" s="81"/>
      <c r="AX116" s="80"/>
      <c r="AY116" s="79"/>
      <c r="AZ116" s="80"/>
      <c r="BA116" s="79"/>
      <c r="BB116" s="80"/>
      <c r="BC116" s="81"/>
      <c r="BD116" s="80"/>
      <c r="BE116" s="81"/>
    </row>
    <row r="117" ht="20.1" customHeight="1" spans="1:57">
      <c r="A117" s="42"/>
      <c r="B117" s="43"/>
      <c r="C117" s="95"/>
      <c r="D117" s="99"/>
      <c r="E117" s="50"/>
      <c r="F117" s="100"/>
      <c r="G117" s="26"/>
      <c r="H117" s="94"/>
      <c r="I117" s="86"/>
      <c r="J117" s="77"/>
      <c r="K117" s="86"/>
      <c r="L117" s="77"/>
      <c r="M117" s="78"/>
      <c r="N117" s="77"/>
      <c r="O117" s="86"/>
      <c r="P117" s="77"/>
      <c r="Q117" s="86"/>
      <c r="R117" s="77"/>
      <c r="S117" s="78"/>
      <c r="T117" s="77"/>
      <c r="U117" s="86"/>
      <c r="V117" s="77"/>
      <c r="W117" s="86"/>
      <c r="X117" s="77"/>
      <c r="Y117" s="78"/>
      <c r="Z117" s="77"/>
      <c r="AA117" s="86"/>
      <c r="AB117" s="77"/>
      <c r="AC117" s="86"/>
      <c r="AD117" s="77"/>
      <c r="AE117" s="78"/>
      <c r="AF117" s="77"/>
      <c r="AG117" s="86"/>
      <c r="AH117" s="77"/>
      <c r="AI117" s="86"/>
      <c r="AJ117" s="77"/>
      <c r="AK117" s="78"/>
      <c r="AL117" s="77"/>
      <c r="AM117" s="86"/>
      <c r="AN117" s="77"/>
      <c r="AO117" s="86"/>
      <c r="AP117" s="77"/>
      <c r="AQ117" s="78"/>
      <c r="AR117" s="77"/>
      <c r="AS117" s="86"/>
      <c r="AT117" s="77"/>
      <c r="AU117" s="86"/>
      <c r="AV117" s="77"/>
      <c r="AW117" s="78"/>
      <c r="AX117" s="77"/>
      <c r="AY117" s="86"/>
      <c r="AZ117" s="77"/>
      <c r="BA117" s="86"/>
      <c r="BB117" s="77"/>
      <c r="BC117" s="78"/>
      <c r="BD117" s="77"/>
      <c r="BE117" s="78"/>
    </row>
    <row r="118" ht="20.1" customHeight="1" spans="1:57">
      <c r="A118" s="101"/>
      <c r="B118" s="102"/>
      <c r="C118" s="103"/>
      <c r="D118" s="104"/>
      <c r="E118" s="104"/>
      <c r="F118" s="105"/>
      <c r="G118" s="26"/>
      <c r="H118" s="106"/>
      <c r="I118" s="113"/>
      <c r="J118" s="82"/>
      <c r="K118" s="113"/>
      <c r="L118" s="82"/>
      <c r="M118" s="114"/>
      <c r="N118" s="82"/>
      <c r="O118" s="113"/>
      <c r="P118" s="82"/>
      <c r="Q118" s="113"/>
      <c r="R118" s="82"/>
      <c r="S118" s="114"/>
      <c r="T118" s="82"/>
      <c r="U118" s="113"/>
      <c r="V118" s="82"/>
      <c r="W118" s="113"/>
      <c r="X118" s="82"/>
      <c r="Y118" s="114"/>
      <c r="Z118" s="82"/>
      <c r="AA118" s="113"/>
      <c r="AB118" s="82"/>
      <c r="AC118" s="113"/>
      <c r="AD118" s="82"/>
      <c r="AE118" s="114"/>
      <c r="AF118" s="82"/>
      <c r="AG118" s="113"/>
      <c r="AH118" s="82"/>
      <c r="AI118" s="113"/>
      <c r="AJ118" s="82"/>
      <c r="AK118" s="114"/>
      <c r="AL118" s="82"/>
      <c r="AM118" s="113"/>
      <c r="AN118" s="82"/>
      <c r="AO118" s="113"/>
      <c r="AP118" s="82"/>
      <c r="AQ118" s="114"/>
      <c r="AR118" s="82"/>
      <c r="AS118" s="113"/>
      <c r="AT118" s="82"/>
      <c r="AU118" s="113"/>
      <c r="AV118" s="82"/>
      <c r="AW118" s="114"/>
      <c r="AX118" s="82"/>
      <c r="AY118" s="113"/>
      <c r="AZ118" s="82"/>
      <c r="BA118" s="113"/>
      <c r="BB118" s="82"/>
      <c r="BC118" s="114"/>
      <c r="BD118" s="82"/>
      <c r="BE118" s="114"/>
    </row>
    <row r="119" s="23" customFormat="1" ht="20.1" customHeight="1" spans="1:57">
      <c r="A119" s="107"/>
      <c r="B119" s="108"/>
      <c r="C119" s="109"/>
      <c r="D119" s="110"/>
      <c r="E119" s="110"/>
      <c r="F119" s="111"/>
      <c r="G119" s="42"/>
      <c r="H119" s="112"/>
      <c r="I119" s="115"/>
      <c r="J119" s="116"/>
      <c r="K119" s="115"/>
      <c r="L119" s="116"/>
      <c r="M119" s="117"/>
      <c r="N119" s="116"/>
      <c r="O119" s="115"/>
      <c r="P119" s="116"/>
      <c r="Q119" s="115"/>
      <c r="R119" s="116"/>
      <c r="S119" s="117"/>
      <c r="T119" s="116"/>
      <c r="U119" s="115"/>
      <c r="V119" s="116"/>
      <c r="W119" s="115"/>
      <c r="X119" s="116"/>
      <c r="Y119" s="117"/>
      <c r="Z119" s="116"/>
      <c r="AA119" s="115"/>
      <c r="AB119" s="116"/>
      <c r="AC119" s="115"/>
      <c r="AD119" s="116"/>
      <c r="AE119" s="117"/>
      <c r="AF119" s="116"/>
      <c r="AG119" s="115"/>
      <c r="AH119" s="116"/>
      <c r="AI119" s="115"/>
      <c r="AJ119" s="116"/>
      <c r="AK119" s="117"/>
      <c r="AL119" s="116"/>
      <c r="AM119" s="115"/>
      <c r="AN119" s="116"/>
      <c r="AO119" s="115"/>
      <c r="AP119" s="116"/>
      <c r="AQ119" s="117"/>
      <c r="AR119" s="116"/>
      <c r="AS119" s="115"/>
      <c r="AT119" s="116"/>
      <c r="AU119" s="115"/>
      <c r="AV119" s="116"/>
      <c r="AW119" s="117"/>
      <c r="AX119" s="116"/>
      <c r="AY119" s="115"/>
      <c r="AZ119" s="116"/>
      <c r="BA119" s="115"/>
      <c r="BB119" s="116"/>
      <c r="BC119" s="117"/>
      <c r="BD119" s="116"/>
      <c r="BE119" s="117"/>
    </row>
  </sheetData>
  <mergeCells count="9">
    <mergeCell ref="H2:M2"/>
    <mergeCell ref="N2:S2"/>
    <mergeCell ref="T2:Y2"/>
    <mergeCell ref="Z2:AE2"/>
    <mergeCell ref="AF2:AK2"/>
    <mergeCell ref="AL2:AQ2"/>
    <mergeCell ref="AR2:AW2"/>
    <mergeCell ref="AX2:BC2"/>
    <mergeCell ref="BD2:BE2"/>
  </mergeCells>
  <pageMargins left="0.699305555555556" right="0.699305555555556" top="0.75" bottom="0.75" header="0.511111111111111" footer="0.51111111111111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E17" sqref="E17"/>
    </sheetView>
  </sheetViews>
  <sheetFormatPr defaultColWidth="9.64545454545454" defaultRowHeight="14.5"/>
  <cols>
    <col min="1" max="1" width="16.6636363636364" customWidth="1"/>
    <col min="2" max="2" width="16.6636363636364" style="10" customWidth="1"/>
    <col min="3" max="3" width="9.55454545454545" customWidth="1"/>
    <col min="4" max="256" width="10" customWidth="1"/>
    <col min="257" max="1026" width="9" customWidth="1"/>
  </cols>
  <sheetData>
    <row r="1" s="10" customFormat="1" spans="1:10">
      <c r="A1" s="15" t="s">
        <v>343</v>
      </c>
      <c r="B1" s="15"/>
      <c r="C1" s="19" t="s">
        <v>10</v>
      </c>
      <c r="D1" s="19" t="s">
        <v>11</v>
      </c>
      <c r="E1" s="19">
        <v>45839</v>
      </c>
      <c r="F1" s="19">
        <v>45870</v>
      </c>
      <c r="G1" s="19">
        <v>45901</v>
      </c>
      <c r="H1" s="15"/>
      <c r="I1" s="15"/>
      <c r="J1" s="15"/>
    </row>
    <row r="2" spans="1:10">
      <c r="A2" s="20" t="s">
        <v>344</v>
      </c>
      <c r="B2" s="18" t="s">
        <v>345</v>
      </c>
      <c r="C2" s="16">
        <v>3.59</v>
      </c>
      <c r="D2" s="17">
        <v>3.8</v>
      </c>
      <c r="E2" s="17"/>
      <c r="F2" s="16"/>
      <c r="G2" s="16"/>
      <c r="H2" s="16"/>
      <c r="I2" s="16"/>
      <c r="J2" s="16"/>
    </row>
    <row r="3" spans="1:10">
      <c r="A3" s="21"/>
      <c r="B3" s="18" t="s">
        <v>346</v>
      </c>
      <c r="C3" s="17">
        <v>3.23</v>
      </c>
      <c r="D3" s="16">
        <v>3.46</v>
      </c>
      <c r="E3" s="16"/>
      <c r="F3" s="17"/>
      <c r="G3" s="16"/>
      <c r="H3" s="16"/>
      <c r="I3" s="16"/>
      <c r="J3" s="16"/>
    </row>
    <row r="4" spans="1:10">
      <c r="A4" s="22"/>
      <c r="B4" s="18" t="s">
        <v>347</v>
      </c>
      <c r="C4" s="16">
        <v>1.16</v>
      </c>
      <c r="D4" s="16">
        <v>1.45</v>
      </c>
      <c r="E4" s="16"/>
      <c r="F4" s="16"/>
      <c r="G4" s="16"/>
      <c r="H4" s="16"/>
      <c r="I4" s="16"/>
      <c r="J4" s="16"/>
    </row>
    <row r="5" spans="1:10">
      <c r="A5" s="20" t="s">
        <v>348</v>
      </c>
      <c r="B5" s="18" t="s">
        <v>345</v>
      </c>
      <c r="C5" s="16">
        <v>1.18</v>
      </c>
      <c r="D5" s="16">
        <v>1.67</v>
      </c>
      <c r="E5" s="16"/>
      <c r="F5" s="16"/>
      <c r="G5" s="16"/>
      <c r="H5" s="16"/>
      <c r="I5" s="16"/>
      <c r="J5" s="16"/>
    </row>
    <row r="6" spans="1:10">
      <c r="A6" s="21"/>
      <c r="B6" s="18" t="s">
        <v>346</v>
      </c>
      <c r="C6" s="17">
        <v>1.5</v>
      </c>
      <c r="D6" s="16">
        <v>1.32</v>
      </c>
      <c r="E6" s="16"/>
      <c r="F6" s="16"/>
      <c r="G6" s="16"/>
      <c r="H6" s="16"/>
      <c r="I6" s="16"/>
      <c r="J6" s="16"/>
    </row>
    <row r="7" spans="1:10">
      <c r="A7" s="22"/>
      <c r="B7" s="18" t="s">
        <v>347</v>
      </c>
      <c r="C7" s="17">
        <v>1.48</v>
      </c>
      <c r="D7" s="17">
        <v>0.7</v>
      </c>
      <c r="E7" s="16"/>
      <c r="F7" s="16"/>
      <c r="G7" s="16"/>
      <c r="H7" s="16"/>
      <c r="I7" s="16"/>
      <c r="J7" s="16"/>
    </row>
    <row r="8" spans="1:10">
      <c r="A8" s="20" t="s">
        <v>349</v>
      </c>
      <c r="B8" s="18" t="s">
        <v>345</v>
      </c>
      <c r="C8" s="16">
        <v>1.93</v>
      </c>
      <c r="D8" s="16">
        <v>1.8</v>
      </c>
      <c r="E8" s="17"/>
      <c r="F8" s="16"/>
      <c r="G8" s="16"/>
      <c r="H8" s="16"/>
      <c r="I8" s="16"/>
      <c r="J8" s="16"/>
    </row>
    <row r="9" spans="1:10">
      <c r="A9" s="21"/>
      <c r="B9" s="18" t="s">
        <v>346</v>
      </c>
      <c r="C9" s="17">
        <v>1.11</v>
      </c>
      <c r="D9" s="17">
        <v>1.8</v>
      </c>
      <c r="E9" s="16"/>
      <c r="F9" s="16"/>
      <c r="G9" s="16"/>
      <c r="H9" s="16"/>
      <c r="I9" s="16"/>
      <c r="J9" s="16"/>
    </row>
    <row r="10" spans="1:10">
      <c r="A10" s="22"/>
      <c r="B10" s="18" t="s">
        <v>347</v>
      </c>
      <c r="C10" s="16">
        <v>0.76</v>
      </c>
      <c r="D10" s="16">
        <v>0.97</v>
      </c>
      <c r="E10" s="16"/>
      <c r="F10" s="16"/>
      <c r="G10" s="16"/>
      <c r="H10" s="16"/>
      <c r="I10" s="16"/>
      <c r="J10" s="16"/>
    </row>
    <row r="11" spans="1:10">
      <c r="A11" s="20" t="s">
        <v>350</v>
      </c>
      <c r="B11" s="18" t="s">
        <v>345</v>
      </c>
      <c r="C11" s="16">
        <v>0.21</v>
      </c>
      <c r="D11" s="16">
        <v>0.15</v>
      </c>
      <c r="E11" s="16"/>
      <c r="F11" s="16"/>
      <c r="G11" s="16"/>
      <c r="H11" s="16"/>
      <c r="I11" s="16"/>
      <c r="J11" s="16"/>
    </row>
    <row r="12" spans="1:10">
      <c r="A12" s="21"/>
      <c r="B12" s="18" t="s">
        <v>346</v>
      </c>
      <c r="C12" s="17">
        <v>0.17</v>
      </c>
      <c r="D12" s="17">
        <v>0.13</v>
      </c>
      <c r="E12" s="16"/>
      <c r="F12" s="16"/>
      <c r="G12" s="16"/>
      <c r="H12" s="16"/>
      <c r="I12" s="16"/>
      <c r="J12" s="16"/>
    </row>
    <row r="13" spans="1:10">
      <c r="A13" s="22"/>
      <c r="B13" s="18" t="s">
        <v>347</v>
      </c>
      <c r="C13" s="16">
        <v>0.35</v>
      </c>
      <c r="D13" s="16">
        <v>0.35</v>
      </c>
      <c r="E13" s="16"/>
      <c r="F13" s="16"/>
      <c r="G13" s="16"/>
      <c r="H13" s="16"/>
      <c r="I13" s="16"/>
      <c r="J13" s="16"/>
    </row>
    <row r="14" spans="1:10">
      <c r="A14" s="20" t="s">
        <v>351</v>
      </c>
      <c r="B14" s="18" t="s">
        <v>345</v>
      </c>
      <c r="C14" s="16">
        <v>1.59</v>
      </c>
      <c r="D14" s="16">
        <v>0.96</v>
      </c>
      <c r="E14" s="16"/>
      <c r="F14" s="16"/>
      <c r="G14" s="16"/>
      <c r="H14" s="16"/>
      <c r="I14" s="16"/>
      <c r="J14" s="16"/>
    </row>
    <row r="15" spans="1:10">
      <c r="A15" s="21"/>
      <c r="B15" s="18" t="s">
        <v>346</v>
      </c>
      <c r="C15" s="17">
        <v>1.16</v>
      </c>
      <c r="D15" s="16">
        <v>1.01</v>
      </c>
      <c r="E15" s="16"/>
      <c r="F15" s="16"/>
      <c r="G15" s="16"/>
      <c r="H15" s="16"/>
      <c r="I15" s="16"/>
      <c r="J15" s="16"/>
    </row>
    <row r="16" spans="1:10">
      <c r="A16" s="22"/>
      <c r="B16" s="18" t="s">
        <v>347</v>
      </c>
      <c r="C16" s="16">
        <v>1.21</v>
      </c>
      <c r="D16" s="16">
        <v>1.59</v>
      </c>
      <c r="E16" s="16"/>
      <c r="F16" s="16"/>
      <c r="G16" s="16"/>
      <c r="H16" s="16"/>
      <c r="I16" s="16"/>
      <c r="J16" s="16"/>
    </row>
    <row r="17" spans="1:10">
      <c r="A17" s="20"/>
      <c r="B17" s="18" t="s">
        <v>345</v>
      </c>
      <c r="C17" s="16"/>
      <c r="D17" s="16"/>
      <c r="E17" s="16"/>
      <c r="F17" s="16"/>
      <c r="G17" s="16"/>
      <c r="H17" s="16"/>
      <c r="I17" s="16"/>
      <c r="J17" s="16"/>
    </row>
    <row r="18" spans="1:10">
      <c r="A18" s="21"/>
      <c r="B18" s="18" t="s">
        <v>346</v>
      </c>
      <c r="C18" s="17"/>
      <c r="D18" s="16"/>
      <c r="E18" s="16"/>
      <c r="F18" s="16"/>
      <c r="G18" s="16"/>
      <c r="H18" s="16"/>
      <c r="I18" s="16"/>
      <c r="J18" s="16"/>
    </row>
    <row r="19" spans="1:10">
      <c r="A19" s="22"/>
      <c r="B19" s="18" t="s">
        <v>347</v>
      </c>
      <c r="C19" s="16"/>
      <c r="D19" s="16"/>
      <c r="E19" s="16"/>
      <c r="F19" s="16"/>
      <c r="G19" s="16"/>
      <c r="H19" s="16"/>
      <c r="I19" s="16"/>
      <c r="J19" s="16"/>
    </row>
    <row r="20" spans="1:10">
      <c r="A20" s="20"/>
      <c r="B20" s="18" t="s">
        <v>345</v>
      </c>
      <c r="C20" s="16"/>
      <c r="D20" s="16"/>
      <c r="E20" s="16"/>
      <c r="F20" s="16"/>
      <c r="G20" s="16"/>
      <c r="H20" s="16"/>
      <c r="I20" s="16"/>
      <c r="J20" s="16"/>
    </row>
    <row r="21" spans="1:10">
      <c r="A21" s="21"/>
      <c r="B21" s="18" t="s">
        <v>346</v>
      </c>
      <c r="C21" s="17"/>
      <c r="D21" s="16"/>
      <c r="E21" s="16"/>
      <c r="F21" s="16"/>
      <c r="G21" s="16"/>
      <c r="H21" s="16"/>
      <c r="I21" s="16"/>
      <c r="J21" s="16"/>
    </row>
    <row r="22" spans="1:10">
      <c r="A22" s="22"/>
      <c r="B22" s="18" t="s">
        <v>347</v>
      </c>
      <c r="C22" s="16"/>
      <c r="D22" s="16"/>
      <c r="E22" s="16"/>
      <c r="F22" s="16"/>
      <c r="G22" s="16"/>
      <c r="H22" s="16"/>
      <c r="I22" s="16"/>
      <c r="J22" s="16"/>
    </row>
    <row r="23" spans="1:10">
      <c r="A23" s="20"/>
      <c r="B23" s="18" t="s">
        <v>345</v>
      </c>
      <c r="C23" s="16"/>
      <c r="D23" s="16"/>
      <c r="E23" s="16"/>
      <c r="F23" s="16"/>
      <c r="G23" s="16"/>
      <c r="H23" s="16"/>
      <c r="I23" s="16"/>
      <c r="J23" s="16"/>
    </row>
    <row r="24" spans="1:10">
      <c r="A24" s="21"/>
      <c r="B24" s="18" t="s">
        <v>346</v>
      </c>
      <c r="C24" s="17"/>
      <c r="D24" s="16"/>
      <c r="E24" s="16"/>
      <c r="F24" s="16"/>
      <c r="G24" s="16"/>
      <c r="H24" s="16"/>
      <c r="I24" s="16"/>
      <c r="J24" s="16"/>
    </row>
    <row r="25" spans="1:10">
      <c r="A25" s="22"/>
      <c r="B25" s="18" t="s">
        <v>347</v>
      </c>
      <c r="C25" s="16"/>
      <c r="D25" s="16"/>
      <c r="E25" s="16"/>
      <c r="F25" s="16"/>
      <c r="G25" s="16"/>
      <c r="H25" s="16"/>
      <c r="I25" s="16"/>
      <c r="J25" s="16"/>
    </row>
    <row r="26" spans="1:10">
      <c r="A26" s="20"/>
      <c r="B26" s="18" t="s">
        <v>345</v>
      </c>
      <c r="C26" s="16"/>
      <c r="D26" s="16"/>
      <c r="E26" s="16"/>
      <c r="F26" s="16"/>
      <c r="G26" s="16"/>
      <c r="H26" s="16"/>
      <c r="I26" s="16"/>
      <c r="J26" s="16"/>
    </row>
    <row r="27" spans="1:10">
      <c r="A27" s="21"/>
      <c r="B27" s="18" t="s">
        <v>346</v>
      </c>
      <c r="C27" s="17"/>
      <c r="D27" s="16"/>
      <c r="E27" s="16"/>
      <c r="F27" s="16"/>
      <c r="G27" s="16"/>
      <c r="H27" s="16"/>
      <c r="I27" s="16"/>
      <c r="J27" s="16"/>
    </row>
    <row r="28" spans="1:10">
      <c r="A28" s="22"/>
      <c r="B28" s="18" t="s">
        <v>347</v>
      </c>
      <c r="C28" s="16"/>
      <c r="D28" s="16"/>
      <c r="E28" s="16"/>
      <c r="F28" s="16"/>
      <c r="G28" s="16"/>
      <c r="H28" s="16"/>
      <c r="I28" s="16"/>
      <c r="J28" s="16"/>
    </row>
    <row r="29" spans="1:10">
      <c r="A29" s="20"/>
      <c r="B29" s="18" t="s">
        <v>345</v>
      </c>
      <c r="C29" s="16"/>
      <c r="D29" s="16"/>
      <c r="E29" s="16"/>
      <c r="F29" s="16"/>
      <c r="G29" s="16"/>
      <c r="H29" s="16"/>
      <c r="I29" s="16"/>
      <c r="J29" s="16"/>
    </row>
    <row r="30" spans="1:10">
      <c r="A30" s="21"/>
      <c r="B30" s="18" t="s">
        <v>346</v>
      </c>
      <c r="C30" s="17"/>
      <c r="D30" s="16"/>
      <c r="E30" s="16"/>
      <c r="F30" s="16"/>
      <c r="G30" s="16"/>
      <c r="H30" s="16"/>
      <c r="I30" s="16"/>
      <c r="J30" s="16"/>
    </row>
    <row r="31" spans="1:10">
      <c r="A31" s="22"/>
      <c r="B31" s="18" t="s">
        <v>347</v>
      </c>
      <c r="C31" s="16"/>
      <c r="D31" s="16"/>
      <c r="E31" s="16"/>
      <c r="F31" s="16"/>
      <c r="G31" s="16"/>
      <c r="H31" s="16"/>
      <c r="I31" s="16"/>
      <c r="J31" s="16"/>
    </row>
    <row r="32" spans="1:10">
      <c r="A32" s="20"/>
      <c r="B32" s="18" t="s">
        <v>345</v>
      </c>
      <c r="C32" s="16"/>
      <c r="D32" s="16"/>
      <c r="E32" s="16"/>
      <c r="F32" s="16"/>
      <c r="G32" s="16"/>
      <c r="H32" s="16"/>
      <c r="I32" s="16"/>
      <c r="J32" s="16"/>
    </row>
    <row r="33" spans="1:10">
      <c r="A33" s="21"/>
      <c r="B33" s="18" t="s">
        <v>346</v>
      </c>
      <c r="C33" s="17"/>
      <c r="D33" s="16"/>
      <c r="E33" s="16"/>
      <c r="F33" s="16"/>
      <c r="G33" s="16"/>
      <c r="H33" s="16"/>
      <c r="I33" s="16"/>
      <c r="J33" s="16"/>
    </row>
  </sheetData>
  <pageMargins left="0.699305555555556" right="0.699305555555556" top="0.75" bottom="0.75" header="0.511111111111111" footer="0.51111111111111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zoomScale="66" zoomScaleNormal="66" topLeftCell="H1" workbookViewId="0">
      <pane xSplit="1" ySplit="3" topLeftCell="I4" activePane="bottomRight" state="frozen"/>
      <selection/>
      <selection pane="topRight"/>
      <selection pane="bottomLeft"/>
      <selection pane="bottomRight" activeCell="L19" sqref="L19"/>
    </sheetView>
  </sheetViews>
  <sheetFormatPr defaultColWidth="9.64545454545454" defaultRowHeight="14.5"/>
  <cols>
    <col min="1" max="1" width="15.8818181818182" customWidth="1"/>
    <col min="2" max="2" width="7.66363636363636" customWidth="1"/>
    <col min="3" max="3" width="6.32727272727273" customWidth="1"/>
    <col min="4" max="4" width="13.3272727272727" customWidth="1"/>
    <col min="5" max="5" width="10.8818181818182" customWidth="1"/>
    <col min="6" max="6" width="12.6636363636364" customWidth="1"/>
    <col min="7" max="7" width="5.22727272727273" customWidth="1"/>
    <col min="8" max="8" width="17.7727272727273" customWidth="1"/>
    <col min="9" max="256" width="10" customWidth="1"/>
    <col min="257" max="1025" width="9" customWidth="1"/>
  </cols>
  <sheetData>
    <row r="1" s="10" customFormat="1" spans="1:13">
      <c r="A1" s="11" t="s">
        <v>352</v>
      </c>
      <c r="B1" s="11"/>
      <c r="C1" s="11"/>
      <c r="D1" s="11"/>
      <c r="E1" s="11"/>
      <c r="F1" s="11"/>
      <c r="G1" s="12"/>
      <c r="H1" s="11" t="s">
        <v>353</v>
      </c>
      <c r="I1" s="11"/>
      <c r="J1" s="11"/>
      <c r="K1" s="11"/>
      <c r="L1" s="11"/>
      <c r="M1" s="11"/>
    </row>
    <row r="2" s="10" customFormat="1" spans="1:13">
      <c r="A2" s="13" t="s">
        <v>354</v>
      </c>
      <c r="B2" s="13"/>
      <c r="C2" s="13"/>
      <c r="D2" s="13"/>
      <c r="E2" s="14" t="s">
        <v>355</v>
      </c>
      <c r="F2" s="14"/>
      <c r="G2" s="12"/>
      <c r="H2" s="13" t="s">
        <v>356</v>
      </c>
      <c r="I2" s="13"/>
      <c r="J2" s="13"/>
      <c r="K2" s="13"/>
      <c r="L2" s="14" t="s">
        <v>357</v>
      </c>
      <c r="M2" s="14"/>
    </row>
    <row r="3" s="10" customFormat="1" spans="1:13">
      <c r="A3" s="15" t="s">
        <v>343</v>
      </c>
      <c r="B3" s="15" t="s">
        <v>3</v>
      </c>
      <c r="C3" s="15" t="s">
        <v>5</v>
      </c>
      <c r="D3" s="15" t="s">
        <v>358</v>
      </c>
      <c r="E3" s="15" t="s">
        <v>243</v>
      </c>
      <c r="F3" s="15" t="s">
        <v>3</v>
      </c>
      <c r="G3" s="12"/>
      <c r="H3" s="15" t="s">
        <v>253</v>
      </c>
      <c r="I3" s="15" t="s">
        <v>3</v>
      </c>
      <c r="J3" s="15" t="s">
        <v>5</v>
      </c>
      <c r="K3" s="15" t="s">
        <v>358</v>
      </c>
      <c r="L3" s="15" t="s">
        <v>243</v>
      </c>
      <c r="M3" s="15" t="s">
        <v>3</v>
      </c>
    </row>
    <row r="4" spans="1:13">
      <c r="A4" s="16" t="s">
        <v>359</v>
      </c>
      <c r="B4" s="16"/>
      <c r="C4" s="16">
        <v>2.04</v>
      </c>
      <c r="D4" s="17">
        <v>1.1</v>
      </c>
      <c r="E4" s="17">
        <v>2.5</v>
      </c>
      <c r="F4" s="17">
        <v>2.5</v>
      </c>
      <c r="G4" s="12"/>
      <c r="H4" s="18" t="s">
        <v>217</v>
      </c>
      <c r="I4" s="17">
        <v>0.4</v>
      </c>
      <c r="J4" s="16">
        <v>0.41</v>
      </c>
      <c r="K4" s="16">
        <v>0.24</v>
      </c>
      <c r="L4" s="17">
        <v>0.4</v>
      </c>
      <c r="M4" s="16">
        <v>0.34</v>
      </c>
    </row>
    <row r="5" spans="1:13">
      <c r="A5" s="16" t="s">
        <v>360</v>
      </c>
      <c r="B5" s="16"/>
      <c r="C5" s="16">
        <v>1.52</v>
      </c>
      <c r="D5" s="16">
        <v>1.24</v>
      </c>
      <c r="E5" s="17">
        <v>2.5</v>
      </c>
      <c r="F5" s="17">
        <v>2.5</v>
      </c>
      <c r="G5" s="12"/>
      <c r="H5" s="18" t="s">
        <v>218</v>
      </c>
      <c r="I5" s="16">
        <v>0.05</v>
      </c>
      <c r="J5" s="17">
        <v>0.1</v>
      </c>
      <c r="K5" s="16">
        <v>0.09</v>
      </c>
      <c r="L5" s="17">
        <v>0.1</v>
      </c>
      <c r="M5" s="16">
        <v>0.05</v>
      </c>
    </row>
    <row r="6" spans="1:13">
      <c r="A6" s="16" t="s">
        <v>361</v>
      </c>
      <c r="B6" s="16"/>
      <c r="C6" s="16">
        <v>1.09</v>
      </c>
      <c r="D6" s="17">
        <v>2.23</v>
      </c>
      <c r="E6" s="17">
        <v>1.5</v>
      </c>
      <c r="F6" s="17">
        <v>1.5</v>
      </c>
      <c r="G6" s="12"/>
      <c r="H6" s="18" t="s">
        <v>219</v>
      </c>
      <c r="I6" s="16">
        <v>0.12</v>
      </c>
      <c r="J6" s="16">
        <v>0.15</v>
      </c>
      <c r="K6" s="16">
        <v>0.06</v>
      </c>
      <c r="L6" s="16">
        <v>0.14</v>
      </c>
      <c r="M6" s="16">
        <v>0.11</v>
      </c>
    </row>
    <row r="7" spans="1:13">
      <c r="A7" s="16" t="s">
        <v>362</v>
      </c>
      <c r="B7" s="16"/>
      <c r="C7" s="16">
        <v>0.81</v>
      </c>
      <c r="D7" s="17">
        <v>0.63</v>
      </c>
      <c r="E7" s="17">
        <v>1</v>
      </c>
      <c r="F7" s="17">
        <v>1</v>
      </c>
      <c r="G7" s="12"/>
      <c r="H7" s="18" t="s">
        <v>220</v>
      </c>
      <c r="I7" s="16">
        <v>0.06</v>
      </c>
      <c r="J7" s="17">
        <v>0.1</v>
      </c>
      <c r="K7" s="16">
        <v>0.17</v>
      </c>
      <c r="L7" s="17">
        <v>0.1</v>
      </c>
      <c r="M7" s="16">
        <v>0.07</v>
      </c>
    </row>
    <row r="8" spans="1:13">
      <c r="A8" s="16" t="s">
        <v>363</v>
      </c>
      <c r="B8" s="16"/>
      <c r="C8" s="16">
        <v>0.22</v>
      </c>
      <c r="D8" s="16">
        <v>0.57</v>
      </c>
      <c r="E8" s="17">
        <v>0.2</v>
      </c>
      <c r="F8" s="17">
        <v>0.2</v>
      </c>
      <c r="G8" s="12"/>
      <c r="H8" s="18" t="s">
        <v>221</v>
      </c>
      <c r="I8" s="16">
        <v>0.35</v>
      </c>
      <c r="J8" s="17">
        <v>0.4</v>
      </c>
      <c r="K8" s="16">
        <v>0.19</v>
      </c>
      <c r="L8" s="17">
        <v>0.45</v>
      </c>
      <c r="M8" s="17">
        <v>0.3</v>
      </c>
    </row>
    <row r="9" spans="1:13">
      <c r="A9" s="16" t="s">
        <v>364</v>
      </c>
      <c r="B9" s="16"/>
      <c r="C9" s="16">
        <v>0.21</v>
      </c>
      <c r="D9" s="17">
        <v>0.2</v>
      </c>
      <c r="E9" s="17">
        <v>0.3</v>
      </c>
      <c r="F9" s="17">
        <v>0.3</v>
      </c>
      <c r="G9" s="12"/>
      <c r="H9" s="18" t="s">
        <v>222</v>
      </c>
      <c r="I9" s="17">
        <v>0.2</v>
      </c>
      <c r="J9" s="16">
        <v>0.22</v>
      </c>
      <c r="K9" s="16">
        <v>0.17</v>
      </c>
      <c r="L9" s="16">
        <v>0.25</v>
      </c>
      <c r="M9" s="17">
        <v>0.2</v>
      </c>
    </row>
    <row r="10" spans="1:13">
      <c r="A10" s="16" t="s">
        <v>365</v>
      </c>
      <c r="B10" s="16"/>
      <c r="C10" s="16"/>
      <c r="D10" s="16"/>
      <c r="E10" s="16"/>
      <c r="F10" s="16"/>
      <c r="G10" s="12"/>
      <c r="H10" s="18" t="s">
        <v>223</v>
      </c>
      <c r="I10" s="16">
        <v>0.02</v>
      </c>
      <c r="J10" s="16">
        <v>0.03</v>
      </c>
      <c r="K10" s="16">
        <v>0.08</v>
      </c>
      <c r="L10" s="16">
        <v>0.05</v>
      </c>
      <c r="M10" s="16">
        <v>0.02</v>
      </c>
    </row>
    <row r="11" spans="1:13">
      <c r="A11" s="16" t="s">
        <v>366</v>
      </c>
      <c r="B11" s="16"/>
      <c r="C11" s="16"/>
      <c r="D11" s="16"/>
      <c r="E11" s="16"/>
      <c r="F11" s="16"/>
      <c r="G11" s="12"/>
      <c r="H11" s="18" t="s">
        <v>224</v>
      </c>
      <c r="I11" s="16">
        <v>0.09</v>
      </c>
      <c r="J11" s="17">
        <v>0.1</v>
      </c>
      <c r="K11" s="16" t="s">
        <v>367</v>
      </c>
      <c r="L11" s="17">
        <v>0.15</v>
      </c>
      <c r="M11" s="17">
        <v>0.1</v>
      </c>
    </row>
    <row r="12" spans="1:13">
      <c r="A12" s="16" t="s">
        <v>368</v>
      </c>
      <c r="B12" s="16"/>
      <c r="C12" s="16"/>
      <c r="D12" s="16"/>
      <c r="E12" s="16"/>
      <c r="F12" s="16"/>
      <c r="G12" s="12"/>
      <c r="H12" s="18" t="s">
        <v>225</v>
      </c>
      <c r="I12" s="17">
        <v>0.1</v>
      </c>
      <c r="J12" s="16">
        <v>0.12</v>
      </c>
      <c r="K12" s="17">
        <v>0.17</v>
      </c>
      <c r="L12" s="16">
        <v>0.15</v>
      </c>
      <c r="M12" s="16">
        <v>0.04</v>
      </c>
    </row>
    <row r="13" spans="1:13">
      <c r="A13" s="16" t="s">
        <v>369</v>
      </c>
      <c r="B13" s="16"/>
      <c r="C13" s="16"/>
      <c r="D13" s="16"/>
      <c r="E13" s="16"/>
      <c r="F13" s="16"/>
      <c r="G13" s="12"/>
      <c r="H13" s="16"/>
      <c r="I13" s="16"/>
      <c r="J13" s="16"/>
      <c r="K13" s="16"/>
      <c r="L13" s="16"/>
      <c r="M13" s="16"/>
    </row>
    <row r="14" spans="1:13">
      <c r="A14" s="16" t="s">
        <v>108</v>
      </c>
      <c r="B14" s="16"/>
      <c r="C14" s="16">
        <f t="shared" ref="C14:F14" si="0">SUM(C4:C13)</f>
        <v>5.89</v>
      </c>
      <c r="D14" s="16">
        <f t="shared" si="0"/>
        <v>5.97</v>
      </c>
      <c r="E14" s="16">
        <f t="shared" si="0"/>
        <v>8</v>
      </c>
      <c r="F14" s="16">
        <f t="shared" si="0"/>
        <v>8</v>
      </c>
      <c r="G14" s="12"/>
      <c r="H14" s="16"/>
      <c r="I14" s="16"/>
      <c r="J14" s="16"/>
      <c r="K14" s="16"/>
      <c r="L14" s="16"/>
      <c r="M14" s="16"/>
    </row>
  </sheetData>
  <mergeCells count="7">
    <mergeCell ref="A1:F1"/>
    <mergeCell ref="H1:M1"/>
    <mergeCell ref="A2:D2"/>
    <mergeCell ref="E2:F2"/>
    <mergeCell ref="H2:K2"/>
    <mergeCell ref="L2:M2"/>
    <mergeCell ref="G1:G14"/>
  </mergeCells>
  <pageMargins left="0.699305555555556" right="0.699305555555556" top="0.75" bottom="0.75" header="0.511111111111111" footer="0.51111111111111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72"/>
  <sheetViews>
    <sheetView workbookViewId="0">
      <selection activeCell="C6" sqref="C6"/>
    </sheetView>
  </sheetViews>
  <sheetFormatPr defaultColWidth="9.64545454545454" defaultRowHeight="14.5" outlineLevelCol="6"/>
  <cols>
    <col min="1" max="2" width="9.10909090909091" customWidth="1"/>
    <col min="3" max="3" width="28.5545454545455" customWidth="1"/>
    <col min="4" max="4" width="19" customWidth="1"/>
    <col min="5" max="5" width="41.4363636363636" style="1" customWidth="1"/>
    <col min="6" max="6" width="26.3272727272727" customWidth="1"/>
    <col min="7" max="7" width="13.6636363636364" customWidth="1"/>
    <col min="8" max="1025" width="9.10909090909091" customWidth="1"/>
  </cols>
  <sheetData>
    <row r="2" spans="2:7">
      <c r="B2" s="2"/>
      <c r="C2" s="3" t="s">
        <v>370</v>
      </c>
      <c r="D2" s="3" t="s">
        <v>371</v>
      </c>
      <c r="E2" s="4" t="s">
        <v>372</v>
      </c>
      <c r="F2" s="3" t="s">
        <v>373</v>
      </c>
      <c r="G2" s="3" t="s">
        <v>374</v>
      </c>
    </row>
    <row r="3" spans="2:7">
      <c r="B3" s="5"/>
      <c r="C3" s="6" t="s">
        <v>375</v>
      </c>
      <c r="D3" s="6"/>
      <c r="E3" s="7"/>
      <c r="F3" s="6"/>
      <c r="G3" s="6"/>
    </row>
    <row r="4" spans="2:7">
      <c r="B4" s="5"/>
      <c r="C4" s="5"/>
      <c r="D4" s="5"/>
      <c r="E4" s="8"/>
      <c r="F4" s="5"/>
      <c r="G4" s="5"/>
    </row>
    <row r="5" spans="2:7">
      <c r="B5" s="5"/>
      <c r="C5" s="5"/>
      <c r="D5" s="5"/>
      <c r="E5" s="9"/>
      <c r="F5" s="5"/>
      <c r="G5" s="5"/>
    </row>
    <row r="6" spans="2:7">
      <c r="B6" s="5"/>
      <c r="C6" s="5" t="s">
        <v>376</v>
      </c>
      <c r="D6" s="5"/>
      <c r="E6" s="9"/>
      <c r="F6" s="5"/>
      <c r="G6" s="5"/>
    </row>
    <row r="7" spans="2:7">
      <c r="B7" s="5"/>
      <c r="C7" s="5"/>
      <c r="D7" s="5"/>
      <c r="E7" s="8"/>
      <c r="F7" s="5"/>
      <c r="G7" s="5"/>
    </row>
    <row r="8" spans="2:7">
      <c r="B8" s="5"/>
      <c r="C8" s="5"/>
      <c r="D8" s="5"/>
      <c r="E8" s="9"/>
      <c r="F8" s="5"/>
      <c r="G8" s="5"/>
    </row>
    <row r="9" spans="2:7">
      <c r="B9" s="5"/>
      <c r="C9" s="5"/>
      <c r="D9" s="5"/>
      <c r="E9" s="9"/>
      <c r="F9" s="5"/>
      <c r="G9" s="5"/>
    </row>
    <row r="10" spans="2:7">
      <c r="B10" s="5"/>
      <c r="C10" s="5"/>
      <c r="D10" s="5"/>
      <c r="E10" s="9"/>
      <c r="F10" s="5"/>
      <c r="G10" s="5"/>
    </row>
    <row r="11" spans="2:7">
      <c r="B11" s="5"/>
      <c r="C11" s="5"/>
      <c r="D11" s="5"/>
      <c r="E11" s="9"/>
      <c r="F11" s="5"/>
      <c r="G11" s="5"/>
    </row>
    <row r="12" spans="2:7">
      <c r="B12" s="5"/>
      <c r="C12" s="5"/>
      <c r="D12" s="5"/>
      <c r="E12" s="9"/>
      <c r="F12" s="5"/>
      <c r="G12" s="5"/>
    </row>
    <row r="13" spans="2:7">
      <c r="B13" s="5"/>
      <c r="C13" s="5"/>
      <c r="D13" s="5"/>
      <c r="E13" s="9"/>
      <c r="F13" s="5"/>
      <c r="G13" s="5"/>
    </row>
    <row r="14" spans="2:7">
      <c r="B14" s="5"/>
      <c r="C14" s="5"/>
      <c r="D14" s="5"/>
      <c r="E14" s="8"/>
      <c r="F14" s="5"/>
      <c r="G14" s="5"/>
    </row>
    <row r="15" spans="2:7">
      <c r="B15" s="5"/>
      <c r="C15" s="5"/>
      <c r="D15" s="5"/>
      <c r="E15" s="9"/>
      <c r="F15" s="5"/>
      <c r="G15" s="5"/>
    </row>
    <row r="16" spans="2:7">
      <c r="B16" s="5"/>
      <c r="C16" s="5"/>
      <c r="D16" s="5"/>
      <c r="E16" s="9"/>
      <c r="F16" s="5"/>
      <c r="G16" s="5"/>
    </row>
    <row r="17" spans="2:7">
      <c r="B17" s="5"/>
      <c r="C17" s="5"/>
      <c r="D17" s="5"/>
      <c r="E17" s="8"/>
      <c r="F17" s="5"/>
      <c r="G17" s="5"/>
    </row>
    <row r="18" spans="2:7">
      <c r="B18" s="5"/>
      <c r="C18" s="5"/>
      <c r="D18" s="5"/>
      <c r="E18" s="9"/>
      <c r="F18" s="5"/>
      <c r="G18" s="5"/>
    </row>
    <row r="19" spans="2:7">
      <c r="B19" s="5"/>
      <c r="C19" s="5"/>
      <c r="D19" s="5"/>
      <c r="E19" s="9"/>
      <c r="F19" s="5"/>
      <c r="G19" s="5"/>
    </row>
    <row r="20" spans="2:7">
      <c r="B20" s="5"/>
      <c r="C20" s="5"/>
      <c r="D20" s="5"/>
      <c r="E20" s="9"/>
      <c r="F20" s="5"/>
      <c r="G20" s="5"/>
    </row>
    <row r="21" spans="2:7">
      <c r="B21" s="5"/>
      <c r="C21" s="5"/>
      <c r="D21" s="5"/>
      <c r="E21" s="9"/>
      <c r="F21" s="5"/>
      <c r="G21" s="5"/>
    </row>
    <row r="22" spans="2:7">
      <c r="B22" s="5"/>
      <c r="C22" s="5"/>
      <c r="D22" s="5"/>
      <c r="E22" s="8"/>
      <c r="F22" s="5"/>
      <c r="G22" s="5"/>
    </row>
    <row r="23" spans="2:7">
      <c r="B23" s="5"/>
      <c r="C23" s="5"/>
      <c r="D23" s="5"/>
      <c r="E23" s="9"/>
      <c r="F23" s="5"/>
      <c r="G23" s="5"/>
    </row>
    <row r="24" spans="2:7">
      <c r="B24" s="5"/>
      <c r="C24" s="5"/>
      <c r="D24" s="5"/>
      <c r="E24" s="8"/>
      <c r="F24" s="5"/>
      <c r="G24" s="5"/>
    </row>
    <row r="25" spans="2:7">
      <c r="B25" s="5"/>
      <c r="C25" s="5"/>
      <c r="D25" s="5"/>
      <c r="E25" s="9"/>
      <c r="F25" s="5"/>
      <c r="G25" s="5"/>
    </row>
    <row r="26" spans="2:7">
      <c r="B26" s="5"/>
      <c r="C26" s="5"/>
      <c r="D26" s="5"/>
      <c r="E26" s="9"/>
      <c r="F26" s="5"/>
      <c r="G26" s="5"/>
    </row>
    <row r="27" spans="2:7">
      <c r="B27" s="5"/>
      <c r="C27" s="5"/>
      <c r="D27" s="5"/>
      <c r="E27" s="9"/>
      <c r="F27" s="5"/>
      <c r="G27" s="5"/>
    </row>
    <row r="28" spans="2:7">
      <c r="B28" s="5"/>
      <c r="C28" s="5"/>
      <c r="D28" s="5"/>
      <c r="E28" s="9"/>
      <c r="F28" s="5"/>
      <c r="G28" s="5"/>
    </row>
    <row r="29" spans="2:7">
      <c r="B29" s="5"/>
      <c r="C29" s="5"/>
      <c r="D29" s="5"/>
      <c r="E29" s="9"/>
      <c r="F29" s="5"/>
      <c r="G29" s="5"/>
    </row>
    <row r="30" spans="2:7">
      <c r="B30" s="5"/>
      <c r="C30" s="5"/>
      <c r="D30" s="5"/>
      <c r="E30" s="8"/>
      <c r="F30" s="5"/>
      <c r="G30" s="5"/>
    </row>
    <row r="31" spans="2:7">
      <c r="B31" s="5"/>
      <c r="C31" s="5"/>
      <c r="D31" s="5"/>
      <c r="E31" s="9"/>
      <c r="F31" s="5"/>
      <c r="G31" s="5"/>
    </row>
    <row r="32" spans="2:7">
      <c r="B32" s="5"/>
      <c r="C32" s="5"/>
      <c r="D32" s="5"/>
      <c r="E32" s="9"/>
      <c r="F32" s="5"/>
      <c r="G32" s="5"/>
    </row>
    <row r="33" spans="2:7">
      <c r="B33" s="5"/>
      <c r="C33" s="5"/>
      <c r="D33" s="5"/>
      <c r="E33" s="9"/>
      <c r="F33" s="5"/>
      <c r="G33" s="5"/>
    </row>
    <row r="34" spans="2:7">
      <c r="B34" s="5"/>
      <c r="C34" s="5"/>
      <c r="D34" s="5"/>
      <c r="E34" s="9"/>
      <c r="F34" s="5"/>
      <c r="G34" s="5"/>
    </row>
    <row r="35" spans="2:7">
      <c r="B35" s="5"/>
      <c r="C35" s="5"/>
      <c r="D35" s="5"/>
      <c r="E35" s="9"/>
      <c r="F35" s="5"/>
      <c r="G35" s="5"/>
    </row>
    <row r="36" spans="2:7">
      <c r="B36" s="5"/>
      <c r="C36" s="5"/>
      <c r="D36" s="5"/>
      <c r="E36" s="9"/>
      <c r="F36" s="5"/>
      <c r="G36" s="5"/>
    </row>
    <row r="37" spans="2:7">
      <c r="B37" s="5"/>
      <c r="C37" s="5"/>
      <c r="D37" s="5"/>
      <c r="E37" s="9"/>
      <c r="F37" s="5"/>
      <c r="G37" s="5"/>
    </row>
    <row r="38" spans="2:7">
      <c r="B38" s="5"/>
      <c r="C38" s="5"/>
      <c r="D38" s="5"/>
      <c r="E38" s="9"/>
      <c r="F38" s="5"/>
      <c r="G38" s="5"/>
    </row>
    <row r="39" spans="2:7">
      <c r="B39" s="5"/>
      <c r="C39" s="5"/>
      <c r="D39" s="5"/>
      <c r="E39" s="9"/>
      <c r="F39" s="5"/>
      <c r="G39" s="5"/>
    </row>
    <row r="40" spans="2:7">
      <c r="B40" s="5"/>
      <c r="C40" s="5"/>
      <c r="D40" s="5"/>
      <c r="E40" s="9"/>
      <c r="F40" s="5"/>
      <c r="G40" s="5"/>
    </row>
    <row r="41" spans="2:7">
      <c r="B41" s="5"/>
      <c r="C41" s="5"/>
      <c r="D41" s="5"/>
      <c r="E41" s="9"/>
      <c r="F41" s="5"/>
      <c r="G41" s="5"/>
    </row>
    <row r="42" spans="2:7">
      <c r="B42" s="5"/>
      <c r="C42" s="5"/>
      <c r="D42" s="5"/>
      <c r="E42" s="9"/>
      <c r="F42" s="5"/>
      <c r="G42" s="5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9"/>
      <c r="F44" s="5"/>
      <c r="G44" s="5"/>
    </row>
    <row r="45" spans="2:7">
      <c r="B45" s="5"/>
      <c r="C45" s="5"/>
      <c r="D45" s="5"/>
      <c r="E45" s="9"/>
      <c r="F45" s="5"/>
      <c r="G45" s="5"/>
    </row>
    <row r="46" spans="2:7">
      <c r="B46" s="5"/>
      <c r="C46" s="5"/>
      <c r="D46" s="5"/>
      <c r="E46" s="9"/>
      <c r="F46" s="5"/>
      <c r="G46" s="5"/>
    </row>
    <row r="47" spans="2:7">
      <c r="B47" s="5"/>
      <c r="C47" s="5"/>
      <c r="D47" s="5"/>
      <c r="E47" s="9"/>
      <c r="F47" s="5"/>
      <c r="G47" s="5"/>
    </row>
    <row r="48" spans="2:7">
      <c r="B48" s="5"/>
      <c r="C48" s="5"/>
      <c r="D48" s="5"/>
      <c r="E48" s="9"/>
      <c r="F48" s="5"/>
      <c r="G48" s="5"/>
    </row>
    <row r="49" spans="2:7">
      <c r="B49" s="5"/>
      <c r="C49" s="5"/>
      <c r="D49" s="5"/>
      <c r="E49" s="9"/>
      <c r="F49" s="5"/>
      <c r="G49" s="5"/>
    </row>
    <row r="50" spans="2:7">
      <c r="B50" s="5"/>
      <c r="C50" s="5"/>
      <c r="D50" s="5"/>
      <c r="E50" s="9"/>
      <c r="F50" s="5"/>
      <c r="G50" s="5"/>
    </row>
    <row r="51" spans="2:7">
      <c r="B51" s="5"/>
      <c r="C51" s="5"/>
      <c r="D51" s="5"/>
      <c r="E51" s="9"/>
      <c r="F51" s="5"/>
      <c r="G51" s="5"/>
    </row>
    <row r="52" spans="2:7">
      <c r="B52" s="5"/>
      <c r="C52" s="5"/>
      <c r="D52" s="5"/>
      <c r="E52" s="9"/>
      <c r="F52" s="5"/>
      <c r="G52" s="5"/>
    </row>
    <row r="53" spans="2:7">
      <c r="B53" s="5"/>
      <c r="C53" s="5"/>
      <c r="D53" s="5"/>
      <c r="E53" s="9"/>
      <c r="F53" s="5"/>
      <c r="G53" s="5"/>
    </row>
    <row r="54" spans="2:7">
      <c r="B54" s="5"/>
      <c r="C54" s="5"/>
      <c r="D54" s="5"/>
      <c r="E54" s="9"/>
      <c r="F54" s="5"/>
      <c r="G54" s="5"/>
    </row>
    <row r="55" spans="2:7">
      <c r="B55" s="5"/>
      <c r="C55" s="5"/>
      <c r="D55" s="5"/>
      <c r="E55" s="9"/>
      <c r="F55" s="5"/>
      <c r="G55" s="5"/>
    </row>
    <row r="56" spans="2:7">
      <c r="B56" s="5"/>
      <c r="C56" s="5"/>
      <c r="D56" s="5"/>
      <c r="E56" s="9"/>
      <c r="F56" s="5"/>
      <c r="G56" s="5"/>
    </row>
    <row r="57" spans="2:7">
      <c r="B57" s="5"/>
      <c r="C57" s="5"/>
      <c r="D57" s="5"/>
      <c r="E57" s="9"/>
      <c r="F57" s="5"/>
      <c r="G57" s="5"/>
    </row>
    <row r="58" spans="2:7">
      <c r="B58" s="5"/>
      <c r="C58" s="5"/>
      <c r="D58" s="5"/>
      <c r="E58" s="9"/>
      <c r="F58" s="5"/>
      <c r="G58" s="5"/>
    </row>
    <row r="59" spans="2:7">
      <c r="B59" s="2"/>
      <c r="C59" s="5"/>
      <c r="D59" s="5"/>
      <c r="E59" s="8"/>
      <c r="F59" s="5"/>
      <c r="G59" s="2"/>
    </row>
    <row r="60" spans="2:7">
      <c r="B60" s="2"/>
      <c r="C60" s="5"/>
      <c r="D60" s="5"/>
      <c r="E60" s="9"/>
      <c r="F60" s="5"/>
      <c r="G60" s="2"/>
    </row>
    <row r="61" spans="2:7">
      <c r="B61" s="2"/>
      <c r="C61" s="5"/>
      <c r="D61" s="5"/>
      <c r="E61" s="9"/>
      <c r="F61" s="5"/>
      <c r="G61" s="2"/>
    </row>
    <row r="62" spans="2:7">
      <c r="B62" s="2"/>
      <c r="C62" s="5"/>
      <c r="D62" s="5"/>
      <c r="E62" s="8"/>
      <c r="F62" s="5"/>
      <c r="G62" s="2"/>
    </row>
    <row r="63" spans="2:7">
      <c r="B63" s="2"/>
      <c r="C63" s="5"/>
      <c r="D63" s="5"/>
      <c r="E63" s="9"/>
      <c r="F63" s="5"/>
      <c r="G63" s="2"/>
    </row>
    <row r="64" spans="2:7">
      <c r="B64" s="2"/>
      <c r="C64" s="5"/>
      <c r="D64" s="5"/>
      <c r="E64" s="9"/>
      <c r="F64" s="5"/>
      <c r="G64" s="2"/>
    </row>
    <row r="65" spans="3:7">
      <c r="C65" s="5"/>
      <c r="D65" s="5"/>
      <c r="E65" s="9"/>
      <c r="F65" s="5"/>
      <c r="G65" s="2"/>
    </row>
    <row r="66" spans="3:7">
      <c r="C66" s="5"/>
      <c r="D66" s="5"/>
      <c r="E66" s="9"/>
      <c r="F66" s="5"/>
      <c r="G66" s="2"/>
    </row>
    <row r="67" spans="3:7">
      <c r="C67" s="5"/>
      <c r="D67" s="5"/>
      <c r="E67" s="9"/>
      <c r="F67" s="5"/>
      <c r="G67" s="2"/>
    </row>
    <row r="68" spans="3:7">
      <c r="C68" s="5"/>
      <c r="D68" s="5"/>
      <c r="E68" s="9"/>
      <c r="F68" s="5"/>
      <c r="G68" s="2"/>
    </row>
    <row r="69" spans="3:7">
      <c r="C69" s="5"/>
      <c r="D69" s="5"/>
      <c r="E69" s="8"/>
      <c r="F69" s="5"/>
      <c r="G69" s="2"/>
    </row>
    <row r="70" spans="3:7">
      <c r="C70" s="5"/>
      <c r="D70" s="5"/>
      <c r="E70" s="9"/>
      <c r="F70" s="5"/>
      <c r="G70" s="2"/>
    </row>
    <row r="71" spans="3:7">
      <c r="C71" s="5"/>
      <c r="D71" s="5"/>
      <c r="E71" s="9"/>
      <c r="F71" s="5"/>
      <c r="G71" s="2"/>
    </row>
    <row r="72" spans="3:7">
      <c r="C72" s="5"/>
      <c r="D72" s="5"/>
      <c r="E72" s="8"/>
      <c r="F72" s="5"/>
      <c r="G72" s="2"/>
    </row>
    <row r="73" spans="3:7">
      <c r="C73" s="5"/>
      <c r="D73" s="5"/>
      <c r="E73" s="9"/>
      <c r="F73" s="5"/>
      <c r="G73" s="2"/>
    </row>
    <row r="74" spans="3:7">
      <c r="C74" s="5"/>
      <c r="D74" s="5"/>
      <c r="E74" s="9"/>
      <c r="F74" s="5"/>
      <c r="G74" s="2"/>
    </row>
    <row r="75" spans="3:7">
      <c r="C75" s="5"/>
      <c r="D75" s="5"/>
      <c r="E75" s="9"/>
      <c r="F75" s="5"/>
      <c r="G75" s="2"/>
    </row>
    <row r="76" spans="3:7">
      <c r="C76" s="5"/>
      <c r="D76" s="5"/>
      <c r="E76" s="9"/>
      <c r="F76" s="5"/>
      <c r="G76" s="2"/>
    </row>
    <row r="77" spans="3:7">
      <c r="C77" s="2"/>
      <c r="D77" s="2"/>
      <c r="E77" s="8"/>
      <c r="F77" s="2"/>
      <c r="G77" s="2"/>
    </row>
    <row r="78" spans="3:7">
      <c r="C78" s="5"/>
      <c r="D78" s="5"/>
      <c r="E78" s="8"/>
      <c r="F78" s="5"/>
      <c r="G78" s="2"/>
    </row>
    <row r="79" spans="3:7">
      <c r="C79" s="5"/>
      <c r="D79" s="5"/>
      <c r="E79" s="9"/>
      <c r="F79" s="5"/>
      <c r="G79" s="2"/>
    </row>
    <row r="80" spans="3:7">
      <c r="C80" s="5"/>
      <c r="D80" s="5"/>
      <c r="E80" s="9"/>
      <c r="F80" s="5"/>
      <c r="G80" s="2"/>
    </row>
    <row r="81" spans="3:7">
      <c r="C81" s="5"/>
      <c r="D81" s="5"/>
      <c r="E81" s="8"/>
      <c r="F81" s="5"/>
      <c r="G81" s="2"/>
    </row>
    <row r="82" spans="3:7">
      <c r="C82" s="5"/>
      <c r="D82" s="5"/>
      <c r="E82" s="9"/>
      <c r="F82" s="5"/>
      <c r="G82" s="2"/>
    </row>
    <row r="83" spans="3:7">
      <c r="C83" s="5"/>
      <c r="D83" s="5"/>
      <c r="E83" s="9"/>
      <c r="F83" s="5"/>
      <c r="G83" s="2"/>
    </row>
    <row r="84" spans="3:7">
      <c r="C84" s="5"/>
      <c r="D84" s="5"/>
      <c r="E84" s="9"/>
      <c r="F84" s="5"/>
      <c r="G84" s="2"/>
    </row>
    <row r="85" spans="3:7">
      <c r="C85" s="5"/>
      <c r="D85" s="5"/>
      <c r="E85" s="9"/>
      <c r="F85" s="5"/>
      <c r="G85" s="2"/>
    </row>
    <row r="86" spans="3:7">
      <c r="C86" s="5"/>
      <c r="D86" s="5"/>
      <c r="E86" s="9"/>
      <c r="F86" s="5"/>
      <c r="G86" s="2"/>
    </row>
    <row r="87" spans="3:7">
      <c r="C87" s="5"/>
      <c r="D87" s="5"/>
      <c r="E87" s="9"/>
      <c r="F87" s="5"/>
      <c r="G87" s="2"/>
    </row>
    <row r="88" spans="3:7">
      <c r="C88" s="5"/>
      <c r="D88" s="5"/>
      <c r="E88" s="8"/>
      <c r="F88" s="5"/>
      <c r="G88" s="2"/>
    </row>
    <row r="89" spans="3:7">
      <c r="C89" s="5"/>
      <c r="D89" s="5"/>
      <c r="E89" s="9"/>
      <c r="F89" s="5"/>
      <c r="G89" s="2"/>
    </row>
    <row r="90" spans="3:7">
      <c r="C90" s="5"/>
      <c r="D90" s="5"/>
      <c r="E90" s="9"/>
      <c r="F90" s="5"/>
      <c r="G90" s="2"/>
    </row>
    <row r="91" spans="3:7">
      <c r="C91" s="5"/>
      <c r="D91" s="5"/>
      <c r="E91" s="8"/>
      <c r="F91" s="5"/>
      <c r="G91" s="2"/>
    </row>
    <row r="92" spans="3:7">
      <c r="C92" s="5"/>
      <c r="D92" s="5"/>
      <c r="E92" s="9"/>
      <c r="F92" s="5"/>
      <c r="G92" s="2"/>
    </row>
    <row r="93" spans="3:7">
      <c r="C93" s="5"/>
      <c r="D93" s="5"/>
      <c r="E93" s="9"/>
      <c r="F93" s="5"/>
      <c r="G93" s="2"/>
    </row>
    <row r="94" spans="3:7">
      <c r="C94" s="5"/>
      <c r="D94" s="5"/>
      <c r="E94" s="9"/>
      <c r="F94" s="5"/>
      <c r="G94" s="2"/>
    </row>
    <row r="95" spans="3:7">
      <c r="C95" s="5"/>
      <c r="D95" s="5"/>
      <c r="E95" s="9"/>
      <c r="F95" s="5"/>
      <c r="G95" s="2"/>
    </row>
    <row r="96" spans="3:7">
      <c r="C96" s="5"/>
      <c r="D96" s="5"/>
      <c r="E96" s="8"/>
      <c r="F96" s="5"/>
      <c r="G96" s="2"/>
    </row>
    <row r="97" spans="3:7">
      <c r="C97" s="5"/>
      <c r="D97" s="5"/>
      <c r="E97" s="9"/>
      <c r="F97" s="5"/>
      <c r="G97" s="2"/>
    </row>
    <row r="98" spans="3:7">
      <c r="C98" s="5"/>
      <c r="D98" s="5"/>
      <c r="E98" s="8"/>
      <c r="F98" s="5"/>
      <c r="G98" s="2"/>
    </row>
    <row r="99" spans="3:7">
      <c r="C99" s="5"/>
      <c r="D99" s="5"/>
      <c r="E99" s="9"/>
      <c r="F99" s="5"/>
      <c r="G99" s="2"/>
    </row>
    <row r="100" spans="3:7">
      <c r="C100" s="5"/>
      <c r="D100" s="5"/>
      <c r="E100" s="9"/>
      <c r="F100" s="5"/>
      <c r="G100" s="2"/>
    </row>
    <row r="101" spans="3:7">
      <c r="C101" s="5"/>
      <c r="D101" s="5"/>
      <c r="E101" s="9"/>
      <c r="F101" s="5"/>
      <c r="G101" s="2"/>
    </row>
    <row r="102" spans="3:7">
      <c r="C102" s="5"/>
      <c r="D102" s="5"/>
      <c r="E102" s="9"/>
      <c r="F102" s="5"/>
      <c r="G102" s="2"/>
    </row>
    <row r="103" spans="3:7">
      <c r="C103" s="5"/>
      <c r="D103" s="5"/>
      <c r="E103" s="9"/>
      <c r="F103" s="5"/>
      <c r="G103" s="2"/>
    </row>
    <row r="104" spans="3:7">
      <c r="C104" s="5"/>
      <c r="D104" s="5"/>
      <c r="E104" s="8"/>
      <c r="F104" s="5"/>
      <c r="G104" s="2"/>
    </row>
    <row r="105" spans="3:7">
      <c r="C105" s="5"/>
      <c r="D105" s="5"/>
      <c r="E105" s="9"/>
      <c r="F105" s="5"/>
      <c r="G105" s="2"/>
    </row>
    <row r="106" spans="3:7">
      <c r="C106" s="5"/>
      <c r="D106" s="5"/>
      <c r="E106" s="9"/>
      <c r="F106" s="5"/>
      <c r="G106" s="2"/>
    </row>
    <row r="107" spans="3:7">
      <c r="C107" s="5"/>
      <c r="D107" s="5"/>
      <c r="E107" s="9"/>
      <c r="F107" s="5"/>
      <c r="G107" s="2"/>
    </row>
    <row r="108" spans="3:7">
      <c r="C108" s="5"/>
      <c r="D108" s="5"/>
      <c r="E108" s="9"/>
      <c r="F108" s="5"/>
      <c r="G108" s="2"/>
    </row>
    <row r="109" spans="3:7">
      <c r="C109" s="5"/>
      <c r="D109" s="5"/>
      <c r="E109" s="9"/>
      <c r="F109" s="5"/>
      <c r="G109" s="2"/>
    </row>
    <row r="110" spans="3:7">
      <c r="C110" s="5"/>
      <c r="D110" s="5"/>
      <c r="E110" s="9"/>
      <c r="F110" s="5"/>
      <c r="G110" s="2"/>
    </row>
    <row r="111" spans="3:7">
      <c r="C111" s="5"/>
      <c r="D111" s="5"/>
      <c r="E111" s="9"/>
      <c r="F111" s="5"/>
      <c r="G111" s="2"/>
    </row>
    <row r="112" spans="3:7">
      <c r="C112" s="5"/>
      <c r="D112" s="5"/>
      <c r="E112" s="9"/>
      <c r="F112" s="5"/>
      <c r="G112" s="2"/>
    </row>
    <row r="113" spans="3:7">
      <c r="C113" s="5"/>
      <c r="D113" s="5"/>
      <c r="E113" s="9"/>
      <c r="F113" s="5"/>
      <c r="G113" s="2"/>
    </row>
    <row r="114" spans="3:7">
      <c r="C114" s="5"/>
      <c r="D114" s="5"/>
      <c r="E114" s="9"/>
      <c r="F114" s="5"/>
      <c r="G114" s="2"/>
    </row>
    <row r="115" spans="3:7">
      <c r="C115" s="5"/>
      <c r="D115" s="5"/>
      <c r="E115" s="9"/>
      <c r="F115" s="5"/>
      <c r="G115" s="2"/>
    </row>
    <row r="116" spans="3:7">
      <c r="C116" s="5"/>
      <c r="D116" s="5"/>
      <c r="E116" s="9"/>
      <c r="F116" s="5"/>
      <c r="G116" s="2"/>
    </row>
    <row r="117" spans="3:7">
      <c r="C117" s="5"/>
      <c r="D117" s="5"/>
      <c r="E117" s="9"/>
      <c r="F117" s="5"/>
      <c r="G117" s="2"/>
    </row>
    <row r="118" spans="3:7">
      <c r="C118" s="5"/>
      <c r="D118" s="5"/>
      <c r="E118" s="9"/>
      <c r="F118" s="5"/>
      <c r="G118" s="2"/>
    </row>
    <row r="119" spans="3:7">
      <c r="C119" s="2"/>
      <c r="D119" s="2"/>
      <c r="E119" s="8"/>
      <c r="F119" s="2"/>
      <c r="G119" s="2"/>
    </row>
    <row r="120" spans="3:7">
      <c r="C120" s="2"/>
      <c r="D120" s="2"/>
      <c r="E120" s="8"/>
      <c r="F120" s="2"/>
      <c r="G120" s="2"/>
    </row>
    <row r="121" spans="3:7">
      <c r="C121" s="2"/>
      <c r="D121" s="2"/>
      <c r="E121" s="8"/>
      <c r="F121" s="2"/>
      <c r="G121" s="2"/>
    </row>
    <row r="122" spans="3:7">
      <c r="C122" s="2"/>
      <c r="D122" s="2"/>
      <c r="E122" s="8"/>
      <c r="F122" s="2"/>
      <c r="G122" s="2"/>
    </row>
    <row r="123" spans="3:7">
      <c r="C123" s="2"/>
      <c r="D123" s="2"/>
      <c r="E123" s="8"/>
      <c r="F123" s="2"/>
      <c r="G123" s="2"/>
    </row>
    <row r="124" spans="3:7">
      <c r="C124" s="2"/>
      <c r="D124" s="2"/>
      <c r="E124" s="8"/>
      <c r="F124" s="2"/>
      <c r="G124" s="2"/>
    </row>
    <row r="125" spans="3:7">
      <c r="C125" s="2"/>
      <c r="D125" s="2"/>
      <c r="E125" s="8"/>
      <c r="F125" s="2"/>
      <c r="G125" s="2"/>
    </row>
    <row r="126" spans="3:7">
      <c r="C126" s="2"/>
      <c r="D126" s="2"/>
      <c r="E126" s="8"/>
      <c r="F126" s="2"/>
      <c r="G126" s="2"/>
    </row>
    <row r="127" spans="3:7">
      <c r="C127" s="2"/>
      <c r="D127" s="2"/>
      <c r="E127" s="8"/>
      <c r="F127" s="2"/>
      <c r="G127" s="2"/>
    </row>
    <row r="128" spans="3:7">
      <c r="C128" s="2"/>
      <c r="D128" s="2"/>
      <c r="E128" s="8"/>
      <c r="F128" s="2"/>
      <c r="G128" s="2"/>
    </row>
    <row r="129" spans="3:7">
      <c r="C129" s="2"/>
      <c r="D129" s="2"/>
      <c r="E129" s="8"/>
      <c r="F129" s="2"/>
      <c r="G129" s="2"/>
    </row>
    <row r="130" spans="3:7">
      <c r="C130" s="2"/>
      <c r="D130" s="2"/>
      <c r="E130" s="8"/>
      <c r="F130" s="2"/>
      <c r="G130" s="2"/>
    </row>
    <row r="131" spans="3:7">
      <c r="C131" s="2"/>
      <c r="D131" s="2"/>
      <c r="E131" s="8"/>
      <c r="F131" s="2"/>
      <c r="G131" s="2"/>
    </row>
    <row r="132" spans="3:7">
      <c r="C132" s="2"/>
      <c r="D132" s="2"/>
      <c r="E132" s="8"/>
      <c r="F132" s="2"/>
      <c r="G132" s="2"/>
    </row>
    <row r="133" spans="3:7">
      <c r="C133" s="2"/>
      <c r="D133" s="2"/>
      <c r="E133" s="8"/>
      <c r="F133" s="2"/>
      <c r="G133" s="2"/>
    </row>
    <row r="134" spans="3:7">
      <c r="C134" s="2"/>
      <c r="D134" s="2"/>
      <c r="E134" s="8"/>
      <c r="F134" s="2"/>
      <c r="G134" s="2"/>
    </row>
    <row r="135" spans="3:7">
      <c r="C135" s="2"/>
      <c r="D135" s="2"/>
      <c r="E135" s="8"/>
      <c r="F135" s="2"/>
      <c r="G135" s="2"/>
    </row>
    <row r="136" spans="3:7">
      <c r="C136" s="2"/>
      <c r="D136" s="2"/>
      <c r="E136" s="8"/>
      <c r="F136" s="2"/>
      <c r="G136" s="2"/>
    </row>
    <row r="137" spans="3:7">
      <c r="C137" s="2"/>
      <c r="D137" s="2"/>
      <c r="E137" s="8"/>
      <c r="F137" s="2"/>
      <c r="G137" s="2"/>
    </row>
    <row r="138" spans="3:7">
      <c r="C138" s="2"/>
      <c r="D138" s="2"/>
      <c r="E138" s="8"/>
      <c r="F138" s="2"/>
      <c r="G138" s="2"/>
    </row>
    <row r="139" spans="3:7">
      <c r="C139" s="2"/>
      <c r="D139" s="2"/>
      <c r="E139" s="8"/>
      <c r="F139" s="2"/>
      <c r="G139" s="2"/>
    </row>
    <row r="140" spans="3:7">
      <c r="C140" s="2"/>
      <c r="D140" s="2"/>
      <c r="E140" s="8"/>
      <c r="F140" s="2"/>
      <c r="G140" s="2"/>
    </row>
    <row r="141" spans="3:7">
      <c r="C141" s="2"/>
      <c r="D141" s="2"/>
      <c r="E141" s="8"/>
      <c r="F141" s="2"/>
      <c r="G141" s="2"/>
    </row>
    <row r="142" spans="3:7">
      <c r="C142" s="2"/>
      <c r="D142" s="2"/>
      <c r="E142" s="8"/>
      <c r="F142" s="2"/>
      <c r="G142" s="2"/>
    </row>
    <row r="143" spans="3:7">
      <c r="C143" s="2"/>
      <c r="D143" s="2"/>
      <c r="E143" s="8"/>
      <c r="F143" s="2"/>
      <c r="G143" s="2"/>
    </row>
    <row r="144" spans="3:7">
      <c r="C144" s="2"/>
      <c r="D144" s="2"/>
      <c r="E144" s="8"/>
      <c r="F144" s="2"/>
      <c r="G144" s="2"/>
    </row>
    <row r="145" spans="3:7">
      <c r="C145" s="2"/>
      <c r="D145" s="2"/>
      <c r="E145" s="8"/>
      <c r="F145" s="2"/>
      <c r="G145" s="2"/>
    </row>
    <row r="146" spans="3:7">
      <c r="C146" s="2"/>
      <c r="D146" s="2"/>
      <c r="E146" s="8"/>
      <c r="F146" s="2"/>
      <c r="G146" s="2"/>
    </row>
    <row r="147" spans="3:7">
      <c r="C147" s="2"/>
      <c r="D147" s="2"/>
      <c r="E147" s="8"/>
      <c r="F147" s="2"/>
      <c r="G147" s="2"/>
    </row>
    <row r="148" spans="3:7">
      <c r="C148" s="2"/>
      <c r="D148" s="2"/>
      <c r="E148" s="8"/>
      <c r="F148" s="2"/>
      <c r="G148" s="2"/>
    </row>
    <row r="149" spans="3:7">
      <c r="C149" s="2"/>
      <c r="D149" s="2"/>
      <c r="E149" s="8"/>
      <c r="F149" s="2"/>
      <c r="G149" s="2"/>
    </row>
    <row r="150" spans="3:7">
      <c r="C150" s="2"/>
      <c r="D150" s="2"/>
      <c r="E150" s="9"/>
      <c r="F150" s="2"/>
      <c r="G150" s="2"/>
    </row>
    <row r="151" spans="3:7">
      <c r="C151" s="2"/>
      <c r="D151" s="2"/>
      <c r="E151" s="8"/>
      <c r="F151" s="2"/>
      <c r="G151" s="2"/>
    </row>
    <row r="152" spans="3:7">
      <c r="C152" s="2"/>
      <c r="D152" s="2"/>
      <c r="E152" s="9"/>
      <c r="F152" s="2"/>
      <c r="G152" s="2"/>
    </row>
    <row r="153" spans="3:7">
      <c r="C153" s="2"/>
      <c r="D153" s="2"/>
      <c r="E153" s="8"/>
      <c r="F153" s="2"/>
      <c r="G153" s="2"/>
    </row>
    <row r="154" spans="3:7">
      <c r="C154" s="2"/>
      <c r="D154" s="2"/>
      <c r="E154" s="8"/>
      <c r="F154" s="2"/>
      <c r="G154" s="2"/>
    </row>
    <row r="155" spans="3:7">
      <c r="C155" s="2"/>
      <c r="D155" s="2"/>
      <c r="E155" s="8"/>
      <c r="F155" s="2"/>
      <c r="G155" s="2"/>
    </row>
    <row r="156" spans="3:7">
      <c r="C156" s="2"/>
      <c r="D156" s="2"/>
      <c r="E156" s="8"/>
      <c r="F156" s="2"/>
      <c r="G156" s="2"/>
    </row>
    <row r="157" spans="3:7">
      <c r="C157" s="2"/>
      <c r="D157" s="2"/>
      <c r="E157" s="8"/>
      <c r="F157" s="2"/>
      <c r="G157" s="2"/>
    </row>
    <row r="158" spans="3:7">
      <c r="C158" s="2"/>
      <c r="D158" s="2"/>
      <c r="E158" s="9"/>
      <c r="F158" s="2"/>
      <c r="G158" s="2"/>
    </row>
    <row r="159" spans="3:7">
      <c r="C159" s="2"/>
      <c r="D159" s="2"/>
      <c r="E159" s="8"/>
      <c r="F159" s="2"/>
      <c r="G159" s="2"/>
    </row>
    <row r="160" spans="3:7">
      <c r="C160" s="2"/>
      <c r="D160" s="2"/>
      <c r="E160" s="9"/>
      <c r="F160" s="2"/>
      <c r="G160" s="2"/>
    </row>
    <row r="161" spans="3:7">
      <c r="C161" s="2"/>
      <c r="D161" s="2"/>
      <c r="E161" s="8"/>
      <c r="F161" s="2"/>
      <c r="G161" s="2"/>
    </row>
    <row r="162" spans="3:7">
      <c r="C162" s="2"/>
      <c r="D162" s="2"/>
      <c r="E162" s="9"/>
      <c r="F162" s="2"/>
      <c r="G162" s="2"/>
    </row>
    <row r="163" spans="3:7">
      <c r="C163" s="2"/>
      <c r="D163" s="2"/>
      <c r="E163" s="8"/>
      <c r="F163" s="2"/>
      <c r="G163" s="2"/>
    </row>
    <row r="164" spans="3:7">
      <c r="C164" s="2"/>
      <c r="D164" s="2"/>
      <c r="E164" s="9"/>
      <c r="F164" s="2"/>
      <c r="G164" s="2"/>
    </row>
    <row r="165" spans="3:7">
      <c r="C165" s="2"/>
      <c r="D165" s="2"/>
      <c r="E165" s="8"/>
      <c r="F165" s="2"/>
      <c r="G165" s="2"/>
    </row>
    <row r="166" spans="3:7">
      <c r="C166" s="2"/>
      <c r="D166" s="2"/>
      <c r="E166" s="8"/>
      <c r="F166" s="2"/>
      <c r="G166" s="2"/>
    </row>
    <row r="167" spans="3:7">
      <c r="C167" s="2"/>
      <c r="D167" s="2"/>
      <c r="E167" s="8"/>
      <c r="F167" s="2"/>
      <c r="G167" s="2"/>
    </row>
    <row r="168" spans="3:7">
      <c r="C168" s="2"/>
      <c r="D168" s="2"/>
      <c r="E168" s="8"/>
      <c r="F168" s="2"/>
      <c r="G168" s="2"/>
    </row>
    <row r="169" spans="3:7">
      <c r="C169" s="2"/>
      <c r="D169" s="2"/>
      <c r="E169" s="8"/>
      <c r="F169" s="2"/>
      <c r="G169" s="2"/>
    </row>
    <row r="170" spans="3:7">
      <c r="C170" s="2"/>
      <c r="D170" s="2"/>
      <c r="E170" s="8"/>
      <c r="F170" s="2"/>
      <c r="G170" s="2"/>
    </row>
    <row r="171" spans="3:7">
      <c r="C171" s="2"/>
      <c r="D171" s="2"/>
      <c r="E171" s="8"/>
      <c r="F171" s="2"/>
      <c r="G171" s="2"/>
    </row>
    <row r="172" spans="3:7">
      <c r="C172" s="2"/>
      <c r="D172" s="2"/>
      <c r="E172" s="8"/>
      <c r="F172" s="2"/>
      <c r="G172" s="2"/>
    </row>
  </sheetData>
  <pageMargins left="0.7875" right="0.7875" top="1.05277777777778" bottom="1.05277777777778" header="0.7875" footer="0.7875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0" zoomScaleNormal="140" workbookViewId="0">
      <selection activeCell="A1" sqref="A1"/>
    </sheetView>
  </sheetViews>
  <sheetFormatPr defaultColWidth="8.56363636363636" defaultRowHeight="14.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Report card</vt:lpstr>
      <vt:lpstr>Perfprmace card</vt:lpstr>
      <vt:lpstr>RM work analysis</vt:lpstr>
      <vt:lpstr>RPS tracker </vt:lpstr>
      <vt:lpstr>MR Gifts</vt:lpstr>
      <vt:lpstr>MR report card</vt:lpstr>
      <vt:lpstr>Focus brand Rxer team</vt:lpstr>
      <vt:lpstr>Focus brand RM</vt:lpstr>
      <vt:lpstr>Focus brand sec trend</vt:lpstr>
      <vt:lpstr>Secondary trend</vt:lpstr>
      <vt:lpstr>Stockistwise sale trend</vt:lpstr>
      <vt:lpstr>Planning</vt:lpstr>
      <vt:lpstr>EXCESS STOCK LIQUIDATION</vt:lpstr>
      <vt:lpstr>Sheet14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sidhh</cp:lastModifiedBy>
  <dcterms:created xsi:type="dcterms:W3CDTF">2020-06-11T16:03:00Z</dcterms:created>
  <dcterms:modified xsi:type="dcterms:W3CDTF">2025-12-06T04:41:34Z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ScaleCrop">
    <vt:bool>false</vt:bool>
  </property>
  <property fmtid="{D5CDD505-2E9C-101B-9397-08002B2CF9AE}" pid="4" name="DocSecurity">
    <vt:i4>0</vt:i4>
  </property>
  <property fmtid="{D5CDD505-2E9C-101B-9397-08002B2CF9AE}" pid="5" name="LinksUpToDate">
    <vt:bool>false</vt:bool>
  </property>
  <property fmtid="{D5CDD505-2E9C-101B-9397-08002B2CF9AE}" pid="6" name="ICV">
    <vt:lpwstr>2F2E2FB2410D4D58B32FF28C0E32BEAD_13</vt:lpwstr>
  </property>
  <property fmtid="{D5CDD505-2E9C-101B-9397-08002B2CF9AE}" pid="7" name="KSOProductBuildVer">
    <vt:lpwstr>1033-12.2.0.23155</vt:lpwstr>
  </property>
</Properties>
</file>